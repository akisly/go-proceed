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3dc8e44dd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ad6fa743df4a50"/>
    <x:sheet xmlns:r="http://schemas.openxmlformats.org/officeDocument/2006/relationships" name="Leads" sheetId="2" r:id="Rc850e6716dd9403f"/>
    <x:sheet xmlns:r="http://schemas.openxmlformats.org/officeDocument/2006/relationships" name="Pilot Offer" sheetId="3" r:id="R04abfc95c12648ac"/>
    <x:sheet xmlns:r="http://schemas.openxmlformats.org/officeDocument/2006/relationships" name="Outreach" sheetId="4" r:id="R5f1e0c7b8a4a43ca"/>
    <x:sheet xmlns:r="http://schemas.openxmlformats.org/officeDocument/2006/relationships" name="Methodology" sheetId="5" r:id="R392d02911b5b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.mm.yyyy"/>
  </x:numFmts>
  <x:fonts count="18">
    <x:font>
      <x:sz val="11"/>
      <x:name val="Carlito"/>
    </x:font>
    <x:font>
      <x:b/>
      <x:sz val="20"/>
      <x:color rgb="FFFFFFFF"/>
      <x:name val="Carlito"/>
    </x:font>
    <x:font>
      <x:sz val="10"/>
      <x:color rgb="FFD7E3EF"/>
      <x:name val="Carlito"/>
    </x:font>
    <x:font>
      <x:i/>
      <x:sz val="10"/>
      <x:color rgb="FF7C4A03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2"/>
      <x:color rgb="FF17324D"/>
      <x:name val="Carlito"/>
    </x:font>
    <x:font>
      <x:b/>
      <x:sz val="9"/>
      <x:color rgb="FF4B5563"/>
      <x:name val="Carlito"/>
    </x:font>
    <x:font>
      <x:b/>
      <x:sz val="22"/>
      <x:color rgb="FF17324D"/>
      <x:name val="Carlito"/>
    </x:font>
    <x:font>
      <x:sz val="8"/>
      <x:color rgb="FF6B728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sz val="12"/>
      <x:color rgb="FF17324D"/>
      <x:name val="Carlito"/>
    </x:font>
    <x:font>
      <x:sz val="10"/>
      <x:color rgb="FFB91C1C"/>
      <x:name val="Carlito"/>
    </x:font>
    <x:font>
      <x:sz val="11"/>
      <x:color rgb="FF1F2937"/>
      <x:name val="Carlito"/>
    </x:font>
    <x:font>
      <x:sz val="10"/>
      <x:color rgb="FF7C4A0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0D9488"/>
      </x:patternFill>
    </x:fill>
    <x:fill>
      <x:patternFill patternType="solid">
        <x:fgColor rgb="FFEAF3FF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E7F7F3"/>
      </x:patternFill>
    </x:fill>
    <x:fill>
      <x:patternFill patternType="solid">
        <x:fgColor rgb="FFFDECEC"/>
      </x:patternFill>
    </x:fill>
  </x:fills>
  <x:borders count="4">
    <x:border/>
    <x:border>
      <x:bottom style="thin">
        <x:color rgb="FF2563EB"/>
      </x:bottom>
    </x:border>
    <x:border>
      <x:bottom style="thin">
        <x:color rgb="FFD1D5D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/>
    </x:xf>
    <x:xf numFmtId="201" fontId="5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2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3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3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/>
    <x:xf numFmtId="0" fontId="16" fillId="7" borderId="2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0" fontId="16" fillId="7" borderId="2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2" xfId="0" applyNumberFormat="1" applyFont="1" applyFill="1" applyBorder="1" applyAlignment="1">
      <x:alignment vertical="center"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9F7ED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523e11aee43cf" /><Relationship Type="http://schemas.openxmlformats.org/officeDocument/2006/relationships/theme" Target="/xl/theme/theme1.xml" Id="R8e4bdac1b8b34322" /><Relationship Type="http://schemas.openxmlformats.org/officeDocument/2006/relationships/sharedStrings" Target="/xl/sharedStrings.xml" Id="R7ab64e46e36542eb" /><Relationship Type="http://schemas.openxmlformats.org/officeDocument/2006/relationships/worksheet" Target="/xl/worksheets/sheet1.xml" Id="R4ead6fa743df4a50" /><Relationship Type="http://schemas.openxmlformats.org/officeDocument/2006/relationships/worksheet" Target="/xl/worksheets/sheet2.xml" Id="Rc850e6716dd9403f" /><Relationship Type="http://schemas.openxmlformats.org/officeDocument/2006/relationships/worksheet" Target="/xl/worksheets/sheet3.xml" Id="R04abfc95c12648ac" /><Relationship Type="http://schemas.openxmlformats.org/officeDocument/2006/relationships/worksheet" Target="/xl/worksheets/sheet4.xml" Id="R5f1e0c7b8a4a43ca" /><Relationship Type="http://schemas.openxmlformats.org/officeDocument/2006/relationships/worksheet" Target="/xl/worksheets/sheet5.xml" Id="R392d02911b5b46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8b94724ab942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Де продукт може зайти в пілот зараз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Акаунти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Кількість акаунтів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8b94724ab942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ProceedLeads" displayName="GoProceedLeads" ref="A4:AA105" headerRowCount="1" totalsRowCount="0" totalsRowShown="0">
  <x:autoFilter ref="A4:AA105"/>
  <x:tableColumns count="27">
    <x:tableColumn id="1" name="Lead ID"/>
    <x:tableColumn id="2" name="Хвиля"/>
    <x:tableColumn id="3" name="Компанія"/>
    <x:tableColumn id="4" name="Сегмент"/>
    <x:tableColumn id="5" name="Тип акаунта"/>
    <x:tableColumn id="6" name="Домен"/>
    <x:tableColumn id="7" name="Пілотний трек"/>
    <x:tableColumn id="8" name="Покриття продукту"/>
    <x:tableColumn id="9" name="Інтенсивність прихованих робіт"/>
    <x:tableColumn id="10" name="Масштаб"/>
    <x:tableColumn id="11" name="Документація"/>
    <x:tableColumn id="12" name="Доступ до покупця"/>
    <x:tableColumn id="13" name="Досяжність"/>
    <x:tableColumn id="14" name="Fit score"/>
    <x:tableColumn id="15" name="Пріоритет"/>
    <x:tableColumn id="16" name="Статус контакту"/>
    <x:tableColumn id="17" name="Наступна дія"/>
    <x:tableColumn id="18" name="Цільова роль"/>
    <x:tableColumn id="19" name="Доказ відповідності"/>
    <x:tableColumn id="20" name="Тригер пілоту"/>
    <x:tableColumn id="21" name="Джерело"/>
    <x:tableColumn id="22" name="ЄДРПОУ"/>
    <x:tableColumn id="23" name="Статус дослідження"/>
    <x:tableColumn id="24" name="Дата дослідження"/>
    <x:tableColumn id="25" name="Власник"/>
    <x:tableColumn id="26" name="Наступний контакт"/>
    <x:tableColumn id="27" name="Нотат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a547be9b844f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cf507fe6984ff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GoProceed — prospecting cockpit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5" t="str">
        <x:v>Знімок 24.08.2026 • 101 акаунт • мета: перевести публічний fit у розмови, артефакти та безкоштовні design-partner пілоти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25" t="str">
        <x:v>Ключові показники воронки</x:v>
      </x:c>
      <x:c r="B4" s="25"/>
      <x:c r="C4" s="25"/>
      <x:c r="D4" s="25"/>
      <x:c r="E4" s="25"/>
      <x:c r="F4" s="25"/>
    </x:row>
    <x:row r="5">
      <x:c r="A5" s="29" t="str">
        <x:v>Усього акаунтів</x:v>
      </x:c>
      <x:c r="B5" s="29" t="str">
        <x:v>Нова хвиля 24.08</x:v>
      </x:c>
      <x:c r="C5" s="29" t="str">
        <x:v>Підтверджені відправки</x:v>
      </x:c>
      <x:c r="D5" s="29" t="str">
        <x:v>Пріоритет A</x:v>
      </x:c>
      <x:c r="E5" s="29" t="str">
        <x:v>Пріоритет B</x:v>
      </x:c>
      <x:c r="F5" s="29" t="str">
        <x:v>Підтриманий трек зараз</x:v>
      </x:c>
    </x:row>
    <x:row r="6">
      <x:c r="A6" s="33" t="n">
        <x:f>COUNTA(Leads!$C$5:$C$305)</x:f>
        <x:v>101</x:v>
      </x:c>
      <x:c r="B6" s="33" t="n">
        <x:f>COUNTIF(Leads!$B$5:$B$305,"Нова хвиля 24.08")</x:f>
        <x:v>51</x:v>
      </x:c>
      <x:c r="C6" s="33" t="n">
        <x:v>21</x:v>
      </x:c>
      <x:c r="D6" s="33" t="n">
        <x:f>COUNTIF(Leads!$O$5:$O$305,"A")</x:f>
        <x:v>58</x:v>
      </x:c>
      <x:c r="E6" s="33" t="n">
        <x:f>COUNTIF(Leads!$O$5:$O$305,"B")</x:f>
        <x:v>7</x:v>
      </x:c>
      <x:c r="F6" s="33" t="n">
        <x:f>SUM(B12:B14)</x:f>
        <x:v>66</x:v>
      </x:c>
    </x:row>
    <x:row r="7">
      <x:c r="A7" s="37" t="str">
        <x:v>База для системної кваліфікації</x:v>
      </x:c>
      <x:c r="B7" s="37" t="str">
        <x:v>Офіційні сайти / портфоліо</x:v>
      </x:c>
      <x:c r="C7" s="37" t="str">
        <x:v>21 відправка; 0 відповідей за даними журналу</x:v>
      </x:c>
      <x:c r="D7" s="37" t="str">
        <x:v>Найкращий fit + покриття</x:v>
      </x:c>
      <x:c r="E7" s="37" t="str">
        <x:v>Добрий fit / перевірити</x:v>
      </x:c>
      <x:c r="F7" s="37" t="str">
        <x:v>Н.14, Н.15 або обидва</x:v>
      </x:c>
    </x:row>
    <x:row r="10">
      <x:c r="A10" s="25" t="str">
        <x:v>Портфель за пілотним треком</x:v>
      </x:c>
      <x:c r="B10" s="25"/>
      <x:c r="C10" s="25"/>
      <x:c r="D10" s="25"/>
      <x:c r="E10" s="25"/>
      <x:c r="F10" s="25"/>
    </x:row>
    <x:row r="11">
      <x:c r="A11" s="39" t="str">
        <x:v>Пілотний трек</x:v>
      </x:c>
      <x:c r="B11" s="39" t="str">
        <x:v>Акаунти</x:v>
      </x:c>
      <x:c r="C11" s="39" t="str">
        <x:v>Пріоритет A</x:v>
      </x:c>
    </x:row>
    <x:row r="12">
      <x:c r="A12" s="40" t="str">
        <x:v>Зараз — Н.15</x:v>
      </x:c>
      <x:c r="B12" s="42" t="n">
        <x:f>COUNTIF(Leads!$G$5:$G$305,A12)</x:f>
        <x:v>42</x:v>
      </x:c>
      <x:c r="C12" s="42" t="n">
        <x:f>COUNTIFS(Leads!$G$5:$G$305,A12,Leads!$O$5:$O$305,"A")</x:f>
        <x:v>25</x:v>
      </x:c>
    </x:row>
    <x:row r="13">
      <x:c r="A13" s="40" t="str">
        <x:v>Зараз — Н.14</x:v>
      </x:c>
      <x:c r="B13" s="42" t="n">
        <x:f>COUNTIF(Leads!$G$5:$G$305,A13)</x:f>
        <x:v>18</x:v>
      </x:c>
      <x:c r="C13" s="42" t="n">
        <x:f>COUNTIFS(Leads!$G$5:$G$305,A13,Leads!$O$5:$O$305,"A")</x:f>
        <x:v>14</x:v>
      </x:c>
    </x:row>
    <x:row r="14">
      <x:c r="A14" s="40" t="str">
        <x:v>Зараз — Н.14 + Н.15</x:v>
      </x:c>
      <x:c r="B14" s="42" t="n">
        <x:f>COUNTIF(Leads!$G$5:$G$305,A14)</x:f>
        <x:v>6</x:v>
      </x:c>
      <x:c r="C14" s="42" t="n">
        <x:f>COUNTIFS(Leads!$G$5:$G$305,A14,Leads!$O$5:$O$305,"A")</x:f>
        <x:v>4</x:v>
      </x:c>
    </x:row>
    <x:row r="15">
      <x:c r="A15" s="40" t="str">
        <x:v>Перевірити — Н.15</x:v>
      </x:c>
      <x:c r="B15" s="42" t="n">
        <x:f>COUNTIF(Leads!$G$5:$G$305,A15)</x:f>
        <x:v>25</x:v>
      </x:c>
      <x:c r="C15" s="42" t="n">
        <x:f>COUNTIFS(Leads!$G$5:$G$305,A15,Leads!$O$5:$O$305,"A")</x:f>
        <x:v>15</x:v>
      </x:c>
    </x:row>
    <x:row r="16">
      <x:c r="A16" s="40" t="str">
        <x:v>Пізніше — вимоги проєкту</x:v>
      </x:c>
      <x:c r="B16" s="42" t="n">
        <x:f>COUNTIF(Leads!$G$5:$G$305,A16)</x:f>
        <x:v>8</x:v>
      </x:c>
      <x:c r="C16" s="42" t="n">
        <x:f>COUNTIFS(Leads!$G$5:$G$305,A16,Leads!$O$5:$O$305,"A")</x:f>
        <x:v>0</x:v>
      </x:c>
    </x:row>
    <x:row r="17">
      <x:c r="A17" s="41" t="str">
        <x:v>Перекваліфікувати</x:v>
      </x:c>
      <x:c r="B17" s="43" t="n">
        <x:f>COUNTIF(Leads!$G$5:$G$305,A17)</x:f>
        <x:v>2</x:v>
      </x:c>
      <x:c r="C17" s="43" t="n">
        <x:f>COUNTIFS(Leads!$G$5:$G$305,A17,Leads!$O$5:$O$305,"A")</x:f>
        <x:v>0</x:v>
      </x:c>
    </x:row>
    <x:row r="20">
      <x:c r="A20" s="25" t="str">
        <x:v>Рекомендована послідовність дій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 ht="36" customHeight="1">
      <x:c r="A21" s="46" t="str">
        <x:v>1</x:v>
      </x:c>
      <x:c r="B21" s="48" t="str">
        <x:v>Сьогодні</x:v>
      </x:c>
      <x:c r="C21" s="48" t="str">
        <x:v>21 follow-up</x:v>
      </x:c>
      <x:c r="D21" s="51" t="str">
        <x:v>Надіслати наявним адресатам персональне посилання без реєстрації. Одна дія: прийняти / повернути.</x:v>
      </x:c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</x:row>
    <x:row r="22" ht="36" customHeight="1">
      <x:c r="A22" s="46" t="str">
        <x:v>2</x:v>
      </x:c>
      <x:c r="B22" s="48" t="str">
        <x:v>Дні 1–3</x:v>
      </x:c>
      <x:c r="C22" s="48" t="str">
        <x:v>10 нових A</x:v>
      </x:c>
      <x:c r="D22" s="51" t="str">
        <x:v>Персоналізувати перший рядок за публічним доказом. Не продавати платформу — попросити оцінити конкретний review-flow.</x:v>
      </x:c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</x:row>
    <x:row r="23" ht="36" customHeight="1">
      <x:c r="A23" s="46" t="str">
        <x:v>3</x:v>
      </x:c>
      <x:c r="B23" s="48" t="str">
        <x:v>Дні 3–7</x:v>
      </x:c>
      <x:c r="C23" s="48" t="str">
        <x:v>Артефакт</x:v>
      </x:c>
      <x:c r="D23" s="51" t="str">
        <x:v>Після будь-якої реакції попросити 1 анонімізований акт/АВР або фото прихованої роботи та провести 20-хвилинне інтерв’ю.</x:v>
      </x:c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</x:row>
    <x:row r="24" ht="36" customHeight="1">
      <x:c r="A24" s="46" t="str">
        <x:v>4</x:v>
      </x:c>
      <x:c r="B24" s="48" t="str">
        <x:v>Дні 7–10</x:v>
      </x:c>
      <x:c r="C24" s="48" t="str">
        <x:v>Пілот</x:v>
      </x:c>
      <x:c r="D24" s="51" t="str">
        <x:v>Запропонувати 30–45 днів без ліцензійної плати на одному проєкті з названим спонсором, ПТО, майстром і рев’юером.</x:v>
      </x:c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</x:row>
    <x:row r="25" ht="36" customHeight="1">
      <x:c r="A25" s="46" t="str">
        <x:v>5</x:v>
      </x:c>
      <x:c r="B25" s="48" t="str">
        <x:v>Щоп’ятниці</x:v>
      </x:c>
      <x:c r="C25" s="48" t="str">
        <x:v>Рішення</x:v>
      </x:c>
      <x:c r="D25" s="52" t="str">
        <x:v>Продовжувати сегмент лише якщо з’являються відповіді, артефакти та доступ до реального проєкту. Інакше змінювати повідомлення або сегмент.</x:v>
      </x:c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</x:sheetData>
  <x:mergeCells>
    <x:mergeCell ref="A1:N1"/>
    <x:mergeCell ref="A2:N2"/>
    <x:mergeCell ref="A4:F4"/>
    <x:mergeCell ref="A10:F10"/>
    <x:mergeCell ref="A20:N20"/>
    <x:mergeCell ref="D21:N21"/>
    <x:mergeCell ref="D22:N22"/>
    <x:mergeCell ref="D23:N23"/>
    <x:mergeCell ref="D24:N24"/>
    <x:mergeCell ref="D25:N25"/>
  </x:mergeCells>
  <x:pageMargins left="0.7" right="0.7" top="0.75" bottom="0.75" header="0.3" footer="0.3"/>
  <x:drawing xmlns:r="http://schemas.openxmlformats.org/officeDocument/2006/relationships" r:id="R16a547be9b844f62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22" hidden="0" customWidth="1"/>
    <x:col min="5" max="5" width="21" hidden="0" customWidth="1"/>
    <x:col min="6" max="6" width="23" hidden="0" customWidth="1"/>
    <x:col min="7" max="7" width="26" hidden="0" customWidth="1"/>
    <x:col min="8" max="8" width="11" hidden="0" customWidth="1"/>
    <x:col min="9" max="9" width="13" hidden="0" customWidth="1"/>
    <x:col min="10" max="10" width="9" hidden="0" customWidth="1"/>
    <x:col min="11" max="11" width="11" hidden="0" customWidth="1"/>
    <x:col min="12" max="12" width="12" hidden="0" customWidth="1"/>
    <x:col min="13" max="13" width="10" hidden="0" customWidth="1"/>
    <x:col min="14" max="14" width="10" hidden="0" customWidth="1"/>
    <x:col min="15" max="15" width="9" hidden="0" customWidth="1"/>
    <x:col min="16" max="16" width="24" hidden="0" customWidth="1"/>
    <x:col min="17" max="17" width="36" hidden="0" customWidth="1"/>
    <x:col min="18" max="18" width="28" hidden="0" customWidth="1"/>
    <x:col min="19" max="19" width="48" hidden="0" customWidth="1"/>
    <x:col min="20" max="20" width="46" hidden="0" customWidth="1"/>
    <x:col min="21" max="21" width="38" hidden="0" customWidth="1"/>
    <x:col min="22" max="22" width="12" hidden="0" customWidth="1"/>
    <x:col min="23" max="23" width="23" hidden="0" customWidth="1"/>
    <x:col min="24" max="24" width="13" hidden="0" customWidth="1"/>
    <x:col min="25" max="25" width="14" hidden="0" customWidth="1"/>
    <x:col min="26" max="26" width="14" hidden="0" customWidth="1"/>
    <x:col min="27" max="27" width="32" hidden="0" customWidth="1"/>
  </x:cols>
  <x:sheetData>
    <x:row r="1" ht="34" customHeight="1">
      <x:c r="A1" s="3" t="str">
        <x:v>GoProceed — база потенційних клієнтів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2" customHeight="1">
      <x:c r="A2" s="5" t="str">
        <x:v>101 компанія • нова хвиля перевірена 24.08.2026 • жоден публічний fit не вважається підтвердженим попитом без розмови</x:v>
      </x:c>
    </x:row>
    <x:row r="3" ht="34" customHeight="1">
      <x:c r="A3" s="8" t="str">
        <x:v>Фокус першої хвилі: внутрішня електрика, сантехніка та HVAC — лише там поточна бібліотека вимог може чесно підтримати пілот.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ht="34" customHeight="1">
      <x:c r="A4" s="12" t="str">
        <x:v>Lead ID</x:v>
      </x:c>
      <x:c r="B4" s="12" t="str">
        <x:v>Хвиля</x:v>
      </x:c>
      <x:c r="C4" s="12" t="str">
        <x:v>Компанія</x:v>
      </x:c>
      <x:c r="D4" s="12" t="str">
        <x:v>Сегмент</x:v>
      </x:c>
      <x:c r="E4" s="12" t="str">
        <x:v>Тип акаунта</x:v>
      </x:c>
      <x:c r="F4" s="12" t="str">
        <x:v>Домен</x:v>
      </x:c>
      <x:c r="G4" s="12" t="str">
        <x:v>Пілотний трек</x:v>
      </x:c>
      <x:c r="H4" s="12" t="str">
        <x:v>Покриття продукту</x:v>
      </x:c>
      <x:c r="I4" s="12" t="str">
        <x:v>Інтенсивність прихованих робіт</x:v>
      </x:c>
      <x:c r="J4" s="12" t="str">
        <x:v>Масштаб</x:v>
      </x:c>
      <x:c r="K4" s="12" t="str">
        <x:v>Документація</x:v>
      </x:c>
      <x:c r="L4" s="12" t="str">
        <x:v>Доступ до покупця</x:v>
      </x:c>
      <x:c r="M4" s="12" t="str">
        <x:v>Досяжність</x:v>
      </x:c>
      <x:c r="N4" s="12" t="str">
        <x:v>Fit score</x:v>
      </x:c>
      <x:c r="O4" s="12" t="str">
        <x:v>Пріоритет</x:v>
      </x:c>
      <x:c r="P4" s="12" t="str">
        <x:v>Статус контакту</x:v>
      </x:c>
      <x:c r="Q4" s="12" t="str">
        <x:v>Наступна дія</x:v>
      </x:c>
      <x:c r="R4" s="12" t="str">
        <x:v>Цільова роль</x:v>
      </x:c>
      <x:c r="S4" s="12" t="str">
        <x:v>Доказ відповідності</x:v>
      </x:c>
      <x:c r="T4" s="12" t="str">
        <x:v>Тригер пілоту</x:v>
      </x:c>
      <x:c r="U4" s="12" t="str">
        <x:v>Джерело</x:v>
      </x:c>
      <x:c r="V4" s="12" t="str">
        <x:v>ЄДРПОУ</x:v>
      </x:c>
      <x:c r="W4" s="12" t="str">
        <x:v>Статус дослідження</x:v>
      </x:c>
      <x:c r="X4" s="12" t="str">
        <x:v>Дата дослідження</x:v>
      </x:c>
      <x:c r="Y4" s="12" t="str">
        <x:v>Власник</x:v>
      </x:c>
      <x:c r="Z4" s="12" t="str">
        <x:v>Наступний контакт</x:v>
      </x:c>
      <x:c r="AA4" s="12" t="str">
        <x:v>Нотатки</x:v>
      </x:c>
    </x:row>
    <x:row r="5">
      <x:c r="A5" s="16" t="str">
        <x:v>V3-030</x:v>
      </x:c>
      <x:c r="B5" s="16" t="str">
        <x:v>Досліджено 28.07</x:v>
      </x:c>
      <x:c r="C5" s="16" t="str">
        <x:v>ТОВ «ЕДС-ІНЖИНІРИНГ»</x:v>
      </x:c>
      <x:c r="D5" s="16" t="str">
        <x:v>Електромонтаж</x:v>
      </x:c>
      <x:c r="E5" s="16" t="str">
        <x:v>Спеціалізований підрядник</x:v>
      </x:c>
      <x:c r="F5" s="16" t="str">
        <x:v>eds-ukraine.com</x:v>
      </x:c>
      <x:c r="G5" s="16" t="str">
        <x:v>Зараз — Н.15</x:v>
      </x:c>
      <x:c r="H5" s="17" t="n">
        <x:v>5</x:v>
      </x:c>
      <x:c r="I5" s="17" t="n">
        <x:v>5</x:v>
      </x:c>
      <x:c r="J5" s="17" t="n">
        <x:v>5</x:v>
      </x:c>
      <x:c r="K5" s="17" t="n">
        <x:v>5</x:v>
      </x:c>
      <x:c r="L5" s="17" t="n">
        <x:v>5</x:v>
      </x:c>
      <x:c r="M5" s="17" t="n">
        <x:v>5</x:v>
      </x:c>
      <x:c r="N5" s="17" t="n">
        <x:f>IF(COUNT(H5:M5)&lt;6,"",H5*6+I5*4+J5*3+K5*3+L5*3+M5)</x:f>
        <x:v>100</x:v>
      </x:c>
      <x:c r="O5" s="19" t="str">
        <x:f>IF(N5="","Legacy",IF(AND(N5&gt;=84,H5&gt;=4,L5&gt;=4),"A",IF(AND(N5&gt;=70,H5&gt;=3),"B","C")))</x:f>
        <x:v>A</x:v>
      </x:c>
      <x:c r="P5" s="16" t="str">
        <x:v>Надіслано 28.07 — follow-up</x:v>
      </x:c>
      <x:c r="Q5" s="18" t="str">
        <x:v>Follow-up: показати перегляд без акаунта; попросити 1 анонімізований акт/АВР</x:v>
      </x:c>
      <x:c r="R5" s="18" t="str">
        <x:v>Власник / директор; керівник ПТО</x:v>
      </x:c>
      <x:c r="S5" s="18" t="str">
        <x:v>EPC/інжиніринг енергетичних об’єктів; будівництво кабельних ліній 0,4–35 кВ, електромонтажні та пусконалагоджувальні роботи.</x:v>
      </x:c>
      <x:c r="T5" s="18" t="str">
        <x:v>Траншеї, кабельні траси, муфти, заземлення та випробування потребують фотофіксації й доказів до засипання/закриття.</x:v>
      </x:c>
      <x:c r="U5" s="18" t="str">
        <x:v>https://eds-ukraine.com/en/</x:v>
      </x:c>
      <x:c r="V5" s="16" t="str">
        <x:v>38114069</x:v>
      </x:c>
      <x:c r="W5" s="16" t="str">
        <x:v>official+registry</x:v>
      </x:c>
      <x:c r="X5" s="16" t="str">
        <x:v>2026-07-28</x:v>
      </x:c>
      <x:c r="Y5" s="16" t="str">
        <x:v>Олександр</x:v>
      </x:c>
      <x:c r="Z5" s="20" t="str"/>
      <x:c r="AA5" s="16" t="str">
        <x:v>Реєстр: https://youcontrol.com.ua/catalog/company_details/38114069/</x:v>
      </x:c>
    </x:row>
    <x:row r="6">
      <x:c r="A6" s="16" t="str">
        <x:v>V3-031</x:v>
      </x:c>
      <x:c r="B6" s="16" t="str">
        <x:v>Досліджено 28.07</x:v>
      </x:c>
      <x:c r="C6" s="16" t="str">
        <x:v>ТОВ «ЕЛЕКТРОПОЛЮС-ІФ»</x:v>
      </x:c>
      <x:c r="D6" s="16" t="str">
        <x:v>Електромонтаж</x:v>
      </x:c>
      <x:c r="E6" s="16" t="str">
        <x:v>Спеціалізований підрядник</x:v>
      </x:c>
      <x:c r="F6" s="16" t="str">
        <x:v>elektropolus-if.com</x:v>
      </x:c>
      <x:c r="G6" s="16" t="str">
        <x:v>Зараз — Н.15</x:v>
      </x:c>
      <x:c r="H6" s="17" t="n">
        <x:v>5</x:v>
      </x:c>
      <x:c r="I6" s="17" t="n">
        <x:v>5</x:v>
      </x:c>
      <x:c r="J6" s="17" t="n">
        <x:v>5</x:v>
      </x:c>
      <x:c r="K6" s="17" t="n">
        <x:v>5</x:v>
      </x:c>
      <x:c r="L6" s="17" t="n">
        <x:v>5</x:v>
      </x:c>
      <x:c r="M6" s="17" t="n">
        <x:v>5</x:v>
      </x:c>
      <x:c r="N6" s="17" t="n">
        <x:f>IF(COUNT(H6:M6)&lt;6,"",H6*6+I6*4+J6*3+K6*3+L6*3+M6)</x:f>
        <x:v>100</x:v>
      </x:c>
      <x:c r="O6" s="19" t="str">
        <x:f>IF(N6="","Legacy",IF(AND(N6&gt;=84,H6&gt;=4,L6&gt;=4),"A",IF(AND(N6&gt;=70,H6&gt;=3),"B","C")))</x:f>
        <x:v>A</x:v>
      </x:c>
      <x:c r="P6" s="16" t="str">
        <x:v>Надіслано 28.07 — follow-up</x:v>
      </x:c>
      <x:c r="Q6" s="18" t="str">
        <x:v>Follow-up: показати перегляд без акаунта; попросити 1 анонімізований акт/АВР</x:v>
      </x:c>
      <x:c r="R6" s="18" t="str">
        <x:v>Власник / директор; керівник ПТО</x:v>
      </x:c>
      <x:c r="S6" s="18" t="str">
        <x:v>65 фахівців, 530 проєктів в Україні та до 7 проєктів одночасно; проєктування, монтаж, випробування й сервіс.</x:v>
      </x:c>
      <x:c r="T6" s="18" t="str">
        <x:v>Внутрішні/зовнішні електромережі, кабельні лінії й підстанції створюють багато контрольних точок перед закриттям.</x:v>
      </x:c>
      <x:c r="U6" s="18" t="str">
        <x:v>https://elektropolus-if.com/en</x:v>
      </x:c>
      <x:c r="V6" s="16" t="str">
        <x:v>34084649</x:v>
      </x:c>
      <x:c r="W6" s="16" t="str">
        <x:v>official+registry</x:v>
      </x:c>
      <x:c r="X6" s="16" t="str">
        <x:v>2026-07-28</x:v>
      </x:c>
      <x:c r="Y6" s="16" t="str">
        <x:v>Олександр</x:v>
      </x:c>
      <x:c r="Z6" s="20" t="str"/>
      <x:c r="AA6" s="16" t="str">
        <x:v>Реєстр: https://opendatabot.ua/c/34084649</x:v>
      </x:c>
    </x:row>
    <x:row r="7">
      <x:c r="A7" s="16" t="str">
        <x:v>V3-029</x:v>
      </x:c>
      <x:c r="B7" s="16" t="str">
        <x:v>Досліджено 28.07</x:v>
      </x:c>
      <x:c r="C7" s="16" t="str">
        <x:v>ТОВ «ЕНЕРДЖІ ГРУП»</x:v>
      </x:c>
      <x:c r="D7" s="16" t="str">
        <x:v>Електромонтаж</x:v>
      </x:c>
      <x:c r="E7" s="16" t="str">
        <x:v>Спеціалізований підрядник</x:v>
      </x:c>
      <x:c r="F7" s="16" t="str">
        <x:v>eg-ltd.com.ua</x:v>
      </x:c>
      <x:c r="G7" s="16" t="str">
        <x:v>Зараз — Н.15</x:v>
      </x:c>
      <x:c r="H7" s="17" t="n">
        <x:v>5</x:v>
      </x:c>
      <x:c r="I7" s="17" t="n">
        <x:v>5</x:v>
      </x:c>
      <x:c r="J7" s="17" t="n">
        <x:v>5</x:v>
      </x:c>
      <x:c r="K7" s="17" t="n">
        <x:v>5</x:v>
      </x:c>
      <x:c r="L7" s="17" t="n">
        <x:v>5</x:v>
      </x:c>
      <x:c r="M7" s="17" t="n">
        <x:v>5</x:v>
      </x:c>
      <x:c r="N7" s="17" t="n">
        <x:f>IF(COUNT(H7:M7)&lt;6,"",H7*6+I7*4+J7*3+K7*3+L7*3+M7)</x:f>
        <x:v>100</x:v>
      </x:c>
      <x:c r="O7" s="19" t="str">
        <x:f>IF(N7="","Legacy",IF(AND(N7&gt;=84,H7&gt;=4,L7&gt;=4),"A",IF(AND(N7&gt;=70,H7&gt;=3),"B","C")))</x:f>
        <x:v>A</x:v>
      </x:c>
      <x:c r="P7" s="16" t="str">
        <x:v>Надіслано 28.07 — follow-up</x:v>
      </x:c>
      <x:c r="Q7" s="18" t="str">
        <x:v>Follow-up: показати перегляд без акаунта; попросити 1 анонімізований акт/АВР</x:v>
      </x:c>
      <x:c r="R7" s="18" t="str">
        <x:v>Власник / директор; керівник ПТО</x:v>
      </x:c>
      <x:c r="S7" s="18" t="str">
        <x:v>8 мобільних монтажних бригад; 116 реалізованих проєктів; проєктування, монтаж, пусконалагодження, випробування та введення в експлуатацію.</x:v>
      </x:c>
      <x:c r="T7" s="18" t="str">
        <x:v>Кабельні лінії до 110 кВ, внутрішні мережі, ГНБ і щитове обладнання мають критичні приховані етапи та акти до закриття.</x:v>
      </x:c>
      <x:c r="U7" s="18" t="str">
        <x:v>https://eg-ltd.com.ua/electric-works-uk/</x:v>
      </x:c>
      <x:c r="V7" s="16" t="str">
        <x:v>40169080</x:v>
      </x:c>
      <x:c r="W7" s="16" t="str">
        <x:v>official+registry</x:v>
      </x:c>
      <x:c r="X7" s="16" t="str">
        <x:v>2026-07-28</x:v>
      </x:c>
      <x:c r="Y7" s="16" t="str">
        <x:v>Олександр</x:v>
      </x:c>
      <x:c r="Z7" s="20" t="str"/>
      <x:c r="AA7" s="16" t="str">
        <x:v>Реєстр: https://opendatabot.ua/c/40169080</x:v>
      </x:c>
    </x:row>
    <x:row r="8">
      <x:c r="A8" s="16" t="str">
        <x:v>AUG-034</x:v>
      </x:c>
      <x:c r="B8" s="16" t="str">
        <x:v>Нова хвиля 24.08</x:v>
      </x:c>
      <x:c r="C8" s="16" t="str">
        <x:v>Intech Energy Group</x:v>
      </x:c>
      <x:c r="D8" s="16" t="str">
        <x:v>Промислова електрика</x:v>
      </x:c>
      <x:c r="E8" s="16" t="str">
        <x:v>Спеціалізований підрядник</x:v>
      </x:c>
      <x:c r="F8" s="16" t="str">
        <x:v>ukrenergygroup.com</x:v>
      </x:c>
      <x:c r="G8" s="16" t="str">
        <x:v>Зараз — Н.15</x:v>
      </x:c>
      <x:c r="H8" s="17" t="n">
        <x:v>5</x:v>
      </x:c>
      <x:c r="I8" s="17" t="n">
        <x:v>5</x:v>
      </x:c>
      <x:c r="J8" s="17" t="n">
        <x:v>5</x:v>
      </x:c>
      <x:c r="K8" s="17" t="n">
        <x:v>5</x:v>
      </x:c>
      <x:c r="L8" s="17" t="n">
        <x:v>5</x:v>
      </x:c>
      <x:c r="M8" s="17" t="n">
        <x:v>5</x:v>
      </x:c>
      <x:c r="N8" s="17" t="n">
        <x:f>IF(COUNT(H8:M8)&lt;6,"",H8*6+I8*4+J8*3+K8*3+L8*3+M8)</x:f>
        <x:v>100</x:v>
      </x:c>
      <x:c r="O8" s="19" t="str">
        <x:f>IF(N8="","Legacy",IF(AND(N8&gt;=84,H8&gt;=4,L8&gt;=4),"A",IF(AND(N8&gt;=70,H8&gt;=3),"B","C")))</x:f>
        <x:v>A</x:v>
      </x:c>
      <x:c r="P8" s="16" t="str">
        <x:v>Новий — не контактували</x:v>
      </x:c>
      <x:c r="Q8" s="18" t="str">
        <x:v>Персоналізувати 1-й контакт за доказом; запропонувати перегляд без акаунта</x:v>
      </x:c>
      <x:c r="R8" s="18" t="str">
        <x:v>Коммерческий директор; руководитель ПТО / строительства</x:v>
      </x:c>
      <x:c r="S8" s="18" t="str">
        <x:v>Кабельные линии и ЛЭП до 110 кВ, подстанции, релейная защита, внутренние сети, заземление и АСУ ТП.</x:v>
      </x:c>
      <x:c r="T8" s="18" t="str">
        <x:v>Практически идеальное покрытие Н.15 и высокая документальная сложность.</x:v>
      </x:c>
      <x:c r="U8" s="18" t="str">
        <x:v>https://www.ukrenergygroup.com/</x:v>
      </x:c>
      <x:c r="V8" s="16" t="str"/>
      <x:c r="W8" s="16" t="str">
        <x:v>official_site_verified</x:v>
      </x:c>
      <x:c r="X8" s="16" t="str">
        <x:v>2026-08-24</x:v>
      </x:c>
      <x:c r="Y8" s="16" t="str">
        <x:v>Олександр</x:v>
      </x:c>
      <x:c r="Z8" s="20" t="str"/>
      <x:c r="AA8" s="16" t="str"/>
    </x:row>
    <x:row r="9">
      <x:c r="A9" s="16" t="str">
        <x:v>AUG-024</x:v>
      </x:c>
      <x:c r="B9" s="16" t="str">
        <x:v>Нова хвиля 24.08</x:v>
      </x:c>
      <x:c r="C9" s="16" t="str">
        <x:v>Прогрес Електрик</x:v>
      </x:c>
      <x:c r="D9" s="16" t="str">
        <x:v>Промислова електрика + СЕС</x:v>
      </x:c>
      <x:c r="E9" s="16" t="str">
        <x:v>Спеціалізований підрядник</x:v>
      </x:c>
      <x:c r="F9" s="16" t="str">
        <x:v>proelectric.com.ua</x:v>
      </x:c>
      <x:c r="G9" s="16" t="str">
        <x:v>Зараз — Н.15</x:v>
      </x:c>
      <x:c r="H9" s="17" t="n">
        <x:v>5</x:v>
      </x:c>
      <x:c r="I9" s="17" t="n">
        <x:v>5</x:v>
      </x:c>
      <x:c r="J9" s="17" t="n">
        <x:v>5</x:v>
      </x:c>
      <x:c r="K9" s="17" t="n">
        <x:v>4</x:v>
      </x:c>
      <x:c r="L9" s="17" t="n">
        <x:v>5</x:v>
      </x:c>
      <x:c r="M9" s="17" t="n">
        <x:v>5</x:v>
      </x:c>
      <x:c r="N9" s="17" t="n">
        <x:f>IF(COUNT(H9:M9)&lt;6,"",H9*6+I9*4+J9*3+K9*3+L9*3+M9)</x:f>
        <x:v>97</x:v>
      </x:c>
      <x:c r="O9" s="19" t="str">
        <x:f>IF(N9="","Legacy",IF(AND(N9&gt;=84,H9&gt;=4,L9&gt;=4),"A",IF(AND(N9&gt;=70,H9&gt;=3),"B","C")))</x:f>
        <x:v>A</x:v>
      </x:c>
      <x:c r="P9" s="16" t="str">
        <x:v>Новий — не контактували</x:v>
      </x:c>
      <x:c r="Q9" s="18" t="str">
        <x:v>Персоналізувати 1-й контакт за доказом; запропонувати перегляд без акаунта</x:v>
      </x:c>
      <x:c r="R9" s="18" t="str">
        <x:v>Директор; руководитель энергетических проектов / ПТО</x:v>
      </x:c>
      <x:c r="S9" s="18" t="str">
        <x:v>100+ объектов, промышленные СЭС до 40 МВт, кабельные линии и подстанции; проекты для крупных украинских брендов.</x:v>
      </x:c>
      <x:c r="T9" s="18" t="str">
        <x:v>Кабельные линии и заземление соответствуют Н.15 и дают измеримый цикл до технадзора.</x:v>
      </x:c>
      <x:c r="U9" s="18" t="str">
        <x:v>https://proelectric.com.ua/proyekty/</x:v>
      </x:c>
      <x:c r="V9" s="16" t="str"/>
      <x:c r="W9" s="16" t="str">
        <x:v>official_site_verified</x:v>
      </x:c>
      <x:c r="X9" s="16" t="str">
        <x:v>2026-08-24</x:v>
      </x:c>
      <x:c r="Y9" s="16" t="str">
        <x:v>Олександр</x:v>
      </x:c>
      <x:c r="Z9" s="20" t="str"/>
      <x:c r="AA9" s="16" t="str"/>
    </x:row>
    <x:row r="10">
      <x:c r="A10" s="16" t="str">
        <x:v>AUG-037</x:v>
      </x:c>
      <x:c r="B10" s="16" t="str">
        <x:v>Нова хвиля 24.08</x:v>
      </x:c>
      <x:c r="C10" s="16" t="str">
        <x:v>СМІТ ІНЖИНІРИНГ</x:v>
      </x:c>
      <x:c r="D10" s="16" t="str">
        <x:v>Електрика + слаботочка</x:v>
      </x:c>
      <x:c r="E10" s="16" t="str">
        <x:v>Спеціалізований підрядник</x:v>
      </x:c>
      <x:c r="F10" s="16" t="str">
        <x:v>smit.ua</x:v>
      </x:c>
      <x:c r="G10" s="16" t="str">
        <x:v>Зараз — Н.15</x:v>
      </x:c>
      <x:c r="H10" s="17" t="n">
        <x:v>5</x:v>
      </x:c>
      <x:c r="I10" s="17" t="n">
        <x:v>5</x:v>
      </x:c>
      <x:c r="J10" s="17" t="n">
        <x:v>4</x:v>
      </x:c>
      <x:c r="K10" s="17" t="n">
        <x:v>5</x:v>
      </x:c>
      <x:c r="L10" s="17" t="n">
        <x:v>5</x:v>
      </x:c>
      <x:c r="M10" s="17" t="n">
        <x:v>5</x:v>
      </x:c>
      <x:c r="N10" s="17" t="n">
        <x:f>IF(COUNT(H10:M10)&lt;6,"",H10*6+I10*4+J10*3+K10*3+L10*3+M10)</x:f>
        <x:v>97</x:v>
      </x:c>
      <x:c r="O10" s="19" t="str">
        <x:f>IF(N10="","Legacy",IF(AND(N10&gt;=84,H10&gt;=4,L10&gt;=4),"A",IF(AND(N10&gt;=70,H10&gt;=3),"B","C")))</x:f>
        <x:v>A</x:v>
      </x:c>
      <x:c r="P10" s="16" t="str">
        <x:v>Новий — не контактували</x:v>
      </x:c>
      <x:c r="Q10" s="18" t="str">
        <x:v>Персоналізувати 1-й контакт за доказом; запропонувати перегляд без акаунта</x:v>
      </x:c>
      <x:c r="R10" s="18" t="str">
        <x:v>Директор; руководитель проектов / ПТО</x:v>
      </x:c>
      <x:c r="S10" s="18" t="str">
        <x:v>Полный цикл проектирования, кабельных линий, электроосвещения, автоматизации и слабострумных систем.</x:v>
      </x:c>
      <x:c r="T10" s="18" t="str">
        <x:v>Поддержанные скрытые кабельные работы можно связать с проектом и пусконаладкой.</x:v>
      </x:c>
      <x:c r="U10" s="18" t="str">
        <x:v>https://smit.ua/</x:v>
      </x:c>
      <x:c r="V10" s="16" t="str"/>
      <x:c r="W10" s="16" t="str">
        <x:v>official_site_verified</x:v>
      </x:c>
      <x:c r="X10" s="16" t="str">
        <x:v>2026-08-24</x:v>
      </x:c>
      <x:c r="Y10" s="16" t="str">
        <x:v>Олександр</x:v>
      </x:c>
      <x:c r="Z10" s="20" t="str"/>
      <x:c r="AA10" s="16" t="str"/>
    </x:row>
    <x:row r="11">
      <x:c r="A11" s="16" t="str">
        <x:v>AUG-025</x:v>
      </x:c>
      <x:c r="B11" s="16" t="str">
        <x:v>Нова хвиля 24.08</x:v>
      </x:c>
      <x:c r="C11" s="16" t="str">
        <x:v>Спецбудмонтаж-Україна</x:v>
      </x:c>
      <x:c r="D11" s="16" t="str">
        <x:v>Промисловий MEP</x:v>
      </x:c>
      <x:c r="E11" s="16" t="str">
        <x:v>Спеціалізований підрядник</x:v>
      </x:c>
      <x:c r="F11" s="16" t="str">
        <x:v>specstrojmontazh.ua</x:v>
      </x:c>
      <x:c r="G11" s="16" t="str">
        <x:v>Зараз — Н.14 + Н.15</x:v>
      </x:c>
      <x:c r="H11" s="17" t="n">
        <x:v>5</x:v>
      </x:c>
      <x:c r="I11" s="17" t="n">
        <x:v>5</x:v>
      </x:c>
      <x:c r="J11" s="17" t="n">
        <x:v>4</x:v>
      </x:c>
      <x:c r="K11" s="17" t="n">
        <x:v>5</x:v>
      </x:c>
      <x:c r="L11" s="17" t="n">
        <x:v>5</x:v>
      </x:c>
      <x:c r="M11" s="17" t="n">
        <x:v>5</x:v>
      </x:c>
      <x:c r="N11" s="17" t="n">
        <x:f>IF(COUNT(H11:M11)&lt;6,"",H11*6+I11*4+J11*3+K11*3+L11*3+M11)</x:f>
        <x:v>97</x:v>
      </x:c>
      <x:c r="O11" s="19" t="str">
        <x:f>IF(N11="","Legacy",IF(AND(N11&gt;=84,H11&gt;=4,L11&gt;=4),"A",IF(AND(N11&gt;=70,H11&gt;=3),"B","C")))</x:f>
        <x:v>A</x:v>
      </x:c>
      <x:c r="P11" s="16" t="str">
        <x:v>Новий — не контактували</x:v>
      </x:c>
      <x:c r="Q11" s="18" t="str">
        <x:v>Персоналізувати 1-й контакт за доказом; запропонувати перегляд без акаунта</x:v>
      </x:c>
      <x:c r="R11" s="18" t="str">
        <x:v>Коммерческий директор; руководитель ПТО</x:v>
      </x:c>
      <x:c r="S11" s="18" t="str">
        <x:v>Промышленные инженерные сети и технологическое оборудование для переработки, горной, химической и агропромышленности.</x:v>
      </x:c>
      <x:c r="T11" s="18" t="str">
        <x:v>Внутренние санитарные системы и электроснабжение можно пилотировать без охвата всего генподряда.</x:v>
      </x:c>
      <x:c r="U11" s="18" t="str">
        <x:v>https://specstrojmontazh.ua/services/seti.html</x:v>
      </x:c>
      <x:c r="V11" s="16" t="str"/>
      <x:c r="W11" s="16" t="str">
        <x:v>official_site_verified</x:v>
      </x:c>
      <x:c r="X11" s="16" t="str">
        <x:v>2026-08-24</x:v>
      </x:c>
      <x:c r="Y11" s="16" t="str">
        <x:v>Олександр</x:v>
      </x:c>
      <x:c r="Z11" s="20" t="str"/>
      <x:c r="AA11" s="16" t="str"/>
    </x:row>
    <x:row r="12">
      <x:c r="A12" s="16" t="str">
        <x:v>AUG-031</x:v>
      </x:c>
      <x:c r="B12" s="16" t="str">
        <x:v>Нова хвиля 24.08</x:v>
      </x:c>
      <x:c r="C12" s="16" t="str">
        <x:v>ТД Роял Груп</x:v>
      </x:c>
      <x:c r="D12" s="16" t="str">
        <x:v>Промислова електрика</x:v>
      </x:c>
      <x:c r="E12" s="16" t="str">
        <x:v>Спеціалізований підрядник</x:v>
      </x:c>
      <x:c r="F12" s="16" t="str">
        <x:v>royal-group.com.ua</x:v>
      </x:c>
      <x:c r="G12" s="16" t="str">
        <x:v>Зараз — Н.15</x:v>
      </x:c>
      <x:c r="H12" s="17" t="n">
        <x:v>5</x:v>
      </x:c>
      <x:c r="I12" s="17" t="n">
        <x:v>5</x:v>
      </x:c>
      <x:c r="J12" s="17" t="n">
        <x:v>4</x:v>
      </x:c>
      <x:c r="K12" s="17" t="n">
        <x:v>5</x:v>
      </x:c>
      <x:c r="L12" s="17" t="n">
        <x:v>5</x:v>
      </x:c>
      <x:c r="M12" s="17" t="n">
        <x:v>5</x:v>
      </x:c>
      <x:c r="N12" s="17" t="n">
        <x:f>IF(COUNT(H12:M12)&lt;6,"",H12*6+I12*4+J12*3+K12*3+L12*3+M12)</x:f>
        <x:v>97</x:v>
      </x:c>
      <x:c r="O12" s="19" t="str">
        <x:f>IF(N12="","Legacy",IF(AND(N12&gt;=84,H12&gt;=4,L12&gt;=4),"A",IF(AND(N12&gt;=70,H12&gt;=3),"B","C")))</x:f>
        <x:v>A</x:v>
      </x:c>
      <x:c r="P12" s="16" t="str">
        <x:v>Новий — не контактували</x:v>
      </x:c>
      <x:c r="Q12" s="18" t="str">
        <x:v>Персоналізувати 1-й контакт за доказом; запропонувати перегляд без акаунта</x:v>
      </x:c>
      <x:c r="R12" s="18" t="str">
        <x:v>Коммерческий директор; руководитель ПТО</x:v>
      </x:c>
      <x:c r="S12" s="18" t="str">
        <x:v>Электромонтаж до 110 кВ, КТП/БКТП, кабельные линии, пусконаладка и приёмочные испытания; опыт с 2014 года.</x:v>
      </x:c>
      <x:c r="T12" s="18" t="str">
        <x:v>Полностью поддержанный Н.15-контур с явными протоколами и сдачей.</x:v>
      </x:c>
      <x:c r="U12" s="18" t="str">
        <x:v>https://royal-group.com.ua/uk</x:v>
      </x:c>
      <x:c r="V12" s="16" t="str"/>
      <x:c r="W12" s="16" t="str">
        <x:v>official_site_verified</x:v>
      </x:c>
      <x:c r="X12" s="16" t="str">
        <x:v>2026-08-24</x:v>
      </x:c>
      <x:c r="Y12" s="16" t="str">
        <x:v>Олександр</x:v>
      </x:c>
      <x:c r="Z12" s="20" t="str"/>
      <x:c r="AA12" s="16" t="str"/>
    </x:row>
    <x:row r="13">
      <x:c r="A13" s="16" t="str">
        <x:v>V3-032</x:v>
      </x:c>
      <x:c r="B13" s="16" t="str">
        <x:v>Досліджено 28.07</x:v>
      </x:c>
      <x:c r="C13" s="16" t="str">
        <x:v>ТОВ «ВЕМА ЗАХІД»</x:v>
      </x:c>
      <x:c r="D13" s="16" t="str">
        <x:v>Електромонтаж</x:v>
      </x:c>
      <x:c r="E13" s="16" t="str">
        <x:v>Спеціалізований підрядник</x:v>
      </x:c>
      <x:c r="F13" s="16" t="str">
        <x:v>vemazahid.com</x:v>
      </x:c>
      <x:c r="G13" s="16" t="str">
        <x:v>Зараз — Н.15</x:v>
      </x:c>
      <x:c r="H13" s="17" t="n">
        <x:v>5</x:v>
      </x:c>
      <x:c r="I13" s="17" t="n">
        <x:v>5</x:v>
      </x:c>
      <x:c r="J13" s="17" t="n">
        <x:v>4</x:v>
      </x:c>
      <x:c r="K13" s="17" t="n">
        <x:v>5</x:v>
      </x:c>
      <x:c r="L13" s="17" t="n">
        <x:v>5</x:v>
      </x:c>
      <x:c r="M13" s="17" t="n">
        <x:v>5</x:v>
      </x:c>
      <x:c r="N13" s="17" t="n">
        <x:f>IF(COUNT(H13:M13)&lt;6,"",H13*6+I13*4+J13*3+K13*3+L13*3+M13)</x:f>
        <x:v>97</x:v>
      </x:c>
      <x:c r="O13" s="19" t="str">
        <x:f>IF(N13="","Legacy",IF(AND(N13&gt;=84,H13&gt;=4,L13&gt;=4),"A",IF(AND(N13&gt;=70,H13&gt;=3),"B","C")))</x:f>
        <x:v>A</x:v>
      </x:c>
      <x:c r="P13" s="16" t="str">
        <x:v>Надіслано 28.07 — follow-up</x:v>
      </x:c>
      <x:c r="Q13" s="18" t="str">
        <x:v>Follow-up: показати перегляд без акаунта; попросити 1 анонімізований акт/АВР</x:v>
      </x:c>
      <x:c r="R13" s="18" t="str">
        <x:v>Власник / директор; керівник ПТО</x:v>
      </x:c>
      <x:c r="S13" s="18" t="str">
        <x:v>Повний цикл електропостачання: проєкт, приєднання, кабельні/повітряні лінії, підстанції, налагодження й техобслуговування.</x:v>
      </x:c>
      <x:c r="T13" s="18" t="str">
        <x:v>Закриття кабельних трас, фундаментів і заземлення до приймання; потрібна доказова виконавча документація.</x:v>
      </x:c>
      <x:c r="U13" s="18" t="str">
        <x:v>https://vemazahid.com/pro-kompaniyu/</x:v>
      </x:c>
      <x:c r="V13" s="16" t="str">
        <x:v>31659280</x:v>
      </x:c>
      <x:c r="W13" s="16" t="str">
        <x:v>official+registry</x:v>
      </x:c>
      <x:c r="X13" s="16" t="str">
        <x:v>2026-07-28</x:v>
      </x:c>
      <x:c r="Y13" s="16" t="str">
        <x:v>Олександр</x:v>
      </x:c>
      <x:c r="Z13" s="20" t="str"/>
      <x:c r="AA13" s="16" t="str">
        <x:v>Реєстр: https://opendatabot.ua/c/31659280</x:v>
      </x:c>
    </x:row>
    <x:row r="14">
      <x:c r="A14" s="16" t="str">
        <x:v>V3-033</x:v>
      </x:c>
      <x:c r="B14" s="16" t="str">
        <x:v>Досліджено 28.07</x:v>
      </x:c>
      <x:c r="C14" s="16" t="str">
        <x:v>ТОВ «ЕМБУД»</x:v>
      </x:c>
      <x:c r="D14" s="16" t="str">
        <x:v>Електромонтаж</x:v>
      </x:c>
      <x:c r="E14" s="16" t="str">
        <x:v>Спеціалізований підрядник</x:v>
      </x:c>
      <x:c r="F14" s="16" t="str">
        <x:v>embud.com.ua</x:v>
      </x:c>
      <x:c r="G14" s="16" t="str">
        <x:v>Зараз — Н.15</x:v>
      </x:c>
      <x:c r="H14" s="17" t="n">
        <x:v>5</x:v>
      </x:c>
      <x:c r="I14" s="17" t="n">
        <x:v>5</x:v>
      </x:c>
      <x:c r="J14" s="17" t="n">
        <x:v>4</x:v>
      </x:c>
      <x:c r="K14" s="17" t="n">
        <x:v>5</x:v>
      </x:c>
      <x:c r="L14" s="17" t="n">
        <x:v>5</x:v>
      </x:c>
      <x:c r="M14" s="17" t="n">
        <x:v>5</x:v>
      </x:c>
      <x:c r="N14" s="17" t="n">
        <x:f>IF(COUNT(H14:M14)&lt;6,"",H14*6+I14*4+J14*3+K14*3+L14*3+M14)</x:f>
        <x:v>97</x:v>
      </x:c>
      <x:c r="O14" s="19" t="str">
        <x:f>IF(N14="","Legacy",IF(AND(N14&gt;=84,H14&gt;=4,L14&gt;=4),"A",IF(AND(N14&gt;=70,H14&gt;=3),"B","C")))</x:f>
        <x:v>A</x:v>
      </x:c>
      <x:c r="P14" s="16" t="str">
        <x:v>Надіслано 28.07 — follow-up</x:v>
      </x:c>
      <x:c r="Q14" s="18" t="str">
        <x:v>Follow-up: показати перегляд без акаунта; попросити 1 анонімізований акт/АВР</x:v>
      </x:c>
      <x:c r="R14" s="18" t="str">
        <x:v>Власник / директор; керівник ПТО</x:v>
      </x:c>
      <x:c r="S14" s="18" t="str">
        <x:v>Електромонтаж, автоматизація та BMS; виконує інженерні системи для комерційних і промислових об’єктів.</x:v>
      </x:c>
      <x:c r="T14" s="18" t="str">
        <x:v>Кабельні мережі, датчики та автоматика часто закриваються оздобленням; приймання залежить від протоколів і маркування.</x:v>
      </x:c>
      <x:c r="U14" s="18" t="str">
        <x:v>https://embud.com.ua/</x:v>
      </x:c>
      <x:c r="V14" s="16" t="str">
        <x:v>40349760</x:v>
      </x:c>
      <x:c r="W14" s="16" t="str">
        <x:v>official+registry</x:v>
      </x:c>
      <x:c r="X14" s="16" t="str">
        <x:v>2026-07-28</x:v>
      </x:c>
      <x:c r="Y14" s="16" t="str">
        <x:v>Олександр</x:v>
      </x:c>
      <x:c r="Z14" s="20" t="str"/>
      <x:c r="AA14" s="16" t="str">
        <x:v>Реєстр: https://www.ua-region.com.ua/en/40349760</x:v>
      </x:c>
    </x:row>
    <x:row r="15">
      <x:c r="A15" s="16" t="str">
        <x:v>V3-034</x:v>
      </x:c>
      <x:c r="B15" s="16" t="str">
        <x:v>Досліджено 28.07</x:v>
      </x:c>
      <x:c r="C15" s="16" t="str">
        <x:v>ТОВ «КОМУНІКАЦІЇ ТА ІНЖЕНЕРНІ МЕРЕЖІ»</x:v>
      </x:c>
      <x:c r="D15" s="16" t="str">
        <x:v>Електромонтаж</x:v>
      </x:c>
      <x:c r="E15" s="16" t="str">
        <x:v>Спеціалізований підрядник</x:v>
      </x:c>
      <x:c r="F15" s="16" t="str">
        <x:v>kimelectro.com</x:v>
      </x:c>
      <x:c r="G15" s="16" t="str">
        <x:v>Зараз — Н.15</x:v>
      </x:c>
      <x:c r="H15" s="17" t="n">
        <x:v>5</x:v>
      </x:c>
      <x:c r="I15" s="17" t="n">
        <x:v>5</x:v>
      </x:c>
      <x:c r="J15" s="17" t="n">
        <x:v>4</x:v>
      </x:c>
      <x:c r="K15" s="17" t="n">
        <x:v>5</x:v>
      </x:c>
      <x:c r="L15" s="17" t="n">
        <x:v>5</x:v>
      </x:c>
      <x:c r="M15" s="17" t="n">
        <x:v>5</x:v>
      </x:c>
      <x:c r="N15" s="17" t="n">
        <x:f>IF(COUNT(H15:M15)&lt;6,"",H15*6+I15*4+J15*3+K15*3+L15*3+M15)</x:f>
        <x:v>97</x:v>
      </x:c>
      <x:c r="O15" s="19" t="str">
        <x:f>IF(N15="","Legacy",IF(AND(N15&gt;=84,H15&gt;=4,L15&gt;=4),"A",IF(AND(N15&gt;=70,H15&gt;=3),"B","C")))</x:f>
        <x:v>A</x:v>
      </x:c>
      <x:c r="P15" s="16" t="str">
        <x:v>Надіслано 28.07 — follow-up</x:v>
      </x:c>
      <x:c r="Q15" s="18" t="str">
        <x:v>Follow-up: показати перегляд без акаунта; попросити 1 анонімізований акт/АВР</x:v>
      </x:c>
      <x:c r="R15" s="18" t="str">
        <x:v>Власник / директор; керівник ПТО</x:v>
      </x:c>
      <x:c r="S15" s="18" t="str">
        <x:v>Проєктування, виробництво щитів, електромонтаж і будівельні роботи; у реєстрі є сертифіковані виконавці.</x:v>
      </x:c>
      <x:c r="T15" s="18" t="str">
        <x:v>Кабельні траси, заземлення, щити та приєднання потребують поетапного контролю, протоколів і комплектності документів.</x:v>
      </x:c>
      <x:c r="U15" s="18" t="str">
        <x:v>https://kimelectro.com/</x:v>
      </x:c>
      <x:c r="V15" s="16" t="str">
        <x:v>37280567</x:v>
      </x:c>
      <x:c r="W15" s="16" t="str">
        <x:v>official+registry</x:v>
      </x:c>
      <x:c r="X15" s="16" t="str">
        <x:v>2026-07-28</x:v>
      </x:c>
      <x:c r="Y15" s="16" t="str">
        <x:v>Олександр</x:v>
      </x:c>
      <x:c r="Z15" s="20" t="str"/>
      <x:c r="AA15" s="16" t="str">
        <x:v>Реєстр: https://opendatabot.ua/c/37280567</x:v>
      </x:c>
    </x:row>
    <x:row r="16">
      <x:c r="A16" s="16" t="str">
        <x:v>V3-035</x:v>
      </x:c>
      <x:c r="B16" s="16" t="str">
        <x:v>Досліджено 28.07</x:v>
      </x:c>
      <x:c r="C16" s="16" t="str">
        <x:v>ТОВ «НЕТЛАЙН»</x:v>
      </x:c>
      <x:c r="D16" s="16" t="str">
        <x:v>Електромонтаж</x:v>
      </x:c>
      <x:c r="E16" s="16" t="str">
        <x:v>Спеціалізований підрядник</x:v>
      </x:c>
      <x:c r="F16" s="16" t="str">
        <x:v>netline.top</x:v>
      </x:c>
      <x:c r="G16" s="16" t="str">
        <x:v>Зараз — Н.15</x:v>
      </x:c>
      <x:c r="H16" s="17" t="n">
        <x:v>5</x:v>
      </x:c>
      <x:c r="I16" s="17" t="n">
        <x:v>5</x:v>
      </x:c>
      <x:c r="J16" s="17" t="n">
        <x:v>4</x:v>
      </x:c>
      <x:c r="K16" s="17" t="n">
        <x:v>5</x:v>
      </x:c>
      <x:c r="L16" s="17" t="n">
        <x:v>5</x:v>
      </x:c>
      <x:c r="M16" s="17" t="n">
        <x:v>5</x:v>
      </x:c>
      <x:c r="N16" s="17" t="n">
        <x:f>IF(COUNT(H16:M16)&lt;6,"",H16*6+I16*4+J16*3+K16*3+L16*3+M16)</x:f>
        <x:v>97</x:v>
      </x:c>
      <x:c r="O16" s="19" t="str">
        <x:f>IF(N16="","Legacy",IF(AND(N16&gt;=84,H16&gt;=4,L16&gt;=4),"A",IF(AND(N16&gt;=70,H16&gt;=3),"B","C")))</x:f>
        <x:v>A</x:v>
      </x:c>
      <x:c r="P16" s="16" t="str">
        <x:v>Надіслано 28.07 — follow-up</x:v>
      </x:c>
      <x:c r="Q16" s="18" t="str">
        <x:v>Follow-up: показати перегляд без акаунта; попросити 1 анонімізований акт/АВР</x:v>
      </x:c>
      <x:c r="R16" s="18" t="str">
        <x:v>Власник / директор; керівник ПТО</x:v>
      </x:c>
      <x:c r="S16" s="18" t="str">
        <x:v>Зовнішнє освітлення, кабельні й лоткові траси, щитове обладнання, блискавкозахист та проєктні роботи.</x:v>
      </x:c>
      <x:c r="T16" s="18" t="str">
        <x:v>Підземні кабелі, закладні й контур заземлення мають бути зафіксовані до засипання та оздоблення.</x:v>
      </x:c>
      <x:c r="U16" s="18" t="str">
        <x:v>https://www.netline.top/en/%D0%B3%D0%BE%D0%BB%D0%BE%D0%B2%D0%BD%D0%B0-english/</x:v>
      </x:c>
      <x:c r="V16" s="16" t="str">
        <x:v>40547614</x:v>
      </x:c>
      <x:c r="W16" s="16" t="str">
        <x:v>official+registry</x:v>
      </x:c>
      <x:c r="X16" s="16" t="str">
        <x:v>2026-07-28</x:v>
      </x:c>
      <x:c r="Y16" s="16" t="str">
        <x:v>Олександр</x:v>
      </x:c>
      <x:c r="Z16" s="20" t="str"/>
      <x:c r="AA16" s="16" t="str">
        <x:v>Реєстр: https://youcontrol.com.ua/catalog/company_details/40547614/</x:v>
      </x:c>
    </x:row>
    <x:row r="17">
      <x:c r="A17" s="16" t="str">
        <x:v>AUG-015</x:v>
      </x:c>
      <x:c r="B17" s="16" t="str">
        <x:v>Нова хвиля 24.08</x:v>
      </x:c>
      <x:c r="C17" s="16" t="str">
        <x:v>Українська компанія ПРОМСИЛА</x:v>
      </x:c>
      <x:c r="D17" s="16" t="str">
        <x:v>Промислова електрика + пожежні системи</x:v>
      </x:c>
      <x:c r="E17" s="16" t="str">
        <x:v>Спеціалізований підрядник</x:v>
      </x:c>
      <x:c r="F17" s="16" t="str">
        <x:v>mc-promsila.com.ua</x:v>
      </x:c>
      <x:c r="G17" s="16" t="str">
        <x:v>Зараз — Н.15</x:v>
      </x:c>
      <x:c r="H17" s="17" t="n">
        <x:v>5</x:v>
      </x:c>
      <x:c r="I17" s="17" t="n">
        <x:v>5</x:v>
      </x:c>
      <x:c r="J17" s="17" t="n">
        <x:v>4</x:v>
      </x:c>
      <x:c r="K17" s="17" t="n">
        <x:v>5</x:v>
      </x:c>
      <x:c r="L17" s="17" t="n">
        <x:v>5</x:v>
      </x:c>
      <x:c r="M17" s="17" t="n">
        <x:v>5</x:v>
      </x:c>
      <x:c r="N17" s="17" t="n">
        <x:f>IF(COUNT(H17:M17)&lt;6,"",H17*6+I17*4+J17*3+K17*3+L17*3+M17)</x:f>
        <x:v>97</x:v>
      </x:c>
      <x:c r="O17" s="19" t="str">
        <x:f>IF(N17="","Legacy",IF(AND(N17&gt;=84,H17&gt;=4,L17&gt;=4),"A",IF(AND(N17&gt;=70,H17&gt;=3),"B","C")))</x:f>
        <x:v>A</x:v>
      </x:c>
      <x:c r="P17" s="16" t="str">
        <x:v>Новий — не контактували</x:v>
      </x:c>
      <x:c r="Q17" s="18" t="str">
        <x:v>Персоналізувати 1-й контакт за доказом; запропонувати перегляд без акаунта</x:v>
      </x:c>
      <x:c r="R17" s="18" t="str">
        <x:v>Директор; руководитель ПТО / энергетических проектов</x:v>
      </x:c>
      <x:c r="S17" s="18" t="str">
        <x:v>Полный комплекс энергоснабжения промышленных объектов, электромонтаж, пусконаладка и противопожарные системы.</x:v>
      </x:c>
      <x:c r="T17" s="18" t="str">
        <x:v>Можно начать с кабельных линий/заземления и не включать неподдержанные требования пожаротушения.</x:v>
      </x:c>
      <x:c r="U17" s="18" t="str">
        <x:v>https://mc-promsila.com.ua/</x:v>
      </x:c>
      <x:c r="V17" s="16" t="str"/>
      <x:c r="W17" s="16" t="str">
        <x:v>official_site_verified</x:v>
      </x:c>
      <x:c r="X17" s="16" t="str">
        <x:v>2026-08-24</x:v>
      </x:c>
      <x:c r="Y17" s="16" t="str">
        <x:v>Олександр</x:v>
      </x:c>
      <x:c r="Z17" s="20" t="str"/>
      <x:c r="AA17" s="16" t="str"/>
    </x:row>
    <x:row r="18">
      <x:c r="A18" s="16" t="str">
        <x:v>AUG-041</x:v>
      </x:c>
      <x:c r="B18" s="16" t="str">
        <x:v>Нова хвиля 24.08</x:v>
      </x:c>
      <x:c r="C18" s="16" t="str">
        <x:v>DOWBUSH energo</x:v>
      </x:c>
      <x:c r="D18" s="16" t="str">
        <x:v>Промислова електрика</x:v>
      </x:c>
      <x:c r="E18" s="16" t="str">
        <x:v>Спеціалізований підрядник</x:v>
      </x:c>
      <x:c r="F18" s="16" t="str">
        <x:v>energo.dowbush.com</x:v>
      </x:c>
      <x:c r="G18" s="16" t="str">
        <x:v>Зараз — Н.15</x:v>
      </x:c>
      <x:c r="H18" s="17" t="n">
        <x:v>5</x:v>
      </x:c>
      <x:c r="I18" s="17" t="n">
        <x:v>5</x:v>
      </x:c>
      <x:c r="J18" s="17" t="n">
        <x:v>4</x:v>
      </x:c>
      <x:c r="K18" s="17" t="n">
        <x:v>5</x:v>
      </x:c>
      <x:c r="L18" s="17" t="n">
        <x:v>5</x:v>
      </x:c>
      <x:c r="M18" s="17" t="n">
        <x:v>5</x:v>
      </x:c>
      <x:c r="N18" s="17" t="n">
        <x:f>IF(COUNT(H18:M18)&lt;6,"",H18*6+I18*4+J18*3+K18*3+L18*3+M18)</x:f>
        <x:v>97</x:v>
      </x:c>
      <x:c r="O18" s="19" t="str">
        <x:f>IF(N18="","Legacy",IF(AND(N18&gt;=84,H18&gt;=4,L18&gt;=4),"A",IF(AND(N18&gt;=70,H18&gt;=3),"B","C")))</x:f>
        <x:v>A</x:v>
      </x:c>
      <x:c r="P18" s="16" t="str">
        <x:v>Новий — не контактували</x:v>
      </x:c>
      <x:c r="Q18" s="18" t="str">
        <x:v>Персоналізувати 1-й контакт за доказом; запропонувати перегляд без акаунта</x:v>
      </x:c>
      <x:c r="R18" s="18" t="str">
        <x:v>Коммерческий директор; руководитель ПТО</x:v>
      </x:c>
      <x:c r="S18" s="18" t="str">
        <x:v>Подстанции КТП/РП/ЗТП, кабельные линии, монтаж, пусконаладка и протоколы испытаний в единой ответственности.</x:v>
      </x:c>
      <x:c r="T18" s="18" t="str">
        <x:v>Явная связка работ, испытаний и протоколов идеально подходит для Н.15-пилота.</x:v>
      </x:c>
      <x:c r="U18" s="18" t="str">
        <x:v>https://energo.dowbush.com/uk/services</x:v>
      </x:c>
      <x:c r="V18" s="16" t="str"/>
      <x:c r="W18" s="16" t="str">
        <x:v>official_site_verified</x:v>
      </x:c>
      <x:c r="X18" s="16" t="str">
        <x:v>2026-08-24</x:v>
      </x:c>
      <x:c r="Y18" s="16" t="str">
        <x:v>Олександр</x:v>
      </x:c>
      <x:c r="Z18" s="20" t="str"/>
      <x:c r="AA18" s="16" t="str"/>
    </x:row>
    <x:row r="19">
      <x:c r="A19" s="16" t="str">
        <x:v>AUG-023</x:v>
      </x:c>
      <x:c r="B19" s="16" t="str">
        <x:v>Нова хвиля 24.08</x:v>
      </x:c>
      <x:c r="C19" s="16" t="str">
        <x:v>RUDNIK</x:v>
      </x:c>
      <x:c r="D19" s="16" t="str">
        <x:v>СЕС + електрика</x:v>
      </x:c>
      <x:c r="E19" s="16" t="str">
        <x:v>Спеціалізований підрядник</x:v>
      </x:c>
      <x:c r="F19" s="16" t="str">
        <x:v>rudnik.ua</x:v>
      </x:c>
      <x:c r="G19" s="16" t="str">
        <x:v>Зараз — Н.15</x:v>
      </x:c>
      <x:c r="H19" s="17" t="n">
        <x:v>5</x:v>
      </x:c>
      <x:c r="I19" s="17" t="n">
        <x:v>5</x:v>
      </x:c>
      <x:c r="J19" s="17" t="n">
        <x:v>5</x:v>
      </x:c>
      <x:c r="K19" s="17" t="n">
        <x:v>4</x:v>
      </x:c>
      <x:c r="L19" s="17" t="n">
        <x:v>5</x:v>
      </x:c>
      <x:c r="M19" s="17" t="n">
        <x:v>5</x:v>
      </x:c>
      <x:c r="N19" s="17" t="n">
        <x:f>IF(COUNT(H19:M19)&lt;6,"",H19*6+I19*4+J19*3+K19*3+L19*3+M19)</x:f>
        <x:v>97</x:v>
      </x:c>
      <x:c r="O19" s="19" t="str">
        <x:f>IF(N19="","Legacy",IF(AND(N19&gt;=84,H19&gt;=4,L19&gt;=4),"A",IF(AND(N19&gt;=70,H19&gt;=3),"B","C")))</x:f>
        <x:v>A</x:v>
      </x:c>
      <x:c r="P19" s="16" t="str">
        <x:v>Новий — не контактували</x:v>
      </x:c>
      <x:c r="Q19" s="18" t="str">
        <x:v>Персоналізувати 1-й контакт за доказом; запропонувати перегляд без акаунта</x:v>
      </x:c>
      <x:c r="R19" s="18" t="str">
        <x:v>Коммерческий директор; руководитель строительства / ПТО</x:v>
      </x:c>
      <x:c r="S19" s="18" t="str">
        <x:v>Проектирование и монтаж промышленных СЭС; 1000+ солнечных станций, производственные мощности 120 МВт/год.</x:v>
      </x:c>
      <x:c r="T19" s="18" t="str">
        <x:v>Кабели, заземление и приёмка электроустановок дают большой повторяемый массив доказательств.</x:v>
      </x:c>
      <x:c r="U19" s="18" t="str">
        <x:v>https://www.rudnik.ua/</x:v>
      </x:c>
      <x:c r="V19" s="16" t="str"/>
      <x:c r="W19" s="16" t="str">
        <x:v>official_site_verified</x:v>
      </x:c>
      <x:c r="X19" s="16" t="str">
        <x:v>2026-08-24</x:v>
      </x:c>
      <x:c r="Y19" s="16" t="str">
        <x:v>Олександр</x:v>
      </x:c>
      <x:c r="Z19" s="20" t="str"/>
      <x:c r="AA19" s="16" t="str"/>
    </x:row>
    <x:row r="20">
      <x:c r="A20" s="16" t="str">
        <x:v>AUG-028</x:v>
      </x:c>
      <x:c r="B20" s="16" t="str">
        <x:v>Нова хвиля 24.08</x:v>
      </x:c>
      <x:c r="C20" s="16" t="str">
        <x:v>Авангард Солар</x:v>
      </x:c>
      <x:c r="D20" s="16" t="str">
        <x:v>СЕС + електрика</x:v>
      </x:c>
      <x:c r="E20" s="16" t="str">
        <x:v>Спеціалізований підрядник</x:v>
      </x:c>
      <x:c r="F20" s="16" t="str">
        <x:v>avangard-solar.com.ua</x:v>
      </x:c>
      <x:c r="G20" s="16" t="str">
        <x:v>Зараз — Н.15</x:v>
      </x:c>
      <x:c r="H20" s="17" t="n">
        <x:v>5</x:v>
      </x:c>
      <x:c r="I20" s="17" t="n">
        <x:v>5</x:v>
      </x:c>
      <x:c r="J20" s="17" t="n">
        <x:v>4</x:v>
      </x:c>
      <x:c r="K20" s="17" t="n">
        <x:v>4</x:v>
      </x:c>
      <x:c r="L20" s="17" t="n">
        <x:v>5</x:v>
      </x:c>
      <x:c r="M20" s="17" t="n">
        <x:v>5</x:v>
      </x:c>
      <x:c r="N20" s="17" t="n">
        <x:f>IF(COUNT(H20:M20)&lt;6,"",H20*6+I20*4+J20*3+K20*3+L20*3+M20)</x:f>
        <x:v>94</x:v>
      </x:c>
      <x:c r="O20" s="19" t="str">
        <x:f>IF(N20="","Legacy",IF(AND(N20&gt;=84,H20&gt;=4,L20&gt;=4),"A",IF(AND(N20&gt;=70,H20&gt;=3),"B","C")))</x:f>
        <x:v>A</x:v>
      </x:c>
      <x:c r="P20" s="16" t="str">
        <x:v>Новий — не контактували</x:v>
      </x:c>
      <x:c r="Q20" s="18" t="str">
        <x:v>Персоналізувати 1-й контакт за доказом; запропонувати перегляд без акаунта</x:v>
      </x:c>
      <x:c r="R20" s="18" t="str">
        <x:v>Владелец; руководитель монтажных проектов</x:v>
      </x:c>
      <x:c r="S20" s="18" t="str">
        <x:v>Промышленные и коммерческие СЭС; портфолио заводов, клиник, агро- и бизнес-объектов по Украине.</x:v>
      </x:c>
      <x:c r="T20" s="18" t="str">
        <x:v>Фото кабельных трасс и заземления до закрытия можно связать с приёмкой электроустановки.</x:v>
      </x:c>
      <x:c r="U20" s="18" t="str">
        <x:v>https://www.avangard-solar.com.ua/</x:v>
      </x:c>
      <x:c r="V20" s="16" t="str"/>
      <x:c r="W20" s="16" t="str">
        <x:v>official_site_verified</x:v>
      </x:c>
      <x:c r="X20" s="16" t="str">
        <x:v>2026-08-24</x:v>
      </x:c>
      <x:c r="Y20" s="16" t="str">
        <x:v>Олександр</x:v>
      </x:c>
      <x:c r="Z20" s="20" t="str"/>
      <x:c r="AA20" s="16" t="str"/>
    </x:row>
    <x:row r="21">
      <x:c r="A21" s="16" t="str">
        <x:v>AUG-039</x:v>
      </x:c>
      <x:c r="B21" s="16" t="str">
        <x:v>Нова хвиля 24.08</x:v>
      </x:c>
      <x:c r="C21" s="16" t="str">
        <x:v>ВОЛЬТ ЕНЕРГО МОНТАЖ</x:v>
      </x:c>
      <x:c r="D21" s="16" t="str">
        <x:v>Електромонтаж</x:v>
      </x:c>
      <x:c r="E21" s="16" t="str">
        <x:v>Спеціалізований підрядник</x:v>
      </x:c>
      <x:c r="F21" s="16" t="str">
        <x:v>voltmontage.com.ua</x:v>
      </x:c>
      <x:c r="G21" s="16" t="str">
        <x:v>Зараз — Н.15</x:v>
      </x:c>
      <x:c r="H21" s="17" t="n">
        <x:v>5</x:v>
      </x:c>
      <x:c r="I21" s="17" t="n">
        <x:v>5</x:v>
      </x:c>
      <x:c r="J21" s="17" t="n">
        <x:v>3</x:v>
      </x:c>
      <x:c r="K21" s="17" t="n">
        <x:v>5</x:v>
      </x:c>
      <x:c r="L21" s="17" t="n">
        <x:v>5</x:v>
      </x:c>
      <x:c r="M21" s="17" t="n">
        <x:v>5</x:v>
      </x:c>
      <x:c r="N21" s="17" t="n">
        <x:f>IF(COUNT(H21:M21)&lt;6,"",H21*6+I21*4+J21*3+K21*3+L21*3+M21)</x:f>
        <x:v>94</x:v>
      </x:c>
      <x:c r="O21" s="19" t="str">
        <x:f>IF(N21="","Legacy",IF(AND(N21&gt;=84,H21&gt;=4,L21&gt;=4),"A",IF(AND(N21&gt;=70,H21&gt;=3),"B","C")))</x:f>
        <x:v>A</x:v>
      </x:c>
      <x:c r="P21" s="16" t="str">
        <x:v>Новий — не контактували</x:v>
      </x:c>
      <x:c r="Q21" s="18" t="str">
        <x:v>Персоналізувати 1-й контакт за доказом; запропонувати перегляд без акаунта</x:v>
      </x:c>
      <x:c r="R21" s="18" t="str">
        <x:v>Директор; руководитель электролаборатории / проектов</x:v>
      </x:c>
      <x:c r="S21" s="18" t="str">
        <x:v>Полный цикл 0,4–10 кВ: проектирование, кабельные/воздушные линии, молниезащита, пусконаладка и электролаборатория.</x:v>
      </x:c>
      <x:c r="T21" s="18" t="str">
        <x:v>Н.15 полностью соответствует заявленным кабельным и заземляющим работам.</x:v>
      </x:c>
      <x:c r="U21" s="18" t="str">
        <x:v>https://voltmontage.com.ua/</x:v>
      </x:c>
      <x:c r="V21" s="16" t="str"/>
      <x:c r="W21" s="16" t="str">
        <x:v>official_site_verified</x:v>
      </x:c>
      <x:c r="X21" s="16" t="str">
        <x:v>2026-08-24</x:v>
      </x:c>
      <x:c r="Y21" s="16" t="str">
        <x:v>Олександр</x:v>
      </x:c>
      <x:c r="Z21" s="20" t="str"/>
      <x:c r="AA21" s="16" t="str"/>
    </x:row>
    <x:row r="22">
      <x:c r="A22" s="16" t="str">
        <x:v>AUG-013</x:v>
      </x:c>
      <x:c r="B22" s="16" t="str">
        <x:v>Нова хвиля 24.08</x:v>
      </x:c>
      <x:c r="C22" s="16" t="str">
        <x:v>Електрощит</x:v>
      </x:c>
      <x:c r="D22" s="16" t="str">
        <x:v>Промислова електрика</x:v>
      </x:c>
      <x:c r="E22" s="16" t="str">
        <x:v>Спеціалізований підрядник</x:v>
      </x:c>
      <x:c r="F22" s="16" t="str">
        <x:v>elektroschit.com.ua</x:v>
      </x:c>
      <x:c r="G22" s="16" t="str">
        <x:v>Зараз — Н.15</x:v>
      </x:c>
      <x:c r="H22" s="17" t="n">
        <x:v>5</x:v>
      </x:c>
      <x:c r="I22" s="17" t="n">
        <x:v>5</x:v>
      </x:c>
      <x:c r="J22" s="17" t="n">
        <x:v>4</x:v>
      </x:c>
      <x:c r="K22" s="17" t="n">
        <x:v>4</x:v>
      </x:c>
      <x:c r="L22" s="17" t="n">
        <x:v>5</x:v>
      </x:c>
      <x:c r="M22" s="17" t="n">
        <x:v>5</x:v>
      </x:c>
      <x:c r="N22" s="17" t="n">
        <x:f>IF(COUNT(H22:M22)&lt;6,"",H22*6+I22*4+J22*3+K22*3+L22*3+M22)</x:f>
        <x:v>94</x:v>
      </x:c>
      <x:c r="O22" s="19" t="str">
        <x:f>IF(N22="","Legacy",IF(AND(N22&gt;=84,H22&gt;=4,L22&gt;=4),"A",IF(AND(N22&gt;=70,H22&gt;=3),"B","C")))</x:f>
        <x:v>A</x:v>
      </x:c>
      <x:c r="P22" s="16" t="str">
        <x:v>Новий — не контактували</x:v>
      </x:c>
      <x:c r="Q22" s="18" t="str">
        <x:v>Персоналізувати 1-й контакт за доказом; запропонувати перегляд без акаунта</x:v>
      </x:c>
      <x:c r="R22" s="18" t="str">
        <x:v>Директор; руководитель проектов / ПТО</x:v>
      </x:c>
      <x:c r="S22" s="18" t="str">
        <x:v>25 лет опыта, полный цикл от ТЗ до пусконаладки на промышленных, складских и агрообъектах по Украине.</x:v>
      </x:c>
      <x:c r="T22" s="18" t="str">
        <x:v>Кабельные трассы, маркировка, автоматика и пусконаладка формируют измеримый доказательный пакет.</x:v>
      </x:c>
      <x:c r="U22" s="18" t="str">
        <x:v>https://elektroschit.com.ua/posluhy-ta-produktsiia/elektromontazh/</x:v>
      </x:c>
      <x:c r="V22" s="16" t="str"/>
      <x:c r="W22" s="16" t="str">
        <x:v>official_site_verified</x:v>
      </x:c>
      <x:c r="X22" s="16" t="str">
        <x:v>2026-08-24</x:v>
      </x:c>
      <x:c r="Y22" s="16" t="str">
        <x:v>Олександр</x:v>
      </x:c>
      <x:c r="Z22" s="20" t="str"/>
      <x:c r="AA22" s="16" t="str"/>
    </x:row>
    <x:row r="23">
      <x:c r="A23" s="16" t="str">
        <x:v>AUG-010</x:v>
      </x:c>
      <x:c r="B23" s="16" t="str">
        <x:v>Нова хвиля 24.08</x:v>
      </x:c>
      <x:c r="C23" s="16" t="str">
        <x:v>Мега Watt</x:v>
      </x:c>
      <x:c r="D23" s="16" t="str">
        <x:v>Електромонтаж</x:v>
      </x:c>
      <x:c r="E23" s="16" t="str">
        <x:v>Спеціалізований підрядник</x:v>
      </x:c>
      <x:c r="F23" s="16" t="str">
        <x:v>megawatt.ua</x:v>
      </x:c>
      <x:c r="G23" s="16" t="str">
        <x:v>Зараз — Н.15</x:v>
      </x:c>
      <x:c r="H23" s="17" t="n">
        <x:v>5</x:v>
      </x:c>
      <x:c r="I23" s="17" t="n">
        <x:v>5</x:v>
      </x:c>
      <x:c r="J23" s="17" t="n">
        <x:v>4</x:v>
      </x:c>
      <x:c r="K23" s="17" t="n">
        <x:v>4</x:v>
      </x:c>
      <x:c r="L23" s="17" t="n">
        <x:v>5</x:v>
      </x:c>
      <x:c r="M23" s="17" t="n">
        <x:v>5</x:v>
      </x:c>
      <x:c r="N23" s="17" t="n">
        <x:f>IF(COUNT(H23:M23)&lt;6,"",H23*6+I23*4+J23*3+K23*3+L23*3+M23)</x:f>
        <x:v>94</x:v>
      </x:c>
      <x:c r="O23" s="19" t="str">
        <x:f>IF(N23="","Legacy",IF(AND(N23&gt;=84,H23&gt;=4,L23&gt;=4),"A",IF(AND(N23&gt;=70,H23&gt;=3),"B","C")))</x:f>
        <x:v>A</x:v>
      </x:c>
      <x:c r="P23" s="16" t="str">
        <x:v>Новий — не контактували</x:v>
      </x:c>
      <x:c r="Q23" s="18" t="str">
        <x:v>Персоналізувати 1-й контакт за доказом; запропонувати перегляд без акаунта</x:v>
      </x:c>
      <x:c r="R23" s="18" t="str">
        <x:v>Владелец; руководитель промышленных проектов</x:v>
      </x:c>
      <x:c r="S23" s="18" t="str">
        <x:v>Полный электромонтаж промышленных объектов; компания заявляет сотни реализованных проектов.</x:v>
      </x:c>
      <x:c r="T23" s="18" t="str">
        <x:v>Прокладка кабелей, щиты, испытания и сдача объекта образуют готовый Н.15-пилот.</x:v>
      </x:c>
      <x:c r="U23" s="18" t="str">
        <x:v>https://megawatt.ua/na-obektah-promyshlennogo-naznacheniya</x:v>
      </x:c>
      <x:c r="V23" s="16" t="str"/>
      <x:c r="W23" s="16" t="str">
        <x:v>official_site_verified</x:v>
      </x:c>
      <x:c r="X23" s="16" t="str">
        <x:v>2026-08-24</x:v>
      </x:c>
      <x:c r="Y23" s="16" t="str">
        <x:v>Олександр</x:v>
      </x:c>
      <x:c r="Z23" s="20" t="str"/>
      <x:c r="AA23" s="16" t="str"/>
    </x:row>
    <x:row r="24">
      <x:c r="A24" s="16" t="str">
        <x:v>AUG-029</x:v>
      </x:c>
      <x:c r="B24" s="16" t="str">
        <x:v>Нова хвиля 24.08</x:v>
      </x:c>
      <x:c r="C24" s="16" t="str">
        <x:v>ONG Solar</x:v>
      </x:c>
      <x:c r="D24" s="16" t="str">
        <x:v>СЕС + електрика</x:v>
      </x:c>
      <x:c r="E24" s="16" t="str">
        <x:v>Спеціалізований підрядник</x:v>
      </x:c>
      <x:c r="F24" s="16" t="str">
        <x:v>ongsolar.com.ua</x:v>
      </x:c>
      <x:c r="G24" s="16" t="str">
        <x:v>Зараз — Н.15</x:v>
      </x:c>
      <x:c r="H24" s="17" t="n">
        <x:v>5</x:v>
      </x:c>
      <x:c r="I24" s="17" t="n">
        <x:v>5</x:v>
      </x:c>
      <x:c r="J24" s="17" t="n">
        <x:v>3</x:v>
      </x:c>
      <x:c r="K24" s="17" t="n">
        <x:v>5</x:v>
      </x:c>
      <x:c r="L24" s="17" t="n">
        <x:v>5</x:v>
      </x:c>
      <x:c r="M24" s="17" t="n">
        <x:v>5</x:v>
      </x:c>
      <x:c r="N24" s="17" t="n">
        <x:f>IF(COUNT(H24:M24)&lt;6,"",H24*6+I24*4+J24*3+K24*3+L24*3+M24)</x:f>
        <x:v>94</x:v>
      </x:c>
      <x:c r="O24" s="19" t="str">
        <x:f>IF(N24="","Legacy",IF(AND(N24&gt;=84,H24&gt;=4,L24&gt;=4),"A",IF(AND(N24&gt;=70,H24&gt;=3),"B","C")))</x:f>
        <x:v>A</x:v>
      </x:c>
      <x:c r="P24" s="16" t="str">
        <x:v>Новий — не контактували</x:v>
      </x:c>
      <x:c r="Q24" s="18" t="str">
        <x:v>Персоналізувати 1-й контакт за доказом; запропонувати перегляд без акаунта</x:v>
      </x:c>
      <x:c r="R24" s="18" t="str">
        <x:v>Директор; руководитель строительства / ПТО</x:v>
      </x:c>
      <x:c r="S24" s="18" t="str">
        <x:v>17+ проектов в пяти областях, полный цикл СЭС и оформление всей документации при запуске.</x:v>
      </x:c>
      <x:c r="T24" s="18" t="str">
        <x:v>Документационное обещание и повторяемый электромонтаж делают компанию сильным design-partner кандидатом.</x:v>
      </x:c>
      <x:c r="U24" s="18" t="str">
        <x:v>https://ongsolar.com.ua/</x:v>
      </x:c>
      <x:c r="V24" s="16" t="str"/>
      <x:c r="W24" s="16" t="str">
        <x:v>official_site_verified</x:v>
      </x:c>
      <x:c r="X24" s="16" t="str">
        <x:v>2026-08-24</x:v>
      </x:c>
      <x:c r="Y24" s="16" t="str">
        <x:v>Олександр</x:v>
      </x:c>
      <x:c r="Z24" s="20" t="str"/>
      <x:c r="AA24" s="16" t="str"/>
    </x:row>
    <x:row r="25">
      <x:c r="A25" s="16" t="str">
        <x:v>AUG-027</x:v>
      </x:c>
      <x:c r="B25" s="16" t="str">
        <x:v>Нова хвиля 24.08</x:v>
      </x:c>
      <x:c r="C25" s="16" t="str">
        <x:v>Оазис Комфорт</x:v>
      </x:c>
      <x:c r="D25" s="16" t="str">
        <x:v>MEP / інженерні системи</x:v>
      </x:c>
      <x:c r="E25" s="16" t="str">
        <x:v>Спеціалізований підрядник</x:v>
      </x:c>
      <x:c r="F25" s="16" t="str">
        <x:v>oasiscomfort.com.ua</x:v>
      </x:c>
      <x:c r="G25" s="16" t="str">
        <x:v>Зараз — Н.14 + Н.15</x:v>
      </x:c>
      <x:c r="H25" s="17" t="n">
        <x:v>5</x:v>
      </x:c>
      <x:c r="I25" s="17" t="n">
        <x:v>4</x:v>
      </x:c>
      <x:c r="J25" s="17" t="n">
        <x:v>4</x:v>
      </x:c>
      <x:c r="K25" s="17" t="n">
        <x:v>5</x:v>
      </x:c>
      <x:c r="L25" s="17" t="n">
        <x:v>5</x:v>
      </x:c>
      <x:c r="M25" s="17" t="n">
        <x:v>5</x:v>
      </x:c>
      <x:c r="N25" s="17" t="n">
        <x:f>IF(COUNT(H25:M25)&lt;6,"",H25*6+I25*4+J25*3+K25*3+L25*3+M25)</x:f>
        <x:v>93</x:v>
      </x:c>
      <x:c r="O25" s="19" t="str">
        <x:f>IF(N25="","Legacy",IF(AND(N25&gt;=84,H25&gt;=4,L25&gt;=4),"A",IF(AND(N25&gt;=70,H25&gt;=3),"B","C")))</x:f>
        <x:v>A</x:v>
      </x:c>
      <x:c r="P25" s="16" t="str">
        <x:v>Новий — не контактували</x:v>
      </x:c>
      <x:c r="Q25" s="18" t="str">
        <x:v>Персоналізувати 1-й контакт за доказом; запропонувати перегляд без акаунта</x:v>
      </x:c>
      <x:c r="R25" s="18" t="str">
        <x:v>Коммерческий директор; руководитель проектов / ПТО</x:v>
      </x:c>
      <x:c r="S25" s="18" t="str">
        <x:v>Инженерные системы полного цикла для логистических центров, индустриальных парков, бизнеса и ЖК по Украине.</x:v>
      </x:c>
      <x:c r="T25" s="18" t="str">
        <x:v>Водоснабжение/отопление и электрические точки можно взять одним поддержанным subset на действующем объекте.</x:v>
      </x:c>
      <x:c r="U25" s="18" t="str">
        <x:v>https://oasiscomfort.com.ua/</x:v>
      </x:c>
      <x:c r="V25" s="16" t="str"/>
      <x:c r="W25" s="16" t="str">
        <x:v>official_site_verified</x:v>
      </x:c>
      <x:c r="X25" s="16" t="str">
        <x:v>2026-08-24</x:v>
      </x:c>
      <x:c r="Y25" s="16" t="str">
        <x:v>Олександр</x:v>
      </x:c>
      <x:c r="Z25" s="20" t="str"/>
      <x:c r="AA25" s="16" t="str"/>
    </x:row>
    <x:row r="26">
      <x:c r="A26" s="16" t="str">
        <x:v>AUG-008</x:v>
      </x:c>
      <x:c r="B26" s="16" t="str">
        <x:v>Нова хвиля 24.08</x:v>
      </x:c>
      <x:c r="C26" s="16" t="str">
        <x:v>Максвел</x:v>
      </x:c>
      <x:c r="D26" s="16" t="str">
        <x:v>Електромонтаж</x:v>
      </x:c>
      <x:c r="E26" s="16" t="str">
        <x:v>Спеціалізований підрядник</x:v>
      </x:c>
      <x:c r="F26" s="16" t="str">
        <x:v>maksvel.com.ua</x:v>
      </x:c>
      <x:c r="G26" s="16" t="str">
        <x:v>Зараз — Н.15</x:v>
      </x:c>
      <x:c r="H26" s="17" t="n">
        <x:v>5</x:v>
      </x:c>
      <x:c r="I26" s="17" t="n">
        <x:v>5</x:v>
      </x:c>
      <x:c r="J26" s="17" t="n">
        <x:v>3</x:v>
      </x:c>
      <x:c r="K26" s="17" t="n">
        <x:v>4</x:v>
      </x:c>
      <x:c r="L26" s="17" t="n">
        <x:v>5</x:v>
      </x:c>
      <x:c r="M26" s="17" t="n">
        <x:v>5</x:v>
      </x:c>
      <x:c r="N26" s="17" t="n">
        <x:f>IF(COUNT(H26:M26)&lt;6,"",H26*6+I26*4+J26*3+K26*3+L26*3+M26)</x:f>
        <x:v>91</x:v>
      </x:c>
      <x:c r="O26" s="19" t="str">
        <x:f>IF(N26="","Legacy",IF(AND(N26&gt;=84,H26&gt;=4,L26&gt;=4),"A",IF(AND(N26&gt;=70,H26&gt;=3),"B","C")))</x:f>
        <x:v>A</x:v>
      </x:c>
      <x:c r="P26" s="16" t="str">
        <x:v>Новий — не контактували</x:v>
      </x:c>
      <x:c r="Q26" s="18" t="str">
        <x:v>Персоналізувати 1-й контакт за доказом; запропонувати перегляд без акаунта</x:v>
      </x:c>
      <x:c r="R26" s="18" t="str">
        <x:v>Владелец; главный инженер / ПТО</x:v>
      </x:c>
      <x:c r="S26" s="18" t="str">
        <x:v>Специализированное проектирование и монтаж электрических систем для коммерческих и промышленных объектов.</x:v>
      </x:c>
      <x:c r="T26" s="18" t="str">
        <x:v>Кабельные трассы, штробы, заземление и приёмка электроустановок прямо входят в Н.15.</x:v>
      </x:c>
      <x:c r="U26" s="18" t="str">
        <x:v>http://www.maksvel.com.ua/</x:v>
      </x:c>
      <x:c r="V26" s="16" t="str"/>
      <x:c r="W26" s="16" t="str">
        <x:v>official_site_verified</x:v>
      </x:c>
      <x:c r="X26" s="16" t="str">
        <x:v>2026-08-24</x:v>
      </x:c>
      <x:c r="Y26" s="16" t="str">
        <x:v>Олександр</x:v>
      </x:c>
      <x:c r="Z26" s="20" t="str"/>
      <x:c r="AA26" s="16" t="str"/>
    </x:row>
    <x:row r="27">
      <x:c r="A27" s="16" t="str">
        <x:v>V3-036</x:v>
      </x:c>
      <x:c r="B27" s="16" t="str">
        <x:v>Досліджено 28.07</x:v>
      </x:c>
      <x:c r="C27" s="16" t="str">
        <x:v>ТОВ «Р-ПРОЕКТ»</x:v>
      </x:c>
      <x:c r="D27" s="16" t="str">
        <x:v>Слаботочні системи</x:v>
      </x:c>
      <x:c r="E27" s="16" t="str">
        <x:v>Спеціалізований підрядник</x:v>
      </x:c>
      <x:c r="F27" s="16" t="str">
        <x:v>r-p.com.ua</x:v>
      </x:c>
      <x:c r="G27" s="16" t="str">
        <x:v>Перевірити — Н.15</x:v>
      </x:c>
      <x:c r="H27" s="17" t="n">
        <x:v>4</x:v>
      </x:c>
      <x:c r="I27" s="17" t="n">
        <x:v>5</x:v>
      </x:c>
      <x:c r="J27" s="17" t="n">
        <x:v>4</x:v>
      </x:c>
      <x:c r="K27" s="17" t="n">
        <x:v>5</x:v>
      </x:c>
      <x:c r="L27" s="17" t="n">
        <x:v>5</x:v>
      </x:c>
      <x:c r="M27" s="17" t="n">
        <x:v>5</x:v>
      </x:c>
      <x:c r="N27" s="17" t="n">
        <x:f>IF(COUNT(H27:M27)&lt;6,"",H27*6+I27*4+J27*3+K27*3+L27*3+M27)</x:f>
        <x:v>91</x:v>
      </x:c>
      <x:c r="O27" s="19" t="str">
        <x:f>IF(N27="","Legacy",IF(AND(N27&gt;=84,H27&gt;=4,L27&gt;=4),"A",IF(AND(N27&gt;=70,H27&gt;=3),"B","C")))</x:f>
        <x:v>A</x:v>
      </x:c>
      <x:c r="P27" s="16" t="str">
        <x:v>Надіслано 28.07 — follow-up</x:v>
      </x:c>
      <x:c r="Q27" s="18" t="str">
        <x:v>Follow-up: показати перегляд без акаунта; попросити 1 анонімізований акт/АВР</x:v>
      </x:c>
      <x:c r="R27" s="18" t="str">
        <x:v>Власник / директор; керівник ПТО</x:v>
      </x:c>
      <x:c r="S27" s="18" t="str">
        <x:v>Проєктно-кошторисна документація в Revit, монтаж, пусконалагодження й обслуговування систем безпеки та слабкострумових мереж.</x:v>
      </x:c>
      <x:c r="T27" s="18" t="str">
        <x:v>Кабельні траси, датчики, модулі й протипожежні системи закриваються стелями/стінами; потрібна доказова готовність.</x:v>
      </x:c>
      <x:c r="U27" s="18" t="str">
        <x:v>https://r-p.com.ua/</x:v>
      </x:c>
      <x:c r="V27" s="16" t="str">
        <x:v>41371545</x:v>
      </x:c>
      <x:c r="W27" s="16" t="str">
        <x:v>official+registry</x:v>
      </x:c>
      <x:c r="X27" s="16" t="str">
        <x:v>2026-07-28</x:v>
      </x:c>
      <x:c r="Y27" s="16" t="str">
        <x:v>Олександр</x:v>
      </x:c>
      <x:c r="Z27" s="20" t="str"/>
      <x:c r="AA27" s="16" t="str">
        <x:v>Реєстр: https://youcontrol.com.ua/catalog/company_details/41371545/</x:v>
      </x:c>
    </x:row>
    <x:row r="28">
      <x:c r="A28" s="16" t="str">
        <x:v>AUG-012</x:v>
      </x:c>
      <x:c r="B28" s="16" t="str">
        <x:v>Нова хвиля 24.08</x:v>
      </x:c>
      <x:c r="C28" s="16" t="str">
        <x:v>Укртакелаж</x:v>
      </x:c>
      <x:c r="D28" s="16" t="str">
        <x:v>Промислова електрика</x:v>
      </x:c>
      <x:c r="E28" s="16" t="str">
        <x:v>Спеціалізований підрядник</x:v>
      </x:c>
      <x:c r="F28" s="16" t="str">
        <x:v>ukrtakelage.com</x:v>
      </x:c>
      <x:c r="G28" s="16" t="str">
        <x:v>Зараз — Н.15</x:v>
      </x:c>
      <x:c r="H28" s="17" t="n">
        <x:v>5</x:v>
      </x:c>
      <x:c r="I28" s="17" t="n">
        <x:v>5</x:v>
      </x:c>
      <x:c r="J28" s="17" t="n">
        <x:v>4</x:v>
      </x:c>
      <x:c r="K28" s="17" t="n">
        <x:v>3</x:v>
      </x:c>
      <x:c r="L28" s="17" t="n">
        <x:v>5</x:v>
      </x:c>
      <x:c r="M28" s="17" t="n">
        <x:v>5</x:v>
      </x:c>
      <x:c r="N28" s="17" t="n">
        <x:f>IF(COUNT(H28:M28)&lt;6,"",H28*6+I28*4+J28*3+K28*3+L28*3+M28)</x:f>
        <x:v>91</x:v>
      </x:c>
      <x:c r="O28" s="19" t="str">
        <x:f>IF(N28="","Legacy",IF(AND(N28&gt;=84,H28&gt;=4,L28&gt;=4),"A",IF(AND(N28&gt;=70,H28&gt;=3),"B","C")))</x:f>
        <x:v>A</x:v>
      </x:c>
      <x:c r="P28" s="16" t="str">
        <x:v>Новий — не контактували</x:v>
      </x:c>
      <x:c r="Q28" s="18" t="str">
        <x:v>Персоналізувати 1-й контакт за доказом; запропонувати перегляд без акаунта</x:v>
      </x:c>
      <x:c r="R28" s="18" t="str">
        <x:v>Коммерческий директор; руководитель электромонтажа</x:v>
      </x:c>
      <x:c r="S28" s="18" t="str">
        <x:v>Промышленный электромонтаж по всей Украине, включая оценку объекта и реализацию работ.</x:v>
      </x:c>
      <x:c r="T28" s="18" t="str">
        <x:v>Полевые доказательства по кабельным линиям и заземлению легко отделить как пилотный контур.</x:v>
      </x:c>
      <x:c r="U28" s="18" t="str">
        <x:v>https://ukrtakelage.com/promyshlennyy-elektromontazh</x:v>
      </x:c>
      <x:c r="V28" s="16" t="str"/>
      <x:c r="W28" s="16" t="str">
        <x:v>official_site_verified</x:v>
      </x:c>
      <x:c r="X28" s="16" t="str">
        <x:v>2026-08-24</x:v>
      </x:c>
      <x:c r="Y28" s="16" t="str">
        <x:v>Олександр</x:v>
      </x:c>
      <x:c r="Z28" s="20" t="str"/>
      <x:c r="AA28" s="16" t="str"/>
    </x:row>
    <x:row r="29">
      <x:c r="A29" s="16" t="str">
        <x:v>AUG-033</x:v>
      </x:c>
      <x:c r="B29" s="16" t="str">
        <x:v>Нова хвиля 24.08</x:v>
      </x:c>
      <x:c r="C29" s="16" t="str">
        <x:v>EL-PRO</x:v>
      </x:c>
      <x:c r="D29" s="16" t="str">
        <x:v>Електромонтаж</x:v>
      </x:c>
      <x:c r="E29" s="16" t="str">
        <x:v>Спеціалізований підрядник</x:v>
      </x:c>
      <x:c r="F29" s="16" t="str">
        <x:v>el-pro.com.ua</x:v>
      </x:c>
      <x:c r="G29" s="16" t="str">
        <x:v>Зараз — Н.15</x:v>
      </x:c>
      <x:c r="H29" s="17" t="n">
        <x:v>5</x:v>
      </x:c>
      <x:c r="I29" s="17" t="n">
        <x:v>5</x:v>
      </x:c>
      <x:c r="J29" s="17" t="n">
        <x:v>3</x:v>
      </x:c>
      <x:c r="K29" s="17" t="n">
        <x:v>4</x:v>
      </x:c>
      <x:c r="L29" s="17" t="n">
        <x:v>5</x:v>
      </x:c>
      <x:c r="M29" s="17" t="n">
        <x:v>5</x:v>
      </x:c>
      <x:c r="N29" s="17" t="n">
        <x:f>IF(COUNT(H29:M29)&lt;6,"",H29*6+I29*4+J29*3+K29*3+L29*3+M29)</x:f>
        <x:v>91</x:v>
      </x:c>
      <x:c r="O29" s="19" t="str">
        <x:f>IF(N29="","Legacy",IF(AND(N29&gt;=84,H29&gt;=4,L29&gt;=4),"A",IF(AND(N29&gt;=70,H29&gt;=3),"B","C")))</x:f>
        <x:v>A</x:v>
      </x:c>
      <x:c r="P29" s="16" t="str">
        <x:v>Новий — не контактували</x:v>
      </x:c>
      <x:c r="Q29" s="18" t="str">
        <x:v>Персоналізувати 1-й контакт за доказом; запропонувати перегляд без акаунта</x:v>
      </x:c>
      <x:c r="R29" s="18" t="str">
        <x:v>Владелец; главный инженер</x:v>
      </x:c>
      <x:c r="S29" s="18" t="str">
        <x:v>Полный цикл электромонтажа 0,4–10 кВ по Украине: проект, кабельные линии, испытания, пусконаладка и сдача.</x:v>
      </x:c>
      <x:c r="T29" s="18" t="str">
        <x:v>Траншеи, кабели и заземление прямо соответствуют Н.15.</x:v>
      </x:c>
      <x:c r="U29" s="18" t="str">
        <x:v>https://el-pro.com.ua/</x:v>
      </x:c>
      <x:c r="V29" s="16" t="str"/>
      <x:c r="W29" s="16" t="str">
        <x:v>official_site_verified</x:v>
      </x:c>
      <x:c r="X29" s="16" t="str">
        <x:v>2026-08-24</x:v>
      </x:c>
      <x:c r="Y29" s="16" t="str">
        <x:v>Олександр</x:v>
      </x:c>
      <x:c r="Z29" s="20" t="str"/>
      <x:c r="AA29" s="16" t="str"/>
    </x:row>
    <x:row r="30">
      <x:c r="A30" s="16" t="str">
        <x:v>AUG-026</x:v>
      </x:c>
      <x:c r="B30" s="16" t="str">
        <x:v>Нова хвиля 24.08</x:v>
      </x:c>
      <x:c r="C30" s="16" t="str">
        <x:v>GreenVolt Systems</x:v>
      </x:c>
      <x:c r="D30" s="16" t="str">
        <x:v>СЕС + електрика</x:v>
      </x:c>
      <x:c r="E30" s="16" t="str">
        <x:v>Спеціалізований підрядник</x:v>
      </x:c>
      <x:c r="F30" s="16" t="str">
        <x:v>greenvolt.systems</x:v>
      </x:c>
      <x:c r="G30" s="16" t="str">
        <x:v>Зараз — Н.15</x:v>
      </x:c>
      <x:c r="H30" s="17" t="n">
        <x:v>5</x:v>
      </x:c>
      <x:c r="I30" s="17" t="n">
        <x:v>5</x:v>
      </x:c>
      <x:c r="J30" s="17" t="n">
        <x:v>3</x:v>
      </x:c>
      <x:c r="K30" s="17" t="n">
        <x:v>4</x:v>
      </x:c>
      <x:c r="L30" s="17" t="n">
        <x:v>5</x:v>
      </x:c>
      <x:c r="M30" s="17" t="n">
        <x:v>5</x:v>
      </x:c>
      <x:c r="N30" s="17" t="n">
        <x:f>IF(COUNT(H30:M30)&lt;6,"",H30*6+I30*4+J30*3+K30*3+L30*3+M30)</x:f>
        <x:v>91</x:v>
      </x:c>
      <x:c r="O30" s="19" t="str">
        <x:f>IF(N30="","Legacy",IF(AND(N30&gt;=84,H30&gt;=4,L30&gt;=4),"A",IF(AND(N30&gt;=70,H30&gt;=3),"B","C")))</x:f>
        <x:v>A</x:v>
      </x:c>
      <x:c r="P30" s="16" t="str">
        <x:v>Новий — не контактували</x:v>
      </x:c>
      <x:c r="Q30" s="18" t="str">
        <x:v>Персоналізувати 1-й контакт за доказом; запропонувати перегляд без акаунта</x:v>
      </x:c>
      <x:c r="R30" s="18" t="str">
        <x:v>Владелец; руководитель строительства СЭС</x:v>
      </x:c>
      <x:c r="S30" s="18" t="str">
        <x:v>Полный цикл промышленных и крышных СЭС для бизнеса, агросектора и коммерческой недвижимости.</x:v>
      </x:c>
      <x:c r="T30" s="18" t="str">
        <x:v>Кабельные линии, заземление и подключение к сети дают ясный поддержанный контур.</x:v>
      </x:c>
      <x:c r="U30" s="18" t="str">
        <x:v>https://www.greenvolt.systems/</x:v>
      </x:c>
      <x:c r="V30" s="16" t="str"/>
      <x:c r="W30" s="16" t="str">
        <x:v>official_site_verified</x:v>
      </x:c>
      <x:c r="X30" s="16" t="str">
        <x:v>2026-08-24</x:v>
      </x:c>
      <x:c r="Y30" s="16" t="str">
        <x:v>Олександр</x:v>
      </x:c>
      <x:c r="Z30" s="20" t="str"/>
      <x:c r="AA30" s="16" t="str"/>
    </x:row>
    <x:row r="31">
      <x:c r="A31" s="16" t="str">
        <x:v>AUG-042</x:v>
      </x:c>
      <x:c r="B31" s="16" t="str">
        <x:v>Нова хвиля 24.08</x:v>
      </x:c>
      <x:c r="C31" s="16" t="str">
        <x:v>ВК Тепло</x:v>
      </x:c>
      <x:c r="D31" s="16" t="str">
        <x:v>Внутрішня сантехніка + HVAC</x:v>
      </x:c>
      <x:c r="E31" s="16" t="str">
        <x:v>Спеціалізований підрядник</x:v>
      </x:c>
      <x:c r="F31" s="16" t="str">
        <x:v>vk-teplo.com.ua</x:v>
      </x:c>
      <x:c r="G31" s="16" t="str">
        <x:v>Зараз — Н.14</x:v>
      </x:c>
      <x:c r="H31" s="17" t="n">
        <x:v>5</x:v>
      </x:c>
      <x:c r="I31" s="17" t="n">
        <x:v>4</x:v>
      </x:c>
      <x:c r="J31" s="17" t="n">
        <x:v>4</x:v>
      </x:c>
      <x:c r="K31" s="17" t="n">
        <x:v>4</x:v>
      </x:c>
      <x:c r="L31" s="17" t="n">
        <x:v>5</x:v>
      </x:c>
      <x:c r="M31" s="17" t="n">
        <x:v>5</x:v>
      </x:c>
      <x:c r="N31" s="17" t="n">
        <x:f>IF(COUNT(H31:M31)&lt;6,"",H31*6+I31*4+J31*3+K31*3+L31*3+M31)</x:f>
        <x:v>90</x:v>
      </x:c>
      <x:c r="O31" s="19" t="str">
        <x:f>IF(N31="","Legacy",IF(AND(N31&gt;=84,H31&gt;=4,L31&gt;=4),"A",IF(AND(N31&gt;=70,H31&gt;=3),"B","C")))</x:f>
        <x:v>A</x:v>
      </x:c>
      <x:c r="P31" s="16" t="str">
        <x:v>Новий — не контактували</x:v>
      </x:c>
      <x:c r="Q31" s="18" t="str">
        <x:v>Персоналізувати 1-й контакт за доказом; запропонувати перегляд без акаунта</x:v>
      </x:c>
      <x:c r="R31" s="18" t="str">
        <x:v>Директор; руководитель проектно-монтажного подразделения</x:v>
      </x:c>
      <x:c r="S31" s="18" t="str">
        <x:v>15 лет, 200+ спроектированных объектов: отопление, водоснабжение, канализация и вентиляция, включая промышленные предприятия и ТРЦ.</x:v>
      </x:c>
      <x:c r="T31" s="18" t="str">
        <x:v>Трубы, уклоны, сварные соединения, арматура и автоматика прямо входят в Н.14.</x:v>
      </x:c>
      <x:c r="U31" s="18" t="str">
        <x:v>https://vk-teplo.com.ua/</x:v>
      </x:c>
      <x:c r="V31" s="16" t="str"/>
      <x:c r="W31" s="16" t="str">
        <x:v>official_site_verified</x:v>
      </x:c>
      <x:c r="X31" s="16" t="str">
        <x:v>2026-08-24</x:v>
      </x:c>
      <x:c r="Y31" s="16" t="str">
        <x:v>Олександр</x:v>
      </x:c>
      <x:c r="Z31" s="20" t="str"/>
      <x:c r="AA31" s="16" t="str"/>
    </x:row>
    <x:row r="32">
      <x:c r="A32" s="16" t="str">
        <x:v>AUG-030</x:v>
      </x:c>
      <x:c r="B32" s="16" t="str">
        <x:v>Нова хвиля 24.08</x:v>
      </x:c>
      <x:c r="C32" s="16" t="str">
        <x:v>Промтехгруп</x:v>
      </x:c>
      <x:c r="D32" s="16" t="str">
        <x:v>Промисловий HVAC / MEP</x:v>
      </x:c>
      <x:c r="E32" s="16" t="str">
        <x:v>Спеціалізований підрядник</x:v>
      </x:c>
      <x:c r="F32" s="16" t="str">
        <x:v>promtechgroup.com.ua</x:v>
      </x:c>
      <x:c r="G32" s="16" t="str">
        <x:v>Зараз — Н.14</x:v>
      </x:c>
      <x:c r="H32" s="17" t="n">
        <x:v>4</x:v>
      </x:c>
      <x:c r="I32" s="17" t="n">
        <x:v>4</x:v>
      </x:c>
      <x:c r="J32" s="17" t="n">
        <x:v>5</x:v>
      </x:c>
      <x:c r="K32" s="17" t="n">
        <x:v>5</x:v>
      </x:c>
      <x:c r="L32" s="17" t="n">
        <x:v>5</x:v>
      </x:c>
      <x:c r="M32" s="17" t="n">
        <x:v>5</x:v>
      </x:c>
      <x:c r="N32" s="17" t="n">
        <x:f>IF(COUNT(H32:M32)&lt;6,"",H32*6+I32*4+J32*3+K32*3+L32*3+M32)</x:f>
        <x:v>90</x:v>
      </x:c>
      <x:c r="O32" s="19" t="str">
        <x:f>IF(N32="","Legacy",IF(AND(N32&gt;=84,H32&gt;=4,L32&gt;=4),"A",IF(AND(N32&gt;=70,H32&gt;=3),"B","C")))</x:f>
        <x:v>A</x:v>
      </x:c>
      <x:c r="P32" s="16" t="str">
        <x:v>Новий — не контактували</x:v>
      </x:c>
      <x:c r="Q32" s="18" t="str">
        <x:v>Персоналізувати 1-й контакт за доказом; запропонувати перегляд без акаунта</x:v>
      </x:c>
      <x:c r="R32" s="18" t="str">
        <x:v>Директор; руководитель проектов / ПТО</x:v>
      </x:c>
      <x:c r="S32" s="18" t="str">
        <x:v>100+ проектов с 2008 года: HVAC, холодоснабжение, водоснабжение, автоматизация и диспетчеризация для бизнеса.</x:v>
      </x:c>
      <x:c r="T32" s="18" t="str">
        <x:v>Трубопроводы, арматура и автоматика прямо ложатся на Н.14; можно измерить сбор доказательств на одном проекте.</x:v>
      </x:c>
      <x:c r="U32" s="18" t="str">
        <x:v>https://promtechgroup.com.ua/</x:v>
      </x:c>
      <x:c r="V32" s="16" t="str"/>
      <x:c r="W32" s="16" t="str">
        <x:v>official_site_verified</x:v>
      </x:c>
      <x:c r="X32" s="16" t="str">
        <x:v>2026-08-24</x:v>
      </x:c>
      <x:c r="Y32" s="16" t="str">
        <x:v>Олександр</x:v>
      </x:c>
      <x:c r="Z32" s="20" t="str"/>
      <x:c r="AA32" s="16" t="str"/>
    </x:row>
    <x:row r="33">
      <x:c r="A33" s="16" t="str">
        <x:v>AUG-036</x:v>
      </x:c>
      <x:c r="B33" s="16" t="str">
        <x:v>Нова хвиля 24.08</x:v>
      </x:c>
      <x:c r="C33" s="16" t="str">
        <x:v>Терра Фірма Плюс</x:v>
      </x:c>
      <x:c r="D33" s="16" t="str">
        <x:v>Пожежні системи + HVAC + електрика</x:v>
      </x:c>
      <x:c r="E33" s="16" t="str">
        <x:v>Спеціалізований підрядник</x:v>
      </x:c>
      <x:c r="F33" s="16" t="str">
        <x:v>terra-plus.com.ua</x:v>
      </x:c>
      <x:c r="G33" s="16" t="str">
        <x:v>Перевірити — Н.15</x:v>
      </x:c>
      <x:c r="H33" s="17" t="n">
        <x:v>4</x:v>
      </x:c>
      <x:c r="I33" s="17" t="n">
        <x:v>4</x:v>
      </x:c>
      <x:c r="J33" s="17" t="n">
        <x:v>5</x:v>
      </x:c>
      <x:c r="K33" s="17" t="n">
        <x:v>5</x:v>
      </x:c>
      <x:c r="L33" s="17" t="n">
        <x:v>5</x:v>
      </x:c>
      <x:c r="M33" s="17" t="n">
        <x:v>5</x:v>
      </x:c>
      <x:c r="N33" s="17" t="n">
        <x:f>IF(COUNT(H33:M33)&lt;6,"",H33*6+I33*4+J33*3+K33*3+L33*3+M33)</x:f>
        <x:v>90</x:v>
      </x:c>
      <x:c r="O33" s="19" t="str">
        <x:f>IF(N33="","Legacy",IF(AND(N33&gt;=84,H33&gt;=4,L33&gt;=4),"A",IF(AND(N33&gt;=70,H33&gt;=3),"B","C")))</x:f>
        <x:v>A</x:v>
      </x:c>
      <x:c r="P33" s="16" t="str">
        <x:v>Новий — не контактували</x:v>
      </x:c>
      <x:c r="Q33" s="18" t="str">
        <x:v>Персоналізувати 1-й контакт за доказом; запропонувати перегляд без акаунта</x:v>
      </x:c>
      <x:c r="R33" s="18" t="str">
        <x:v>Директор; главный инженер / ПТО</x:v>
      </x:c>
      <x:c r="S33" s="18" t="str">
        <x:v>Портфолио крупных объектов: пожаротушение, дымоудаление, вентиляция, заземление и пожарная сигнализация.</x:v>
      </x:c>
      <x:c r="T33" s="18" t="str">
        <x:v>Большое число скрытых инженерных контуров; начинать с поддержанных Н.14/Н.15 работ.</x:v>
      </x:c>
      <x:c r="U33" s="18" t="str">
        <x:v>https://terra-plus.com.ua/about</x:v>
      </x:c>
      <x:c r="V33" s="16" t="str"/>
      <x:c r="W33" s="16" t="str">
        <x:v>official_site_verified</x:v>
      </x:c>
      <x:c r="X33" s="16" t="str">
        <x:v>2026-08-24</x:v>
      </x:c>
      <x:c r="Y33" s="16" t="str">
        <x:v>Олександр</x:v>
      </x:c>
      <x:c r="Z33" s="20" t="str"/>
      <x:c r="AA33" s="16" t="str"/>
    </x:row>
    <x:row r="34">
      <x:c r="A34" s="16" t="str">
        <x:v>V3-049</x:v>
      </x:c>
      <x:c r="B34" s="16" t="str">
        <x:v>Досліджено 28.07</x:v>
      </x:c>
      <x:c r="C34" s="16" t="str">
        <x:v>ТОВ «АЛЬТЕР ЕЙР»</x:v>
      </x:c>
      <x:c r="D34" s="16" t="str">
        <x:v>HVAC / вентиляція</x:v>
      </x:c>
      <x:c r="E34" s="16" t="str">
        <x:v>Спеціалізований підрядник</x:v>
      </x:c>
      <x:c r="F34" s="16" t="str">
        <x:v>alterair.ua</x:v>
      </x:c>
      <x:c r="G34" s="16" t="str">
        <x:v>Зараз — Н.14</x:v>
      </x:c>
      <x:c r="H34" s="17" t="n">
        <x:v>4</x:v>
      </x:c>
      <x:c r="I34" s="17" t="n">
        <x:v>4</x:v>
      </x:c>
      <x:c r="J34" s="17" t="n">
        <x:v>5</x:v>
      </x:c>
      <x:c r="K34" s="17" t="n">
        <x:v>5</x:v>
      </x:c>
      <x:c r="L34" s="17" t="n">
        <x:v>5</x:v>
      </x:c>
      <x:c r="M34" s="17" t="n">
        <x:v>5</x:v>
      </x:c>
      <x:c r="N34" s="17" t="n">
        <x:f>IF(COUNT(H34:M34)&lt;6,"",H34*6+I34*4+J34*3+K34*3+L34*3+M34)</x:f>
        <x:v>90</x:v>
      </x:c>
      <x:c r="O34" s="19" t="str">
        <x:f>IF(N34="","Legacy",IF(AND(N34&gt;=84,H34&gt;=4,L34&gt;=4),"A",IF(AND(N34&gt;=70,H34&gt;=3),"B","C")))</x:f>
        <x:v>A</x:v>
      </x:c>
      <x:c r="P34" s="16" t="str">
        <x:v>Надіслано 28.07 — follow-up</x:v>
      </x:c>
      <x:c r="Q34" s="18" t="str">
        <x:v>Follow-up: показати перегляд без акаунта; попросити 1 анонімізований акт/АВР</x:v>
      </x:c>
      <x:c r="R34" s="18" t="str">
        <x:v>Власник / директор; керівник ПТО</x:v>
      </x:c>
      <x:c r="S34" s="18" t="str">
        <x:v>Кілька досвідчених монтажних бригад; проєктування й монтаж промислової вентиляції, пусконалагодження та офіційна документація після робіт.</x:v>
      </x:c>
      <x:c r="T34" s="18" t="str">
        <x:v>Повітроводи й інженерні підключення закриваються оздобленням; приймання залежить від комплектності фото, тестів і документів.</x:v>
      </x:c>
      <x:c r="U34" s="18" t="str">
        <x:v>https://alterair.ua/ventilyatsiya/montazh-promyshlennoy-ventilyatsii/</x:v>
      </x:c>
      <x:c r="V34" s="16" t="str">
        <x:v>35910459</x:v>
      </x:c>
      <x:c r="W34" s="16" t="str">
        <x:v>official+registry</x:v>
      </x:c>
      <x:c r="X34" s="16" t="str">
        <x:v>2026-07-28</x:v>
      </x:c>
      <x:c r="Y34" s="16" t="str">
        <x:v>Олександр</x:v>
      </x:c>
      <x:c r="Z34" s="20" t="str"/>
      <x:c r="AA34" s="16" t="str">
        <x:v>Реєстр: https://opendatabot.ua/c/35910459</x:v>
      </x:c>
    </x:row>
    <x:row r="35">
      <x:c r="A35" s="16" t="str">
        <x:v>AUG-005</x:v>
      </x:c>
      <x:c r="B35" s="16" t="str">
        <x:v>Нова хвиля 24.08</x:v>
      </x:c>
      <x:c r="C35" s="16" t="str">
        <x:v>Airvent</x:v>
      </x:c>
      <x:c r="D35" s="16" t="str">
        <x:v>MEP / інженерні системи</x:v>
      </x:c>
      <x:c r="E35" s="16" t="str">
        <x:v>Спеціалізований підрядник</x:v>
      </x:c>
      <x:c r="F35" s="16" t="str">
        <x:v>airvent.com.ua</x:v>
      </x:c>
      <x:c r="G35" s="16" t="str">
        <x:v>Зараз — Н.14 + Н.15</x:v>
      </x:c>
      <x:c r="H35" s="17" t="n">
        <x:v>5</x:v>
      </x:c>
      <x:c r="I35" s="17" t="n">
        <x:v>4</x:v>
      </x:c>
      <x:c r="J35" s="17" t="n">
        <x:v>4</x:v>
      </x:c>
      <x:c r="K35" s="17" t="n">
        <x:v>4</x:v>
      </x:c>
      <x:c r="L35" s="17" t="n">
        <x:v>5</x:v>
      </x:c>
      <x:c r="M35" s="17" t="n">
        <x:v>5</x:v>
      </x:c>
      <x:c r="N35" s="17" t="n">
        <x:f>IF(COUNT(H35:M35)&lt;6,"",H35*6+I35*4+J35*3+K35*3+L35*3+M35)</x:f>
        <x:v>90</x:v>
      </x:c>
      <x:c r="O35" s="19" t="str">
        <x:f>IF(N35="","Legacy",IF(AND(N35&gt;=84,H35&gt;=4,L35&gt;=4),"A",IF(AND(N35&gt;=70,H35&gt;=3),"B","C")))</x:f>
        <x:v>A</x:v>
      </x:c>
      <x:c r="P35" s="16" t="str">
        <x:v>Новий — не контактували</x:v>
      </x:c>
      <x:c r="Q35" s="18" t="str">
        <x:v>Персоналізувати 1-й контакт за доказом; запропонувати перегляд без акаунта</x:v>
      </x:c>
      <x:c r="R35" s="18" t="str">
        <x:v>Директор; руководитель проектов / ПТО</x:v>
      </x:c>
      <x:c r="S35" s="18" t="str">
        <x:v>Промышленная вентиляция, отопление, водоснабжение, водоотведение и полный электромонтаж в одной компании.</x:v>
      </x:c>
      <x:c r="T35" s="18" t="str">
        <x:v>Одновременные санитарно-технические и электрические скрытые работы подходят под обе доступные категории пилота.</x:v>
      </x:c>
      <x:c r="U35" s="18" t="str">
        <x:v>https://www.airvent.com.ua/</x:v>
      </x:c>
      <x:c r="V35" s="16" t="str"/>
      <x:c r="W35" s="16" t="str">
        <x:v>official_site_verified</x:v>
      </x:c>
      <x:c r="X35" s="16" t="str">
        <x:v>2026-08-24</x:v>
      </x:c>
      <x:c r="Y35" s="16" t="str">
        <x:v>Олександр</x:v>
      </x:c>
      <x:c r="Z35" s="20" t="str"/>
      <x:c r="AA35" s="16" t="str"/>
    </x:row>
    <x:row r="36">
      <x:c r="A36" s="16" t="str">
        <x:v>AUG-035</x:v>
      </x:c>
      <x:c r="B36" s="16" t="str">
        <x:v>Нова хвиля 24.08</x:v>
      </x:c>
      <x:c r="C36" s="16" t="str">
        <x:v>Antifire</x:v>
      </x:c>
      <x:c r="D36" s="16" t="str">
        <x:v>Пожежні системи</x:v>
      </x:c>
      <x:c r="E36" s="16" t="str">
        <x:v>Спеціалізований підрядник</x:v>
      </x:c>
      <x:c r="F36" s="16" t="str">
        <x:v>antifire.ua</x:v>
      </x:c>
      <x:c r="G36" s="16" t="str">
        <x:v>Перевірити — Н.15</x:v>
      </x:c>
      <x:c r="H36" s="17" t="n">
        <x:v>4</x:v>
      </x:c>
      <x:c r="I36" s="17" t="n">
        <x:v>4</x:v>
      </x:c>
      <x:c r="J36" s="17" t="n">
        <x:v>5</x:v>
      </x:c>
      <x:c r="K36" s="17" t="n">
        <x:v>5</x:v>
      </x:c>
      <x:c r="L36" s="17" t="n">
        <x:v>5</x:v>
      </x:c>
      <x:c r="M36" s="17" t="n">
        <x:v>5</x:v>
      </x:c>
      <x:c r="N36" s="17" t="n">
        <x:f>IF(COUNT(H36:M36)&lt;6,"",H36*6+I36*4+J36*3+K36*3+L36*3+M36)</x:f>
        <x:v>90</x:v>
      </x:c>
      <x:c r="O36" s="19" t="str">
        <x:f>IF(N36="","Legacy",IF(AND(N36&gt;=84,H36&gt;=4,L36&gt;=4),"A",IF(AND(N36&gt;=70,H36&gt;=3),"B","C")))</x:f>
        <x:v>A</x:v>
      </x:c>
      <x:c r="P36" s="16" t="str">
        <x:v>Новий — не контактували</x:v>
      </x:c>
      <x:c r="Q36" s="18" t="str">
        <x:v>Персоналізувати 1-й контакт за доказом; запропонувати перегляд без акаунта</x:v>
      </x:c>
      <x:c r="R36" s="18" t="str">
        <x:v>Директор; руководитель ПТО / монтажных работ</x:v>
      </x:c>
      <x:c r="S36" s="18" t="str">
        <x:v>15 лет, 520+ проектов, приёмочные испытания с заказчиком/ДСНС и документальное оформление работ.</x:v>
      </x:c>
      <x:c r="T36" s="18" t="str">
        <x:v>Сильная дисциплина приёмки; пилот нужно ограничить трубопроводами/арматурой/автоматикой и кабельными участками.</x:v>
      </x:c>
      <x:c r="U36" s="18" t="str">
        <x:v>https://antifire.ua/montazh-avtomatychnykh-system-pozhezhohasinnya</x:v>
      </x:c>
      <x:c r="V36" s="16" t="str"/>
      <x:c r="W36" s="16" t="str">
        <x:v>official_site_verified</x:v>
      </x:c>
      <x:c r="X36" s="16" t="str">
        <x:v>2026-08-24</x:v>
      </x:c>
      <x:c r="Y36" s="16" t="str">
        <x:v>Олександр</x:v>
      </x:c>
      <x:c r="Z36" s="20" t="str"/>
      <x:c r="AA36" s="16" t="str"/>
    </x:row>
    <x:row r="37">
      <x:c r="A37" s="16" t="str">
        <x:v>V3-048</x:v>
      </x:c>
      <x:c r="B37" s="16" t="str">
        <x:v>Досліджено 28.07</x:v>
      </x:c>
      <x:c r="C37" s="16" t="str">
        <x:v>Climtec</x:v>
      </x:c>
      <x:c r="D37" s="16" t="str">
        <x:v>HVAC / вентиляція</x:v>
      </x:c>
      <x:c r="E37" s="16" t="str">
        <x:v>Спеціалізований підрядник</x:v>
      </x:c>
      <x:c r="F37" s="16" t="str">
        <x:v>climtec.ua</x:v>
      </x:c>
      <x:c r="G37" s="16" t="str">
        <x:v>Зараз — Н.14</x:v>
      </x:c>
      <x:c r="H37" s="17" t="n">
        <x:v>4</x:v>
      </x:c>
      <x:c r="I37" s="17" t="n">
        <x:v>4</x:v>
      </x:c>
      <x:c r="J37" s="17" t="n">
        <x:v>5</x:v>
      </x:c>
      <x:c r="K37" s="17" t="n">
        <x:v>5</x:v>
      </x:c>
      <x:c r="L37" s="17" t="n">
        <x:v>5</x:v>
      </x:c>
      <x:c r="M37" s="17" t="n">
        <x:v>5</x:v>
      </x:c>
      <x:c r="N37" s="17" t="n">
        <x:f>IF(COUNT(H37:M37)&lt;6,"",H37*6+I37*4+J37*3+K37*3+L37*3+M37)</x:f>
        <x:v>90</x:v>
      </x:c>
      <x:c r="O37" s="19" t="str">
        <x:f>IF(N37="","Legacy",IF(AND(N37&gt;=84,H37&gt;=4,L37&gt;=4),"A",IF(AND(N37&gt;=70,H37&gt;=3),"B","C")))</x:f>
        <x:v>A</x:v>
      </x:c>
      <x:c r="P37" s="16" t="str">
        <x:v>Надіслано 28.07 — follow-up</x:v>
      </x:c>
      <x:c r="Q37" s="18" t="str">
        <x:v>Follow-up: показати перегляд без акаунта; попросити 1 анонімізований акт/АВР</x:v>
      </x:c>
      <x:c r="R37" s="18" t="str">
        <x:v>Власник / директор; керівник ПТО</x:v>
      </x:c>
      <x:c r="S37" s="18" t="str">
        <x:v>Проєктування й монтаж вентиляції та опалення по Україні; велике портфоліо шкіл, лікарень, театрів, промислових і торгових об’єктів.</x:v>
      </x:c>
      <x:c r="T37" s="18" t="str">
        <x:v>Повітроводи, ізоляція, автоматика й протипожежні клапани закриваються стелями; потрібні акти й пусконалагодження.</x:v>
      </x:c>
      <x:c r="U37" s="18" t="str">
        <x:v>https://climtec.ua/portfolio/</x:v>
      </x:c>
      <x:c r="V37" s="16" t="str"/>
      <x:c r="W37" s="16" t="str">
        <x:v>official_site_only</x:v>
      </x:c>
      <x:c r="X37" s="16" t="str">
        <x:v>2026-07-28</x:v>
      </x:c>
      <x:c r="Y37" s="16" t="str">
        <x:v>Олександр</x:v>
      </x:c>
      <x:c r="Z37" s="20" t="str"/>
      <x:c r="AA37" s="16" t="str"/>
    </x:row>
    <x:row r="38">
      <x:c r="A38" s="16" t="str">
        <x:v>AUG-022</x:v>
      </x:c>
      <x:c r="B38" s="16" t="str">
        <x:v>Нова хвиля 24.08</x:v>
      </x:c>
      <x:c r="C38" s="16" t="str">
        <x:v>MPF</x:v>
      </x:c>
      <x:c r="D38" s="16" t="str">
        <x:v>MEP / інженерні системи</x:v>
      </x:c>
      <x:c r="E38" s="16" t="str">
        <x:v>Спеціалізований підрядник</x:v>
      </x:c>
      <x:c r="F38" s="16" t="str">
        <x:v>mpf.com.ua</x:v>
      </x:c>
      <x:c r="G38" s="16" t="str">
        <x:v>Зараз — Н.14 + Н.15</x:v>
      </x:c>
      <x:c r="H38" s="17" t="n">
        <x:v>5</x:v>
      </x:c>
      <x:c r="I38" s="17" t="n">
        <x:v>4</x:v>
      </x:c>
      <x:c r="J38" s="17" t="n">
        <x:v>4</x:v>
      </x:c>
      <x:c r="K38" s="17" t="n">
        <x:v>4</x:v>
      </x:c>
      <x:c r="L38" s="17" t="n">
        <x:v>5</x:v>
      </x:c>
      <x:c r="M38" s="17" t="n">
        <x:v>5</x:v>
      </x:c>
      <x:c r="N38" s="17" t="n">
        <x:f>IF(COUNT(H38:M38)&lt;6,"",H38*6+I38*4+J38*3+K38*3+L38*3+M38)</x:f>
        <x:v>90</x:v>
      </x:c>
      <x:c r="O38" s="19" t="str">
        <x:f>IF(N38="","Legacy",IF(AND(N38&gt;=84,H38&gt;=4,L38&gt;=4),"A",IF(AND(N38&gt;=70,H38&gt;=3),"B","C")))</x:f>
        <x:v>A</x:v>
      </x:c>
      <x:c r="P38" s="16" t="str">
        <x:v>Новий — не контактували</x:v>
      </x:c>
      <x:c r="Q38" s="18" t="str">
        <x:v>Персоналізувати 1-й контакт за доказом; запропонувати перегляд без акаунта</x:v>
      </x:c>
      <x:c r="R38" s="18" t="str">
        <x:v>Коммерческий директор; руководитель ПТО</x:v>
      </x:c>
      <x:c r="S38" s="18" t="str">
        <x:v>Полный цикл инженерных систем для промышленных и коммерческих объектов: проект, монтаж, пусконаладка и ввод.</x:v>
      </x:c>
      <x:c r="T38" s="18" t="str">
        <x:v>Водоснабжение, канализация, HVAC и электроснабжение позволяют выбрать полностью поддержанный пилотный участок.</x:v>
      </x:c>
      <x:c r="U38" s="18" t="str">
        <x:v>https://mpf.com.ua/services/inzenerni-sistemi</x:v>
      </x:c>
      <x:c r="V38" s="16" t="str"/>
      <x:c r="W38" s="16" t="str">
        <x:v>official_site_verified</x:v>
      </x:c>
      <x:c r="X38" s="16" t="str">
        <x:v>2026-08-24</x:v>
      </x:c>
      <x:c r="Y38" s="16" t="str">
        <x:v>Олександр</x:v>
      </x:c>
      <x:c r="Z38" s="20" t="str"/>
      <x:c r="AA38" s="16" t="str"/>
    </x:row>
    <x:row r="39">
      <x:c r="A39" s="16" t="str">
        <x:v>AUG-014</x:v>
      </x:c>
      <x:c r="B39" s="16" t="str">
        <x:v>Нова хвиля 24.08</x:v>
      </x:c>
      <x:c r="C39" s="16" t="str">
        <x:v>Premier Ltd</x:v>
      </x:c>
      <x:c r="D39" s="16" t="str">
        <x:v>Слаботочні системи</x:v>
      </x:c>
      <x:c r="E39" s="16" t="str">
        <x:v>Спеціалізований підрядник</x:v>
      </x:c>
      <x:c r="F39" s="16" t="str">
        <x:v>premier-ltd.com.ua</x:v>
      </x:c>
      <x:c r="G39" s="16" t="str">
        <x:v>Перевірити — Н.15</x:v>
      </x:c>
      <x:c r="H39" s="17" t="n">
        <x:v>4</x:v>
      </x:c>
      <x:c r="I39" s="17" t="n">
        <x:v>4</x:v>
      </x:c>
      <x:c r="J39" s="17" t="n">
        <x:v>5</x:v>
      </x:c>
      <x:c r="K39" s="17" t="n">
        <x:v>5</x:v>
      </x:c>
      <x:c r="L39" s="17" t="n">
        <x:v>5</x:v>
      </x:c>
      <x:c r="M39" s="17" t="n">
        <x:v>5</x:v>
      </x:c>
      <x:c r="N39" s="17" t="n">
        <x:f>IF(COUNT(H39:M39)&lt;6,"",H39*6+I39*4+J39*3+K39*3+L39*3+M39)</x:f>
        <x:v>90</x:v>
      </x:c>
      <x:c r="O39" s="19" t="str">
        <x:f>IF(N39="","Legacy",IF(AND(N39&gt;=84,H39&gt;=4,L39&gt;=4),"A",IF(AND(N39&gt;=70,H39&gt;=3),"B","C")))</x:f>
        <x:v>A</x:v>
      </x:c>
      <x:c r="P39" s="16" t="str">
        <x:v>Новий — не контактували</x:v>
      </x:c>
      <x:c r="Q39" s="18" t="str">
        <x:v>Персоналізувати 1-й контакт за доказом; запропонувати перегляд без акаунта</x:v>
      </x:c>
      <x:c r="R39" s="18" t="str">
        <x:v>Директор; руководитель монтажно-наладочных работ</x:v>
      </x:c>
      <x:c r="S39" s="18" t="str">
        <x:v>Около тысячи развёрнутых слабострумных систем на сотнях объектов, проектирование, монтаж, наладка и сертификация.</x:v>
      </x:c>
      <x:c r="T39" s="18" t="str">
        <x:v>Кабельные коммуникации скрываются на этапе строительства; нужно проверить, достаточно ли Н.15 для их реального процесса.</x:v>
      </x:c>
      <x:c r="U39" s="18" t="str">
        <x:v>https://premier-ltd.com.ua/ua/montazhno-naladochnye-raboty/</x:v>
      </x:c>
      <x:c r="V39" s="16" t="str"/>
      <x:c r="W39" s="16" t="str">
        <x:v>official_site_verified</x:v>
      </x:c>
      <x:c r="X39" s="16" t="str">
        <x:v>2026-08-24</x:v>
      </x:c>
      <x:c r="Y39" s="16" t="str">
        <x:v>Олександр</x:v>
      </x:c>
      <x:c r="Z39" s="20" t="str"/>
      <x:c r="AA39" s="16" t="str"/>
    </x:row>
    <x:row r="40">
      <x:c r="A40" s="16" t="str">
        <x:v>AUG-047</x:v>
      </x:c>
      <x:c r="B40" s="16" t="str">
        <x:v>Нова хвиля 24.08</x:v>
      </x:c>
      <x:c r="C40" s="16" t="str">
        <x:v>RalcoTechnic</x:v>
      </x:c>
      <x:c r="D40" s="16" t="str">
        <x:v>Промислове холодопостачання</x:v>
      </x:c>
      <x:c r="E40" s="16" t="str">
        <x:v>Спеціалізований підрядник</x:v>
      </x:c>
      <x:c r="F40" s="16" t="str">
        <x:v>ralco.com.ua</x:v>
      </x:c>
      <x:c r="G40" s="16" t="str">
        <x:v>Зараз — Н.14</x:v>
      </x:c>
      <x:c r="H40" s="17" t="n">
        <x:v>4</x:v>
      </x:c>
      <x:c r="I40" s="17" t="n">
        <x:v>4</x:v>
      </x:c>
      <x:c r="J40" s="17" t="n">
        <x:v>5</x:v>
      </x:c>
      <x:c r="K40" s="17" t="n">
        <x:v>5</x:v>
      </x:c>
      <x:c r="L40" s="17" t="n">
        <x:v>5</x:v>
      </x:c>
      <x:c r="M40" s="17" t="n">
        <x:v>5</x:v>
      </x:c>
      <x:c r="N40" s="17" t="n">
        <x:f>IF(COUNT(H40:M40)&lt;6,"",H40*6+I40*4+J40*3+K40*3+L40*3+M40)</x:f>
        <x:v>90</x:v>
      </x:c>
      <x:c r="O40" s="19" t="str">
        <x:f>IF(N40="","Legacy",IF(AND(N40&gt;=84,H40&gt;=4,L40&gt;=4),"A",IF(AND(N40&gt;=70,H40&gt;=3),"B","C")))</x:f>
        <x:v>A</x:v>
      </x:c>
      <x:c r="P40" s="16" t="str">
        <x:v>Новий — не контактували</x:v>
      </x:c>
      <x:c r="Q40" s="18" t="str">
        <x:v>Персоналізувати 1-й контакт за доказом; запропонувати перегляд без акаунта</x:v>
      </x:c>
      <x:c r="R40" s="18" t="str">
        <x:v>Коммерческий директор; руководитель проектного отдела</x:v>
      </x:c>
      <x:c r="S40" s="18" t="str">
        <x:v>1200+ проектов в портфолио, 400+ комплексных проектов, собственные мобильные сервисные бригады.</x:v>
      </x:c>
      <x:c r="T40" s="18" t="str">
        <x:v>Большая повторяемость монтажных этапов и сильная сервисная дисциплина; начать с Н.14-subset.</x:v>
      </x:c>
      <x:c r="U40" s="18" t="str">
        <x:v>https://ralco.com.ua/projects/</x:v>
      </x:c>
      <x:c r="V40" s="16" t="str"/>
      <x:c r="W40" s="16" t="str">
        <x:v>official_site_verified</x:v>
      </x:c>
      <x:c r="X40" s="16" t="str">
        <x:v>2026-08-24</x:v>
      </x:c>
      <x:c r="Y40" s="16" t="str">
        <x:v>Олександр</x:v>
      </x:c>
      <x:c r="Z40" s="20" t="str"/>
      <x:c r="AA40" s="16" t="str"/>
    </x:row>
    <x:row r="41">
      <x:c r="A41" s="16" t="str">
        <x:v>AUG-045</x:v>
      </x:c>
      <x:c r="B41" s="16" t="str">
        <x:v>Нова хвиля 24.08</x:v>
      </x:c>
      <x:c r="C41" s="16" t="str">
        <x:v>Subzero</x:v>
      </x:c>
      <x:c r="D41" s="16" t="str">
        <x:v>Промислове холодопостачання</x:v>
      </x:c>
      <x:c r="E41" s="16" t="str">
        <x:v>Спеціалізований підрядник</x:v>
      </x:c>
      <x:c r="F41" s="16" t="str">
        <x:v>subzero.ua</x:v>
      </x:c>
      <x:c r="G41" s="16" t="str">
        <x:v>Зараз — Н.14</x:v>
      </x:c>
      <x:c r="H41" s="17" t="n">
        <x:v>4</x:v>
      </x:c>
      <x:c r="I41" s="17" t="n">
        <x:v>4</x:v>
      </x:c>
      <x:c r="J41" s="17" t="n">
        <x:v>5</x:v>
      </x:c>
      <x:c r="K41" s="17" t="n">
        <x:v>5</x:v>
      </x:c>
      <x:c r="L41" s="17" t="n">
        <x:v>5</x:v>
      </x:c>
      <x:c r="M41" s="17" t="n">
        <x:v>5</x:v>
      </x:c>
      <x:c r="N41" s="17" t="n">
        <x:f>IF(COUNT(H41:M41)&lt;6,"",H41*6+I41*4+J41*3+K41*3+L41*3+M41)</x:f>
        <x:v>90</x:v>
      </x:c>
      <x:c r="O41" s="19" t="str">
        <x:f>IF(N41="","Legacy",IF(AND(N41&gt;=84,H41&gt;=4,L41&gt;=4),"A",IF(AND(N41&gt;=70,H41&gt;=3),"B","C")))</x:f>
        <x:v>A</x:v>
      </x:c>
      <x:c r="P41" s="16" t="str">
        <x:v>Новий — не контактували</x:v>
      </x:c>
      <x:c r="Q41" s="18" t="str">
        <x:v>Персоналізувати 1-й контакт за доказом; запропонувати перегляд без акаунта</x:v>
      </x:c>
      <x:c r="R41" s="18" t="str">
        <x:v>Директор; руководитель проектов / ПТО</x:v>
      </x:c>
      <x:c r="S41" s="18" t="str">
        <x:v>Полный промышленный холод: генеральное проектирование, монтаж, пусконаладка, модернизация и сервис для пищевых/агропредприятий.</x:v>
      </x:c>
      <x:c r="T41" s="18" t="str">
        <x:v>Трубопроводы и автоматика подходят, но первый проект нужно ограничить Н.14-пунктами.</x:v>
      </x:c>
      <x:c r="U41" s="18" t="str">
        <x:v>https://subzero.ua/</x:v>
      </x:c>
      <x:c r="V41" s="16" t="str"/>
      <x:c r="W41" s="16" t="str">
        <x:v>official_site_verified</x:v>
      </x:c>
      <x:c r="X41" s="16" t="str">
        <x:v>2026-08-24</x:v>
      </x:c>
      <x:c r="Y41" s="16" t="str">
        <x:v>Олександр</x:v>
      </x:c>
      <x:c r="Z41" s="20" t="str"/>
      <x:c r="AA41" s="16" t="str"/>
    </x:row>
    <x:row r="42">
      <x:c r="A42" s="16" t="str">
        <x:v>AUG-050</x:v>
      </x:c>
      <x:c r="B42" s="16" t="str">
        <x:v>Нова хвиля 24.08</x:v>
      </x:c>
      <x:c r="C42" s="16" t="str">
        <x:v>Київська Насосна Компанія</x:v>
      </x:c>
      <x:c r="D42" s="16" t="str">
        <x:v>Внутрішня сантехніка + HVAC</x:v>
      </x:c>
      <x:c r="E42" s="16" t="str">
        <x:v>Спеціалізований підрядник</x:v>
      </x:c>
      <x:c r="F42" s="16" t="str">
        <x:v>knk.ua</x:v>
      </x:c>
      <x:c r="G42" s="16" t="str">
        <x:v>Зараз — Н.14</x:v>
      </x:c>
      <x:c r="H42" s="17" t="n">
        <x:v>5</x:v>
      </x:c>
      <x:c r="I42" s="17" t="n">
        <x:v>4</x:v>
      </x:c>
      <x:c r="J42" s="17" t="n">
        <x:v>4</x:v>
      </x:c>
      <x:c r="K42" s="17" t="n">
        <x:v>4</x:v>
      </x:c>
      <x:c r="L42" s="17" t="n">
        <x:v>5</x:v>
      </x:c>
      <x:c r="M42" s="17" t="n">
        <x:v>4</x:v>
      </x:c>
      <x:c r="N42" s="17" t="n">
        <x:f>IF(COUNT(H42:M42)&lt;6,"",H42*6+I42*4+J42*3+K42*3+L42*3+M42)</x:f>
        <x:v>89</x:v>
      </x:c>
      <x:c r="O42" s="19" t="str">
        <x:f>IF(N42="","Legacy",IF(AND(N42&gt;=84,H42&gt;=4,L42&gt;=4),"A",IF(AND(N42&gt;=70,H42&gt;=3),"B","C")))</x:f>
        <x:v>A</x:v>
      </x:c>
      <x:c r="P42" s="16" t="str">
        <x:v>Новий — не контактували</x:v>
      </x:c>
      <x:c r="Q42" s="18" t="str">
        <x:v>Персоналізувати 1-й контакт за доказом; запропонувати перегляд без акаунта</x:v>
      </x:c>
      <x:c r="R42" s="18" t="str">
        <x:v>Директор; руководитель монтажных проектов / ПТО</x:v>
      </x:c>
      <x:c r="S42" s="18" t="str">
        <x:v>Монтаж, шеф-монтаж и пусконаладка водоснабжения, отопления, канализации и вентиляции с возможностью генподряда.</x:v>
      </x:c>
      <x:c r="T42" s="18" t="str">
        <x:v>Трубопроводы, арматура, автоматика и приёмка напрямую совпадают с Н.14.</x:v>
      </x:c>
      <x:c r="U42" s="18" t="str">
        <x:v>https://knk.ua/data/images/pdf/2023_%D0%9A%D0%B0%D1%82%D0%B0%D0%BB%D0%BE%D0%B3_%D0%9A%D0%9D%D0%9A.pdf</x:v>
      </x:c>
      <x:c r="V42" s="16" t="str"/>
      <x:c r="W42" s="16" t="str">
        <x:v>official_catalog_verified</x:v>
      </x:c>
      <x:c r="X42" s="16" t="str">
        <x:v>2026-08-24</x:v>
      </x:c>
      <x:c r="Y42" s="16" t="str">
        <x:v>Олександр</x:v>
      </x:c>
      <x:c r="Z42" s="20" t="str"/>
      <x:c r="AA42" s="16" t="str"/>
    </x:row>
    <x:row r="43">
      <x:c r="A43" s="16" t="str">
        <x:v>AUG-007</x:v>
      </x:c>
      <x:c r="B43" s="16" t="str">
        <x:v>Нова хвиля 24.08</x:v>
      </x:c>
      <x:c r="C43" s="16" t="str">
        <x:v>BergGroup</x:v>
      </x:c>
      <x:c r="D43" s="16" t="str">
        <x:v>Зовнішні мережі + електрика</x:v>
      </x:c>
      <x:c r="E43" s="16" t="str">
        <x:v>Спеціалізований підрядник</x:v>
      </x:c>
      <x:c r="F43" s="16" t="str">
        <x:v>berggroup.com.ua</x:v>
      </x:c>
      <x:c r="G43" s="16" t="str">
        <x:v>Зараз — Н.15</x:v>
      </x:c>
      <x:c r="H43" s="17" t="n">
        <x:v>4</x:v>
      </x:c>
      <x:c r="I43" s="17" t="n">
        <x:v>5</x:v>
      </x:c>
      <x:c r="J43" s="17" t="n">
        <x:v>4</x:v>
      </x:c>
      <x:c r="K43" s="17" t="n">
        <x:v>4</x:v>
      </x:c>
      <x:c r="L43" s="17" t="n">
        <x:v>5</x:v>
      </x:c>
      <x:c r="M43" s="17" t="n">
        <x:v>5</x:v>
      </x:c>
      <x:c r="N43" s="17" t="n">
        <x:f>IF(COUNT(H43:M43)&lt;6,"",H43*6+I43*4+J43*3+K43*3+L43*3+M43)</x:f>
        <x:v>88</x:v>
      </x:c>
      <x:c r="O43" s="19" t="str">
        <x:f>IF(N43="","Legacy",IF(AND(N43&gt;=84,H43&gt;=4,L43&gt;=4),"A",IF(AND(N43&gt;=70,H43&gt;=3),"B","C")))</x:f>
        <x:v>A</x:v>
      </x:c>
      <x:c r="P43" s="16" t="str">
        <x:v>Новий — не контактували</x:v>
      </x:c>
      <x:c r="Q43" s="18" t="str">
        <x:v>Персоналізувати 1-й контакт за доказом; запропонувати перегляд без акаунта</x:v>
      </x:c>
      <x:c r="R43" s="18" t="str">
        <x:v>Коммерческий директор; руководитель ПТО</x:v>
      </x:c>
      <x:c r="S43" s="18" t="str">
        <x:v>Строит инженерные сети и обслуживает/монтирует подстанции до 330 кВ; работает открытым и бестраншейным способом.</x:v>
      </x:c>
      <x:c r="T43" s="18" t="str">
        <x:v>Кабельные линии и заземление можно пилотировать сейчас; водопровод и газ — после расширения требований.</x:v>
      </x:c>
      <x:c r="U43" s="18" t="str">
        <x:v>https://berggroup.com.ua/</x:v>
      </x:c>
      <x:c r="V43" s="16" t="str"/>
      <x:c r="W43" s="16" t="str">
        <x:v>official_site_verified</x:v>
      </x:c>
      <x:c r="X43" s="16" t="str">
        <x:v>2026-08-24</x:v>
      </x:c>
      <x:c r="Y43" s="16" t="str">
        <x:v>Олександр</x:v>
      </x:c>
      <x:c r="Z43" s="20" t="str"/>
      <x:c r="AA43" s="16" t="str"/>
    </x:row>
    <x:row r="44">
      <x:c r="A44" s="16" t="str">
        <x:v>AUG-043</x:v>
      </x:c>
      <x:c r="B44" s="16" t="str">
        <x:v>Нова хвиля 24.08</x:v>
      </x:c>
      <x:c r="C44" s="16" t="str">
        <x:v>АльфаПроект</x:v>
      </x:c>
      <x:c r="D44" s="16" t="str">
        <x:v>Промислове холодопостачання</x:v>
      </x:c>
      <x:c r="E44" s="16" t="str">
        <x:v>Спеціалізований підрядник</x:v>
      </x:c>
      <x:c r="F44" s="16" t="str">
        <x:v>alfaproekt.com.ua</x:v>
      </x:c>
      <x:c r="G44" s="16" t="str">
        <x:v>Зараз — Н.14</x:v>
      </x:c>
      <x:c r="H44" s="17" t="n">
        <x:v>4</x:v>
      </x:c>
      <x:c r="I44" s="17" t="n">
        <x:v>4</x:v>
      </x:c>
      <x:c r="J44" s="17" t="n">
        <x:v>5</x:v>
      </x:c>
      <x:c r="K44" s="17" t="n">
        <x:v>4</x:v>
      </x:c>
      <x:c r="L44" s="17" t="n">
        <x:v>5</x:v>
      </x:c>
      <x:c r="M44" s="17" t="n">
        <x:v>5</x:v>
      </x:c>
      <x:c r="N44" s="17" t="n">
        <x:f>IF(COUNT(H44:M44)&lt;6,"",H44*6+I44*4+J44*3+K44*3+L44*3+M44)</x:f>
        <x:v>87</x:v>
      </x:c>
      <x:c r="O44" s="19" t="str">
        <x:f>IF(N44="","Legacy",IF(AND(N44&gt;=84,H44&gt;=4,L44&gt;=4),"A",IF(AND(N44&gt;=70,H44&gt;=3),"B","C")))</x:f>
        <x:v>A</x:v>
      </x:c>
      <x:c r="P44" s="16" t="str">
        <x:v>Новий — не контактували</x:v>
      </x:c>
      <x:c r="Q44" s="18" t="str">
        <x:v>Персоналізувати 1-й контакт за доказом; запропонувати перегляд без акаунта</x:v>
      </x:c>
      <x:c r="R44" s="18" t="str">
        <x:v>Директор; руководитель монтажных проектов</x:v>
      </x:c>
      <x:c r="S44" s="18" t="str">
        <x:v>20+ лет, 200+ предприятий, проектирование, монтаж и пусконаладка промышленного холодоснабжения.</x:v>
      </x:c>
      <x:c r="T44" s="18" t="str">
        <x:v>Трубопроводы, сварные соединения, арматура и автоматика дают поддержанный Н.14-subset.</x:v>
      </x:c>
      <x:c r="U44" s="18" t="str">
        <x:v>https://www.alfaproekt.com.ua/</x:v>
      </x:c>
      <x:c r="V44" s="16" t="str"/>
      <x:c r="W44" s="16" t="str">
        <x:v>official_site_verified</x:v>
      </x:c>
      <x:c r="X44" s="16" t="str">
        <x:v>2026-08-24</x:v>
      </x:c>
      <x:c r="Y44" s="16" t="str">
        <x:v>Олександр</x:v>
      </x:c>
      <x:c r="Z44" s="20" t="str"/>
      <x:c r="AA44" s="16" t="str"/>
    </x:row>
    <x:row r="45">
      <x:c r="A45" s="16" t="str">
        <x:v>AUG-032</x:v>
      </x:c>
      <x:c r="B45" s="16" t="str">
        <x:v>Нова хвиля 24.08</x:v>
      </x:c>
      <x:c r="C45" s="16" t="str">
        <x:v>БІЛДІНГ ІНЖИНІРИНГ ТІМ</x:v>
      </x:c>
      <x:c r="D45" s="16" t="str">
        <x:v>Пожежні системи</x:v>
      </x:c>
      <x:c r="E45" s="16" t="str">
        <x:v>Спеціалізований підрядник</x:v>
      </x:c>
      <x:c r="F45" s="16" t="str">
        <x:v>baetbuilding.com.ua</x:v>
      </x:c>
      <x:c r="G45" s="16" t="str">
        <x:v>Перевірити — Н.15</x:v>
      </x:c>
      <x:c r="H45" s="17" t="n">
        <x:v>4</x:v>
      </x:c>
      <x:c r="I45" s="17" t="n">
        <x:v>4</x:v>
      </x:c>
      <x:c r="J45" s="17" t="n">
        <x:v>4</x:v>
      </x:c>
      <x:c r="K45" s="17" t="n">
        <x:v>5</x:v>
      </x:c>
      <x:c r="L45" s="17" t="n">
        <x:v>5</x:v>
      </x:c>
      <x:c r="M45" s="17" t="n">
        <x:v>5</x:v>
      </x:c>
      <x:c r="N45" s="17" t="n">
        <x:f>IF(COUNT(H45:M45)&lt;6,"",H45*6+I45*4+J45*3+K45*3+L45*3+M45)</x:f>
        <x:v>87</x:v>
      </x:c>
      <x:c r="O45" s="19" t="str">
        <x:f>IF(N45="","Legacy",IF(AND(N45&gt;=84,H45&gt;=4,L45&gt;=4),"A",IF(AND(N45&gt;=70,H45&gt;=3),"B","C")))</x:f>
        <x:v>A</x:v>
      </x:c>
      <x:c r="P45" s="16" t="str">
        <x:v>Новий — не контактували</x:v>
      </x:c>
      <x:c r="Q45" s="18" t="str">
        <x:v>Персоналізувати 1-й контакт за доказом; запропонувати перегляд без акаунта</x:v>
      </x:c>
      <x:c r="R45" s="18" t="str">
        <x:v>Директор; главный инженер / ПТО</x:v>
      </x:c>
      <x:c r="S45" s="18" t="str">
        <x:v>Десятки противопожарных объектов: водяное/газовое пожаротушение, сигнализация, дымоудаление, автоматика и молниезащита.</x:v>
      </x:c>
      <x:c r="T45" s="18" t="str">
        <x:v>Можно начать с труб, арматуры, автоматики и кабелей, не обещая полную пожарную нормативную библиотеку.</x:v>
      </x:c>
      <x:c r="U45" s="18" t="str">
        <x:v>https://baetbuilding.com.ua/</x:v>
      </x:c>
      <x:c r="V45" s="16" t="str"/>
      <x:c r="W45" s="16" t="str">
        <x:v>official_site_verified</x:v>
      </x:c>
      <x:c r="X45" s="16" t="str">
        <x:v>2026-08-24</x:v>
      </x:c>
      <x:c r="Y45" s="16" t="str">
        <x:v>Олександр</x:v>
      </x:c>
      <x:c r="Z45" s="20" t="str"/>
      <x:c r="AA45" s="16" t="str"/>
    </x:row>
    <x:row r="46">
      <x:c r="A46" s="16" t="str">
        <x:v>V3-037</x:v>
      </x:c>
      <x:c r="B46" s="16" t="str">
        <x:v>Досліджено 28.07</x:v>
      </x:c>
      <x:c r="C46" s="16" t="str">
        <x:v>Інженерна компанія TMEK</x:v>
      </x:c>
      <x:c r="D46" s="16" t="str">
        <x:v>Слаботочні системи</x:v>
      </x:c>
      <x:c r="E46" s="16" t="str">
        <x:v>Спеціалізований підрядник</x:v>
      </x:c>
      <x:c r="F46" s="16" t="str">
        <x:v>tmek.com.ua</x:v>
      </x:c>
      <x:c r="G46" s="16" t="str">
        <x:v>Перевірити — Н.15</x:v>
      </x:c>
      <x:c r="H46" s="17" t="n">
        <x:v>4</x:v>
      </x:c>
      <x:c r="I46" s="17" t="n">
        <x:v>4</x:v>
      </x:c>
      <x:c r="J46" s="17" t="n">
        <x:v>4</x:v>
      </x:c>
      <x:c r="K46" s="17" t="n">
        <x:v>5</x:v>
      </x:c>
      <x:c r="L46" s="17" t="n">
        <x:v>5</x:v>
      </x:c>
      <x:c r="M46" s="17" t="n">
        <x:v>5</x:v>
      </x:c>
      <x:c r="N46" s="17" t="n">
        <x:f>IF(COUNT(H46:M46)&lt;6,"",H46*6+I46*4+J46*3+K46*3+L46*3+M46)</x:f>
        <x:v>87</x:v>
      </x:c>
      <x:c r="O46" s="19" t="str">
        <x:f>IF(N46="","Legacy",IF(AND(N46&gt;=84,H46&gt;=4,L46&gt;=4),"A",IF(AND(N46&gt;=70,H46&gt;=3),"B","C")))</x:f>
        <x:v>A</x:v>
      </x:c>
      <x:c r="P46" s="16" t="str">
        <x:v>Надіслано 28.07 — follow-up</x:v>
      </x:c>
      <x:c r="Q46" s="18" t="str">
        <x:v>Follow-up: показати перегляд без акаунта; попросити 1 анонімізований акт/АВР</x:v>
      </x:c>
      <x:c r="R46" s="18" t="str">
        <x:v>Власник / директор; керівник ПТО</x:v>
      </x:c>
      <x:c r="S46" s="18" t="str">
        <x:v>Проєктування, реалізація та підтримка слабкострумових систем для комерційних, державних і промислових об’єктів.</x:v>
      </x:c>
      <x:c r="T46" s="18" t="str">
        <x:v>СКС, відеонагляд, контроль доступу й сигналізація мають приховані кабельні траси та тестові протоколи.</x:v>
      </x:c>
      <x:c r="U46" s="18" t="str">
        <x:v>https://tmek.com.ua/proektuvannya-slabkostrumovih-sistem/</x:v>
      </x:c>
      <x:c r="V46" s="16" t="str"/>
      <x:c r="W46" s="16" t="str">
        <x:v>official_site_only</x:v>
      </x:c>
      <x:c r="X46" s="16" t="str">
        <x:v>2026-07-28</x:v>
      </x:c>
      <x:c r="Y46" s="16" t="str">
        <x:v>Олександр</x:v>
      </x:c>
      <x:c r="Z46" s="20" t="str"/>
      <x:c r="AA46" s="16" t="str"/>
    </x:row>
    <x:row r="47">
      <x:c r="A47" s="16" t="str">
        <x:v>AUG-044</x:v>
      </x:c>
      <x:c r="B47" s="16" t="str">
        <x:v>Нова хвиля 24.08</x:v>
      </x:c>
      <x:c r="C47" s="16" t="str">
        <x:v>Магія Комфорту</x:v>
      </x:c>
      <x:c r="D47" s="16" t="str">
        <x:v>Внутрішня сантехніка + HVAC</x:v>
      </x:c>
      <x:c r="E47" s="16" t="str">
        <x:v>Спеціалізований підрядник</x:v>
      </x:c>
      <x:c r="F47" s="16" t="str">
        <x:v>magic-comfort.com.ua</x:v>
      </x:c>
      <x:c r="G47" s="16" t="str">
        <x:v>Зараз — Н.14</x:v>
      </x:c>
      <x:c r="H47" s="17" t="n">
        <x:v>5</x:v>
      </x:c>
      <x:c r="I47" s="17" t="n">
        <x:v>4</x:v>
      </x:c>
      <x:c r="J47" s="17" t="n">
        <x:v>3</x:v>
      </x:c>
      <x:c r="K47" s="17" t="n">
        <x:v>4</x:v>
      </x:c>
      <x:c r="L47" s="17" t="n">
        <x:v>5</x:v>
      </x:c>
      <x:c r="M47" s="17" t="n">
        <x:v>5</x:v>
      </x:c>
      <x:c r="N47" s="17" t="n">
        <x:f>IF(COUNT(H47:M47)&lt;6,"",H47*6+I47*4+J47*3+K47*3+L47*3+M47)</x:f>
        <x:v>87</x:v>
      </x:c>
      <x:c r="O47" s="19" t="str">
        <x:f>IF(N47="","Legacy",IF(AND(N47&gt;=84,H47&gt;=4,L47&gt;=4),"A",IF(AND(N47&gt;=70,H47&gt;=3),"B","C")))</x:f>
        <x:v>A</x:v>
      </x:c>
      <x:c r="P47" s="16" t="str">
        <x:v>Новий — не контактували</x:v>
      </x:c>
      <x:c r="Q47" s="18" t="str">
        <x:v>Персоналізувати 1-й контакт за доказом; запропонувати перегляд без акаунта</x:v>
      </x:c>
      <x:c r="R47" s="18" t="str">
        <x:v>Владелец; главный инженер / ПТО</x:v>
      </x:c>
      <x:c r="S47" s="18" t="str">
        <x:v>20+ лет, проектирование, строительно-монтажные и пусконаладочные работы на жилых, коммерческих и промышленных объектах.</x:v>
      </x:c>
      <x:c r="T47" s="18" t="str">
        <x:v>Опаление, водоснабжение, канализация и автоматика соответствуют Н.14.</x:v>
      </x:c>
      <x:c r="U47" s="18" t="str">
        <x:v>https://magic-comfort.com.ua/</x:v>
      </x:c>
      <x:c r="V47" s="16" t="str"/>
      <x:c r="W47" s="16" t="str">
        <x:v>official_site_verified</x:v>
      </x:c>
      <x:c r="X47" s="16" t="str">
        <x:v>2026-08-24</x:v>
      </x:c>
      <x:c r="Y47" s="16" t="str">
        <x:v>Олександр</x:v>
      </x:c>
      <x:c r="Z47" s="20" t="str"/>
      <x:c r="AA47" s="16" t="str"/>
    </x:row>
    <x:row r="48">
      <x:c r="A48" s="16" t="str">
        <x:v>AUG-038</x:v>
      </x:c>
      <x:c r="B48" s="16" t="str">
        <x:v>Нова хвиля 24.08</x:v>
      </x:c>
      <x:c r="C48" s="16" t="str">
        <x:v>СПЗ-МОНТАЖ</x:v>
      </x:c>
      <x:c r="D48" s="16" t="str">
        <x:v>Пожежні системи</x:v>
      </x:c>
      <x:c r="E48" s="16" t="str">
        <x:v>Спеціалізований підрядник</x:v>
      </x:c>
      <x:c r="F48" s="16" t="str">
        <x:v>spz-montage.com.ua</x:v>
      </x:c>
      <x:c r="G48" s="16" t="str">
        <x:v>Перевірити — Н.15</x:v>
      </x:c>
      <x:c r="H48" s="17" t="n">
        <x:v>4</x:v>
      </x:c>
      <x:c r="I48" s="17" t="n">
        <x:v>4</x:v>
      </x:c>
      <x:c r="J48" s="17" t="n">
        <x:v>4</x:v>
      </x:c>
      <x:c r="K48" s="17" t="n">
        <x:v>5</x:v>
      </x:c>
      <x:c r="L48" s="17" t="n">
        <x:v>5</x:v>
      </x:c>
      <x:c r="M48" s="17" t="n">
        <x:v>5</x:v>
      </x:c>
      <x:c r="N48" s="17" t="n">
        <x:f>IF(COUNT(H48:M48)&lt;6,"",H48*6+I48*4+J48*3+K48*3+L48*3+M48)</x:f>
        <x:v>87</x:v>
      </x:c>
      <x:c r="O48" s="19" t="str">
        <x:f>IF(N48="","Legacy",IF(AND(N48&gt;=84,H48&gt;=4,L48&gt;=4),"A",IF(AND(N48&gt;=70,H48&gt;=3),"B","C")))</x:f>
        <x:v>A</x:v>
      </x:c>
      <x:c r="P48" s="16" t="str">
        <x:v>Новий — не контактували</x:v>
      </x:c>
      <x:c r="Q48" s="18" t="str">
        <x:v>Персоналізувати 1-й контакт за доказом; запропонувати перегляд без акаунта</x:v>
      </x:c>
      <x:c r="R48" s="18" t="str">
        <x:v>Директор; руководитель ПТО</x:v>
      </x:c>
      <x:c r="S48" s="18" t="str">
        <x:v>100+ клиентов, проектирование и монтаж всех систем противопожарной защиты; свежие проекты 2026 года.</x:v>
      </x:c>
      <x:c r="T48" s="18" t="str">
        <x:v>Есть активные объекты и приёмка систем; пилот ограничить электрическими и санитарно-техническими этапами.</x:v>
      </x:c>
      <x:c r="U48" s="18" t="str">
        <x:v>https://spz-montage.com.ua/</x:v>
      </x:c>
      <x:c r="V48" s="16" t="str"/>
      <x:c r="W48" s="16" t="str">
        <x:v>official_site_verified</x:v>
      </x:c>
      <x:c r="X48" s="16" t="str">
        <x:v>2026-08-24</x:v>
      </x:c>
      <x:c r="Y48" s="16" t="str">
        <x:v>Олександр</x:v>
      </x:c>
      <x:c r="Z48" s="20" t="str"/>
      <x:c r="AA48" s="16" t="str"/>
    </x:row>
    <x:row r="49">
      <x:c r="A49" s="16" t="str">
        <x:v>AUG-040</x:v>
      </x:c>
      <x:c r="B49" s="16" t="str">
        <x:v>Нова хвиля 24.08</x:v>
      </x:c>
      <x:c r="C49" s="16" t="str">
        <x:v>СПС-А</x:v>
      </x:c>
      <x:c r="D49" s="16" t="str">
        <x:v>Пожежна безпека + охорона</x:v>
      </x:c>
      <x:c r="E49" s="16" t="str">
        <x:v>Спеціалізований підрядник</x:v>
      </x:c>
      <x:c r="F49" s="16" t="str">
        <x:v>sps-a.com.ua</x:v>
      </x:c>
      <x:c r="G49" s="16" t="str">
        <x:v>Перевірити — Н.15</x:v>
      </x:c>
      <x:c r="H49" s="17" t="n">
        <x:v>4</x:v>
      </x:c>
      <x:c r="I49" s="17" t="n">
        <x:v>4</x:v>
      </x:c>
      <x:c r="J49" s="17" t="n">
        <x:v>4</x:v>
      </x:c>
      <x:c r="K49" s="17" t="n">
        <x:v>5</x:v>
      </x:c>
      <x:c r="L49" s="17" t="n">
        <x:v>5</x:v>
      </x:c>
      <x:c r="M49" s="17" t="n">
        <x:v>5</x:v>
      </x:c>
      <x:c r="N49" s="17" t="n">
        <x:f>IF(COUNT(H49:M49)&lt;6,"",H49*6+I49*4+J49*3+K49*3+L49*3+M49)</x:f>
        <x:v>87</x:v>
      </x:c>
      <x:c r="O49" s="19" t="str">
        <x:f>IF(N49="","Legacy",IF(AND(N49&gt;=84,H49&gt;=4,L49&gt;=4),"A",IF(AND(N49&gt;=70,H49&gt;=3),"B","C")))</x:f>
        <x:v>A</x:v>
      </x:c>
      <x:c r="P49" s="16" t="str">
        <x:v>Новий — не контактували</x:v>
      </x:c>
      <x:c r="Q49" s="18" t="str">
        <x:v>Персоналізувати 1-й контакт за доказом; запропонувати перегляд без акаунта</x:v>
      </x:c>
      <x:c r="R49" s="18" t="str">
        <x:v>Директор; руководитель проектов</x:v>
      </x:c>
      <x:c r="S49" s="18" t="str">
        <x:v>Сертифицированная команда, коммерческие и промышленные объекты, полный цикл до ввода в эксплуатацию.</x:v>
      </x:c>
      <x:c r="T49" s="18" t="str">
        <x:v>Кабельные шлейфы и автоматика подходят для пилота; пожаротушение потребует проектных требований.</x:v>
      </x:c>
      <x:c r="U49" s="18" t="str">
        <x:v>https://www.sps-a.com.ua/</x:v>
      </x:c>
      <x:c r="V49" s="16" t="str"/>
      <x:c r="W49" s="16" t="str">
        <x:v>official_site_verified</x:v>
      </x:c>
      <x:c r="X49" s="16" t="str">
        <x:v>2026-08-24</x:v>
      </x:c>
      <x:c r="Y49" s="16" t="str">
        <x:v>Олександр</x:v>
      </x:c>
      <x:c r="Z49" s="20" t="str"/>
      <x:c r="AA49" s="16" t="str"/>
    </x:row>
    <x:row r="50">
      <x:c r="A50" s="16" t="str">
        <x:v>AUG-020</x:v>
      </x:c>
      <x:c r="B50" s="16" t="str">
        <x:v>Нова хвиля 24.08</x:v>
      </x:c>
      <x:c r="C50" s="16" t="str">
        <x:v>Сучасна Проектна Група</x:v>
      </x:c>
      <x:c r="D50" s="16" t="str">
        <x:v>Пожежні системи</x:v>
      </x:c>
      <x:c r="E50" s="16" t="str">
        <x:v>Спеціалізований підрядник</x:v>
      </x:c>
      <x:c r="F50" s="16" t="str">
        <x:v>s-p-g.com.ua</x:v>
      </x:c>
      <x:c r="G50" s="16" t="str">
        <x:v>Перевірити — Н.15</x:v>
      </x:c>
      <x:c r="H50" s="17" t="n">
        <x:v>4</x:v>
      </x:c>
      <x:c r="I50" s="17" t="n">
        <x:v>4</x:v>
      </x:c>
      <x:c r="J50" s="17" t="n">
        <x:v>4</x:v>
      </x:c>
      <x:c r="K50" s="17" t="n">
        <x:v>5</x:v>
      </x:c>
      <x:c r="L50" s="17" t="n">
        <x:v>5</x:v>
      </x:c>
      <x:c r="M50" s="17" t="n">
        <x:v>5</x:v>
      </x:c>
      <x:c r="N50" s="17" t="n">
        <x:f>IF(COUNT(H50:M50)&lt;6,"",H50*6+I50*4+J50*3+K50*3+L50*3+M50)</x:f>
        <x:v>87</x:v>
      </x:c>
      <x:c r="O50" s="19" t="str">
        <x:f>IF(N50="","Legacy",IF(AND(N50&gt;=84,H50&gt;=4,L50&gt;=4),"A",IF(AND(N50&gt;=70,H50&gt;=3),"B","C")))</x:f>
        <x:v>A</x:v>
      </x:c>
      <x:c r="P50" s="16" t="str">
        <x:v>Новий — не контактували</x:v>
      </x:c>
      <x:c r="Q50" s="18" t="str">
        <x:v>Персоналізувати 1-й контакт за доказом; запропонувати перегляд без акаунта</x:v>
      </x:c>
      <x:c r="R50" s="18" t="str">
        <x:v>Директор; руководитель проектного отдела</x:v>
      </x:c>
      <x:c r="S50" s="18" t="str">
        <x:v>Десятки противопожарных проектов по Украине, комплексное проектирование, реконструкция и внедрение.</x:v>
      </x:c>
      <x:c r="T50" s="18" t="str">
        <x:v>Проектная дисциплина и инспекционные требования делают полноту доказательств важной, но потребуется их рабочая документация.</x:v>
      </x:c>
      <x:c r="U50" s="18" t="str">
        <x:v>https://s-p-g.com.ua/projects</x:v>
      </x:c>
      <x:c r="V50" s="16" t="str"/>
      <x:c r="W50" s="16" t="str">
        <x:v>official_site_verified</x:v>
      </x:c>
      <x:c r="X50" s="16" t="str">
        <x:v>2026-08-24</x:v>
      </x:c>
      <x:c r="Y50" s="16" t="str">
        <x:v>Олександр</x:v>
      </x:c>
      <x:c r="Z50" s="20" t="str"/>
      <x:c r="AA50" s="16" t="str"/>
    </x:row>
    <x:row r="51">
      <x:c r="A51" s="16" t="str">
        <x:v>V3-040</x:v>
      </x:c>
      <x:c r="B51" s="16" t="str">
        <x:v>Досліджено 28.07</x:v>
      </x:c>
      <x:c r="C51" s="16" t="str">
        <x:v>ТОВ «ОБЕРІГ-К»</x:v>
      </x:c>
      <x:c r="D51" s="16" t="str">
        <x:v>Слаботочні системи</x:v>
      </x:c>
      <x:c r="E51" s="16" t="str">
        <x:v>Спеціалізований підрядник</x:v>
      </x:c>
      <x:c r="F51" s="16" t="str">
        <x:v>oberig-k.com.ua</x:v>
      </x:c>
      <x:c r="G51" s="16" t="str">
        <x:v>Перевірити — Н.15</x:v>
      </x:c>
      <x:c r="H51" s="17" t="n">
        <x:v>4</x:v>
      </x:c>
      <x:c r="I51" s="17" t="n">
        <x:v>4</x:v>
      </x:c>
      <x:c r="J51" s="17" t="n">
        <x:v>4</x:v>
      </x:c>
      <x:c r="K51" s="17" t="n">
        <x:v>5</x:v>
      </x:c>
      <x:c r="L51" s="17" t="n">
        <x:v>5</x:v>
      </x:c>
      <x:c r="M51" s="17" t="n">
        <x:v>5</x:v>
      </x:c>
      <x:c r="N51" s="17" t="n">
        <x:f>IF(COUNT(H51:M51)&lt;6,"",H51*6+I51*4+J51*3+K51*3+L51*3+M51)</x:f>
        <x:v>87</x:v>
      </x:c>
      <x:c r="O51" s="19" t="str">
        <x:f>IF(N51="","Legacy",IF(AND(N51&gt;=84,H51&gt;=4,L51&gt;=4),"A",IF(AND(N51&gt;=70,H51&gt;=3),"B","C")))</x:f>
        <x:v>A</x:v>
      </x:c>
      <x:c r="P51" s="16" t="str">
        <x:v>Надіслано 28.07 — follow-up</x:v>
      </x:c>
      <x:c r="Q51" s="18" t="str">
        <x:v>Follow-up: показати перегляд без акаунта; попросити 1 анонімізований акт/АВР</x:v>
      </x:c>
      <x:c r="R51" s="18" t="str">
        <x:v>Власник / директор; керівник ПТО</x:v>
      </x:c>
      <x:c r="S51" s="18" t="str">
        <x:v>Проєктування, монтаж і сервіс систем пожежної безпеки та слабкострумових систем різної складності; працює з 2006 року.</x:v>
      </x:c>
      <x:c r="T51" s="18" t="str">
        <x:v>Пожежні шлейфи, датчики й кабельні траси мають регламентоване приймання, акти та протоколи випробувань.</x:v>
      </x:c>
      <x:c r="U51" s="18" t="str">
        <x:v>https://www.oberig-k.com.ua/</x:v>
      </x:c>
      <x:c r="V51" s="16" t="str">
        <x:v>34727274</x:v>
      </x:c>
      <x:c r="W51" s="16" t="str">
        <x:v>official+registry</x:v>
      </x:c>
      <x:c r="X51" s="16" t="str">
        <x:v>2026-07-28</x:v>
      </x:c>
      <x:c r="Y51" s="16" t="str">
        <x:v>Олександр</x:v>
      </x:c>
      <x:c r="Z51" s="20" t="str"/>
      <x:c r="AA51" s="16" t="str">
        <x:v>Реєстр: https://opendatabot.ua/c/34727274</x:v>
      </x:c>
    </x:row>
    <x:row r="52">
      <x:c r="A52" s="16" t="str">
        <x:v>V3-038</x:v>
      </x:c>
      <x:c r="B52" s="16" t="str">
        <x:v>Досліджено 28.07</x:v>
      </x:c>
      <x:c r="C52" s="16" t="str">
        <x:v>Install Group</x:v>
      </x:c>
      <x:c r="D52" s="16" t="str">
        <x:v>Слаботочні системи</x:v>
      </x:c>
      <x:c r="E52" s="16" t="str">
        <x:v>Спеціалізований підрядник</x:v>
      </x:c>
      <x:c r="F52" s="16" t="str">
        <x:v>ig.in.ua</x:v>
      </x:c>
      <x:c r="G52" s="16" t="str">
        <x:v>Перевірити — Н.15</x:v>
      </x:c>
      <x:c r="H52" s="17" t="n">
        <x:v>4</x:v>
      </x:c>
      <x:c r="I52" s="17" t="n">
        <x:v>4</x:v>
      </x:c>
      <x:c r="J52" s="17" t="n">
        <x:v>4</x:v>
      </x:c>
      <x:c r="K52" s="17" t="n">
        <x:v>5</x:v>
      </x:c>
      <x:c r="L52" s="17" t="n">
        <x:v>5</x:v>
      </x:c>
      <x:c r="M52" s="17" t="n">
        <x:v>5</x:v>
      </x:c>
      <x:c r="N52" s="17" t="n">
        <x:f>IF(COUNT(H52:M52)&lt;6,"",H52*6+I52*4+J52*3+K52*3+L52*3+M52)</x:f>
        <x:v>87</x:v>
      </x:c>
      <x:c r="O52" s="19" t="str">
        <x:f>IF(N52="","Legacy",IF(AND(N52&gt;=84,H52&gt;=4,L52&gt;=4),"A",IF(AND(N52&gt;=70,H52&gt;=3),"B","C")))</x:f>
        <x:v>A</x:v>
      </x:c>
      <x:c r="P52" s="16" t="str">
        <x:v>Надіслано 28.07 — follow-up</x:v>
      </x:c>
      <x:c r="Q52" s="18" t="str">
        <x:v>Follow-up: показати перегляд без акаунта; попросити 1 анонімізований акт/АВР</x:v>
      </x:c>
      <x:c r="R52" s="18" t="str">
        <x:v>Власник / директор; керівник ПТО</x:v>
      </x:c>
      <x:c r="S52" s="18" t="str">
        <x:v>Проєктування, монтаж і ремонт слабкострумових мереж для інфраструктурних об’єктів по Україні.</x:v>
      </x:c>
      <x:c r="T52" s="18" t="str">
        <x:v>Приховані кабелі та точки підключення потребують фото, чек-листів і тестів до закриття оздобленням.</x:v>
      </x:c>
      <x:c r="U52" s="18" t="str">
        <x:v>https://ig.in.ua/slabotochnye-seti-uk/</x:v>
      </x:c>
      <x:c r="V52" s="16" t="str"/>
      <x:c r="W52" s="16" t="str">
        <x:v>official_site_only</x:v>
      </x:c>
      <x:c r="X52" s="16" t="str">
        <x:v>2026-07-28</x:v>
      </x:c>
      <x:c r="Y52" s="16" t="str">
        <x:v>Олександр</x:v>
      </x:c>
      <x:c r="Z52" s="20" t="str"/>
      <x:c r="AA52" s="16" t="str"/>
    </x:row>
    <x:row r="53">
      <x:c r="A53" s="16" t="str">
        <x:v>V3-041</x:v>
      </x:c>
      <x:c r="B53" s="16" t="str">
        <x:v>Досліджено 28.07</x:v>
      </x:c>
      <x:c r="C53" s="16" t="str">
        <x:v>Optimum Net</x:v>
      </x:c>
      <x:c r="D53" s="16" t="str">
        <x:v>Слаботочні системи</x:v>
      </x:c>
      <x:c r="E53" s="16" t="str">
        <x:v>Спеціалізований підрядник</x:v>
      </x:c>
      <x:c r="F53" s="16" t="str">
        <x:v>optimumnet.com.ua</x:v>
      </x:c>
      <x:c r="G53" s="16" t="str">
        <x:v>Перевірити — Н.15</x:v>
      </x:c>
      <x:c r="H53" s="17" t="n">
        <x:v>4</x:v>
      </x:c>
      <x:c r="I53" s="17" t="n">
        <x:v>4</x:v>
      </x:c>
      <x:c r="J53" s="17" t="n">
        <x:v>5</x:v>
      </x:c>
      <x:c r="K53" s="17" t="n">
        <x:v>4</x:v>
      </x:c>
      <x:c r="L53" s="17" t="n">
        <x:v>5</x:v>
      </x:c>
      <x:c r="M53" s="17" t="n">
        <x:v>5</x:v>
      </x:c>
      <x:c r="N53" s="17" t="n">
        <x:f>IF(COUNT(H53:M53)&lt;6,"",H53*6+I53*4+J53*3+K53*3+L53*3+M53)</x:f>
        <x:v>87</x:v>
      </x:c>
      <x:c r="O53" s="19" t="str">
        <x:f>IF(N53="","Legacy",IF(AND(N53&gt;=84,H53&gt;=4,L53&gt;=4),"A",IF(AND(N53&gt;=70,H53&gt;=3),"B","C")))</x:f>
        <x:v>A</x:v>
      </x:c>
      <x:c r="P53" s="16" t="str">
        <x:v>Надіслано 28.07 — follow-up</x:v>
      </x:c>
      <x:c r="Q53" s="18" t="str">
        <x:v>Follow-up: показати перегляд без акаунта; попросити 1 анонімізований акт/АВР</x:v>
      </x:c>
      <x:c r="R53" s="18" t="str">
        <x:v>Власник / директор; керівник ПТО</x:v>
      </x:c>
      <x:c r="S53" s="18" t="str">
        <x:v>Проєктування, сертифікація й монтаж СКС/LAN об’єктів різного масштабу; заявлена робота по Україні.</x:v>
      </x:c>
      <x:c r="T53" s="18" t="str">
        <x:v>Сотні кабельних портів, маркування й сертифікація ліній формують великий доказовий пакет перед здачею.</x:v>
      </x:c>
      <x:c r="U53" s="18" t="str">
        <x:v>https://optimumnet.com.ua/</x:v>
      </x:c>
      <x:c r="V53" s="16" t="str"/>
      <x:c r="W53" s="16" t="str">
        <x:v>official_site_only</x:v>
      </x:c>
      <x:c r="X53" s="16" t="str">
        <x:v>2026-07-28</x:v>
      </x:c>
      <x:c r="Y53" s="16" t="str">
        <x:v>Олександр</x:v>
      </x:c>
      <x:c r="Z53" s="20" t="str"/>
      <x:c r="AA53" s="16" t="str"/>
    </x:row>
    <x:row r="54">
      <x:c r="A54" s="16" t="str">
        <x:v>V3-050</x:v>
      </x:c>
      <x:c r="B54" s="16" t="str">
        <x:v>Досліджено 28.07</x:v>
      </x:c>
      <x:c r="C54" s="16" t="str">
        <x:v>TERMAL</x:v>
      </x:c>
      <x:c r="D54" s="16" t="str">
        <x:v>HVAC / вентиляція</x:v>
      </x:c>
      <x:c r="E54" s="16" t="str">
        <x:v>Спеціалізований підрядник</x:v>
      </x:c>
      <x:c r="F54" s="16" t="str">
        <x:v>ua.termal.com.ua</x:v>
      </x:c>
      <x:c r="G54" s="16" t="str">
        <x:v>Зараз — Н.14</x:v>
      </x:c>
      <x:c r="H54" s="17" t="n">
        <x:v>4</x:v>
      </x:c>
      <x:c r="I54" s="17" t="n">
        <x:v>4</x:v>
      </x:c>
      <x:c r="J54" s="17" t="n">
        <x:v>4</x:v>
      </x:c>
      <x:c r="K54" s="17" t="n">
        <x:v>5</x:v>
      </x:c>
      <x:c r="L54" s="17" t="n">
        <x:v>5</x:v>
      </x:c>
      <x:c r="M54" s="17" t="n">
        <x:v>5</x:v>
      </x:c>
      <x:c r="N54" s="17" t="n">
        <x:f>IF(COUNT(H54:M54)&lt;6,"",H54*6+I54*4+J54*3+K54*3+L54*3+M54)</x:f>
        <x:v>87</x:v>
      </x:c>
      <x:c r="O54" s="19" t="str">
        <x:f>IF(N54="","Legacy",IF(AND(N54&gt;=84,H54&gt;=4,L54&gt;=4),"A",IF(AND(N54&gt;=70,H54&gt;=3),"B","C")))</x:f>
        <x:v>A</x:v>
      </x:c>
      <x:c r="P54" s="16" t="str">
        <x:v>Надіслано 28.07 — follow-up</x:v>
      </x:c>
      <x:c r="Q54" s="18" t="str">
        <x:v>Follow-up: показати перегляд без акаунта; попросити 1 анонімізований акт/АВР</x:v>
      </x:c>
      <x:c r="R54" s="18" t="str">
        <x:v>Власник / директор; керівник ПТО</x:v>
      </x:c>
      <x:c r="S54" s="18" t="str">
        <x:v>Проєктування, постачання, монтаж і налагодження промислових систем вентиляції, опалення та кондиціонування.</x:v>
      </x:c>
      <x:c r="T54" s="18" t="str">
        <x:v>Приховані повітроводи, трубопроводи й автоматика потребують готовності доказів до закриття стель і шахт.</x:v>
      </x:c>
      <x:c r="U54" s="18" t="str">
        <x:v>https://ua.termal.com.ua/uslugi/montazh-inzhenernykh-sistem/</x:v>
      </x:c>
      <x:c r="V54" s="16" t="str"/>
      <x:c r="W54" s="16" t="str">
        <x:v>official_site_only</x:v>
      </x:c>
      <x:c r="X54" s="16" t="str">
        <x:v>2026-07-28</x:v>
      </x:c>
      <x:c r="Y54" s="16" t="str">
        <x:v>Олександр</x:v>
      </x:c>
      <x:c r="Z54" s="20" t="str"/>
      <x:c r="AA54" s="16" t="str"/>
    </x:row>
    <x:row r="55">
      <x:c r="A55" s="16" t="str">
        <x:v>AUG-003</x:v>
      </x:c>
      <x:c r="B55" s="16" t="str">
        <x:v>Нова хвиля 24.08</x:v>
      </x:c>
      <x:c r="C55" s="16" t="str">
        <x:v>Армат</x:v>
      </x:c>
      <x:c r="D55" s="16" t="str">
        <x:v>Внутрішній HVAC</x:v>
      </x:c>
      <x:c r="E55" s="16" t="str">
        <x:v>Спеціалізований підрядник</x:v>
      </x:c>
      <x:c r="F55" s="16" t="str">
        <x:v>armat.kiev.ua</x:v>
      </x:c>
      <x:c r="G55" s="16" t="str">
        <x:v>Зараз — Н.14</x:v>
      </x:c>
      <x:c r="H55" s="17" t="n">
        <x:v>4</x:v>
      </x:c>
      <x:c r="I55" s="17" t="n">
        <x:v>4</x:v>
      </x:c>
      <x:c r="J55" s="17" t="n">
        <x:v>4</x:v>
      </x:c>
      <x:c r="K55" s="17" t="n">
        <x:v>4</x:v>
      </x:c>
      <x:c r="L55" s="17" t="n">
        <x:v>5</x:v>
      </x:c>
      <x:c r="M55" s="17" t="n">
        <x:v>5</x:v>
      </x:c>
      <x:c r="N55" s="17" t="n">
        <x:f>IF(COUNT(H55:M55)&lt;6,"",H55*6+I55*4+J55*3+K55*3+L55*3+M55)</x:f>
        <x:v>84</x:v>
      </x:c>
      <x:c r="O55" s="19" t="str">
        <x:f>IF(N55="","Legacy",IF(AND(N55&gt;=84,H55&gt;=4,L55&gt;=4),"A",IF(AND(N55&gt;=70,H55&gt;=3),"B","C")))</x:f>
        <x:v>A</x:v>
      </x:c>
      <x:c r="P55" s="16" t="str">
        <x:v>Новий — не контактували</x:v>
      </x:c>
      <x:c r="Q55" s="18" t="str">
        <x:v>Персоналізувати 1-й контакт за доказом; запропонувати перегляд без акаунта</x:v>
      </x:c>
      <x:c r="R55" s="18" t="str">
        <x:v>Директор; руководитель монтажного отдела</x:v>
      </x:c>
      <x:c r="S55" s="18" t="str">
        <x:v>Инженерный подрядчик полного цикла, собственное производство и 150+ коммерческих проектов.</x:v>
      </x:c>
      <x:c r="T55" s="18" t="str">
        <x:v>Поэтапный монтаж вентиляции, отопления и кондиционирования создаёт скрытые контрольные точки и исполнительные документы.</x:v>
      </x:c>
      <x:c r="U55" s="18" t="str">
        <x:v>https://www.armat.kiev.ua/</x:v>
      </x:c>
      <x:c r="V55" s="16" t="str"/>
      <x:c r="W55" s="16" t="str">
        <x:v>official_site_verified</x:v>
      </x:c>
      <x:c r="X55" s="16" t="str">
        <x:v>2026-08-24</x:v>
      </x:c>
      <x:c r="Y55" s="16" t="str">
        <x:v>Олександр</x:v>
      </x:c>
      <x:c r="Z55" s="20" t="str"/>
      <x:c r="AA55" s="16" t="str"/>
    </x:row>
    <x:row r="56">
      <x:c r="A56" s="16" t="str">
        <x:v>AUG-002</x:v>
      </x:c>
      <x:c r="B56" s="16" t="str">
        <x:v>Нова хвиля 24.08</x:v>
      </x:c>
      <x:c r="C56" s="16" t="str">
        <x:v>Группа компаний VENT</x:v>
      </x:c>
      <x:c r="D56" s="16" t="str">
        <x:v>Внутрішній HVAC</x:v>
      </x:c>
      <x:c r="E56" s="16" t="str">
        <x:v>Спеціалізований підрядник</x:v>
      </x:c>
      <x:c r="F56" s="16" t="str">
        <x:v>vent.te.ua</x:v>
      </x:c>
      <x:c r="G56" s="16" t="str">
        <x:v>Зараз — Н.14</x:v>
      </x:c>
      <x:c r="H56" s="17" t="n">
        <x:v>4</x:v>
      </x:c>
      <x:c r="I56" s="17" t="n">
        <x:v>4</x:v>
      </x:c>
      <x:c r="J56" s="17" t="n">
        <x:v>4</x:v>
      </x:c>
      <x:c r="K56" s="17" t="n">
        <x:v>4</x:v>
      </x:c>
      <x:c r="L56" s="17" t="n">
        <x:v>5</x:v>
      </x:c>
      <x:c r="M56" s="17" t="n">
        <x:v>5</x:v>
      </x:c>
      <x:c r="N56" s="17" t="n">
        <x:f>IF(COUNT(H56:M56)&lt;6,"",H56*6+I56*4+J56*3+K56*3+L56*3+M56)</x:f>
        <x:v>84</x:v>
      </x:c>
      <x:c r="O56" s="19" t="str">
        <x:f>IF(N56="","Legacy",IF(AND(N56&gt;=84,H56&gt;=4,L56&gt;=4),"A",IF(AND(N56&gt;=70,H56&gt;=3),"B","C")))</x:f>
        <x:v>A</x:v>
      </x:c>
      <x:c r="P56" s="16" t="str">
        <x:v>Новий — не контактували</x:v>
      </x:c>
      <x:c r="Q56" s="18" t="str">
        <x:v>Персоналізувати 1-й контакт за доказом; запропонувати перегляд без акаунта</x:v>
      </x:c>
      <x:c r="R56" s="18" t="str">
        <x:v>Владелец; руководитель проектов / ПТО</x:v>
      </x:c>
      <x:c r="S56" s="18" t="str">
        <x:v>Проектирование, производство воздуховодов, монтаж и пусконаладка для промышленных и коммерческих объектов по Украине.</x:v>
      </x:c>
      <x:c r="T56" s="18" t="str">
        <x:v>Скрытые воздуховоды, проходки и автоматика требуют поэтапной фиксации до закрытия потолков.</x:v>
      </x:c>
      <x:c r="U56" s="18" t="str">
        <x:v>https://www.vent.te.ua/</x:v>
      </x:c>
      <x:c r="V56" s="16" t="str"/>
      <x:c r="W56" s="16" t="str">
        <x:v>official_site_verified</x:v>
      </x:c>
      <x:c r="X56" s="16" t="str">
        <x:v>2026-08-24</x:v>
      </x:c>
      <x:c r="Y56" s="16" t="str">
        <x:v>Олександр</x:v>
      </x:c>
      <x:c r="Z56" s="20" t="str"/>
      <x:c r="AA56" s="16" t="str"/>
    </x:row>
    <x:row r="57">
      <x:c r="A57" s="16" t="str">
        <x:v>AUG-011</x:v>
      </x:c>
      <x:c r="B57" s="16" t="str">
        <x:v>Нова хвиля 24.08</x:v>
      </x:c>
      <x:c r="C57" s="16" t="str">
        <x:v>Де Люкс</x:v>
      </x:c>
      <x:c r="D57" s="16" t="str">
        <x:v>Електромонтаж</x:v>
      </x:c>
      <x:c r="E57" s="16" t="str">
        <x:v>Спеціалізований підрядник</x:v>
      </x:c>
      <x:c r="F57" s="16" t="str">
        <x:v>businesslux.com.ua</x:v>
      </x:c>
      <x:c r="G57" s="16" t="str">
        <x:v>Зараз — Н.15</x:v>
      </x:c>
      <x:c r="H57" s="17" t="n">
        <x:v>5</x:v>
      </x:c>
      <x:c r="I57" s="17" t="n">
        <x:v>4</x:v>
      </x:c>
      <x:c r="J57" s="17" t="n">
        <x:v>3</x:v>
      </x:c>
      <x:c r="K57" s="17" t="n">
        <x:v>3</x:v>
      </x:c>
      <x:c r="L57" s="17" t="n">
        <x:v>5</x:v>
      </x:c>
      <x:c r="M57" s="17" t="n">
        <x:v>5</x:v>
      </x:c>
      <x:c r="N57" s="17" t="n">
        <x:f>IF(COUNT(H57:M57)&lt;6,"",H57*6+I57*4+J57*3+K57*3+L57*3+M57)</x:f>
        <x:v>84</x:v>
      </x:c>
      <x:c r="O57" s="19" t="str">
        <x:f>IF(N57="","Legacy",IF(AND(N57&gt;=84,H57&gt;=4,L57&gt;=4),"A",IF(AND(N57&gt;=70,H57&gt;=3),"B","C")))</x:f>
        <x:v>A</x:v>
      </x:c>
      <x:c r="P57" s="16" t="str">
        <x:v>Новий — не контактували</x:v>
      </x:c>
      <x:c r="Q57" s="18" t="str">
        <x:v>Персоналізувати 1-й контакт за доказом; запропонувати перегляд без акаунта</x:v>
      </x:c>
      <x:c r="R57" s="18" t="str">
        <x:v>Директор; главный инженер</x:v>
      </x:c>
      <x:c r="S57" s="18" t="str">
        <x:v>Электромонтаж на промышленных объектах с расчётом и реализацией электротехнических проектов.</x:v>
      </x:c>
      <x:c r="T57" s="18" t="str">
        <x:v>Скрытые кабели и электрические установки можно ограничить одним объектом и одной бригадой.</x:v>
      </x:c>
      <x:c r="U57" s="18" t="str">
        <x:v>https://businesslux.com.ua/elektromontazhni-roboty-na-promyslovyh-obyektah/</x:v>
      </x:c>
      <x:c r="V57" s="16" t="str"/>
      <x:c r="W57" s="16" t="str">
        <x:v>official_site_verified</x:v>
      </x:c>
      <x:c r="X57" s="16" t="str">
        <x:v>2026-08-24</x:v>
      </x:c>
      <x:c r="Y57" s="16" t="str">
        <x:v>Олександр</x:v>
      </x:c>
      <x:c r="Z57" s="20" t="str"/>
      <x:c r="AA57" s="16" t="str"/>
    </x:row>
    <x:row r="58">
      <x:c r="A58" s="16" t="str">
        <x:v>AUG-017</x:v>
      </x:c>
      <x:c r="B58" s="16" t="str">
        <x:v>Нова хвиля 24.08</x:v>
      </x:c>
      <x:c r="C58" s="16" t="str">
        <x:v>ПП ЛЄДА</x:v>
      </x:c>
      <x:c r="D58" s="16" t="str">
        <x:v>Пожежні системи + HVAC</x:v>
      </x:c>
      <x:c r="E58" s="16" t="str">
        <x:v>Спеціалізований підрядник</x:v>
      </x:c>
      <x:c r="F58" s="16" t="str">
        <x:v>leda.in.ua</x:v>
      </x:c>
      <x:c r="G58" s="16" t="str">
        <x:v>Перевірити — Н.15</x:v>
      </x:c>
      <x:c r="H58" s="17" t="n">
        <x:v>4</x:v>
      </x:c>
      <x:c r="I58" s="17" t="n">
        <x:v>4</x:v>
      </x:c>
      <x:c r="J58" s="17" t="n">
        <x:v>3</x:v>
      </x:c>
      <x:c r="K58" s="17" t="n">
        <x:v>5</x:v>
      </x:c>
      <x:c r="L58" s="17" t="n">
        <x:v>5</x:v>
      </x:c>
      <x:c r="M58" s="17" t="n">
        <x:v>5</x:v>
      </x:c>
      <x:c r="N58" s="17" t="n">
        <x:f>IF(COUNT(H58:M58)&lt;6,"",H58*6+I58*4+J58*3+K58*3+L58*3+M58)</x:f>
        <x:v>84</x:v>
      </x:c>
      <x:c r="O58" s="19" t="str">
        <x:f>IF(N58="","Legacy",IF(AND(N58&gt;=84,H58&gt;=4,L58&gt;=4),"A",IF(AND(N58&gt;=70,H58&gt;=3),"B","C")))</x:f>
        <x:v>A</x:v>
      </x:c>
      <x:c r="P58" s="16" t="str">
        <x:v>Новий — не контактували</x:v>
      </x:c>
      <x:c r="Q58" s="18" t="str">
        <x:v>Персоналізувати 1-й контакт за доказом; запропонувати перегляд без акаунта</x:v>
      </x:c>
      <x:c r="R58" s="18" t="str">
        <x:v>Директор; главный инженер</x:v>
      </x:c>
      <x:c r="S58" s="18" t="str">
        <x:v>Сертифицированные инженеры и монтажники, полный цикл пожарных систем и вентиляции до ввода в эксплуатацию.</x:v>
      </x:c>
      <x:c r="T58" s="18" t="str">
        <x:v>Связка вентиляции, автоматики и кабелей даёт несколько контрольных точек, но нужен пилотный subset.</x:v>
      </x:c>
      <x:c r="U58" s="18" t="str">
        <x:v>https://leda.in.ua/</x:v>
      </x:c>
      <x:c r="V58" s="16" t="str"/>
      <x:c r="W58" s="16" t="str">
        <x:v>official_site_verified</x:v>
      </x:c>
      <x:c r="X58" s="16" t="str">
        <x:v>2026-08-24</x:v>
      </x:c>
      <x:c r="Y58" s="16" t="str">
        <x:v>Олександр</x:v>
      </x:c>
      <x:c r="Z58" s="20" t="str"/>
      <x:c r="AA58" s="16" t="str"/>
    </x:row>
    <x:row r="59">
      <x:c r="A59" s="16" t="str">
        <x:v>V3-039</x:v>
      </x:c>
      <x:c r="B59" s="16" t="str">
        <x:v>Досліджено 28.07</x:v>
      </x:c>
      <x:c r="C59" s="16" t="str">
        <x:v>ТОВ «СВІТ КАБЕЛЬНИХ СИСТЕМ»</x:v>
      </x:c>
      <x:c r="D59" s="16" t="str">
        <x:v>Слаботочні системи</x:v>
      </x:c>
      <x:c r="E59" s="16" t="str">
        <x:v>Спеціалізований підрядник</x:v>
      </x:c>
      <x:c r="F59" s="16" t="str">
        <x:v>ikscs.in.ua</x:v>
      </x:c>
      <x:c r="G59" s="16" t="str">
        <x:v>Перевірити — Н.15</x:v>
      </x:c>
      <x:c r="H59" s="17" t="n">
        <x:v>4</x:v>
      </x:c>
      <x:c r="I59" s="17" t="n">
        <x:v>4</x:v>
      </x:c>
      <x:c r="J59" s="17" t="n">
        <x:v>4</x:v>
      </x:c>
      <x:c r="K59" s="17" t="n">
        <x:v>4</x:v>
      </x:c>
      <x:c r="L59" s="17" t="n">
        <x:v>5</x:v>
      </x:c>
      <x:c r="M59" s="17" t="n">
        <x:v>5</x:v>
      </x:c>
      <x:c r="N59" s="17" t="n">
        <x:f>IF(COUNT(H59:M59)&lt;6,"",H59*6+I59*4+J59*3+K59*3+L59*3+M59)</x:f>
        <x:v>84</x:v>
      </x:c>
      <x:c r="O59" s="19" t="str">
        <x:f>IF(N59="","Legacy",IF(AND(N59&gt;=84,H59&gt;=4,L59&gt;=4),"A",IF(AND(N59&gt;=70,H59&gt;=3),"B","C")))</x:f>
        <x:v>A</x:v>
      </x:c>
      <x:c r="P59" s="16" t="str">
        <x:v>Надіслано 28.07 — follow-up</x:v>
      </x:c>
      <x:c r="Q59" s="18" t="str">
        <x:v>Follow-up: показати перегляд без акаунта; попросити 1 анонімізований акт/АВР</x:v>
      </x:c>
      <x:c r="R59" s="18" t="str">
        <x:v>Власник / директор; керівник ПТО</x:v>
      </x:c>
      <x:c r="S59" s="18" t="str">
        <x:v>СКС, відеонагляд, контроль доступу, IP-телефонія, сигналізація та електромонтажні роботи.</x:v>
      </x:c>
      <x:c r="T59" s="18" t="str">
        <x:v>Велика кількість кабельних ліній і кінцевих точок створює ризик неповної фіксації перед закриттям.</x:v>
      </x:c>
      <x:c r="U59" s="18" t="str">
        <x:v>https://ikscs.in.ua/</x:v>
      </x:c>
      <x:c r="V59" s="16" t="str">
        <x:v>40217647</x:v>
      </x:c>
      <x:c r="W59" s="16" t="str">
        <x:v>official+registry</x:v>
      </x:c>
      <x:c r="X59" s="16" t="str">
        <x:v>2026-07-28</x:v>
      </x:c>
      <x:c r="Y59" s="16" t="str">
        <x:v>Олександр</x:v>
      </x:c>
      <x:c r="Z59" s="20" t="str"/>
      <x:c r="AA59" s="16" t="str">
        <x:v>Реєстр: https://opendatabot.ua/c/40217647</x:v>
      </x:c>
    </x:row>
    <x:row r="60">
      <x:c r="A60" s="16" t="str">
        <x:v>AUG-049</x:v>
      </x:c>
      <x:c r="B60" s="16" t="str">
        <x:v>Нова хвиля 24.08</x:v>
      </x:c>
      <x:c r="C60" s="16" t="str">
        <x:v>KEM TRADE</x:v>
      </x:c>
      <x:c r="D60" s="16" t="str">
        <x:v>Внутрішня сантехніка + HVAC</x:v>
      </x:c>
      <x:c r="E60" s="16" t="str">
        <x:v>Спеціалізований підрядник</x:v>
      </x:c>
      <x:c r="F60" s="16" t="str">
        <x:v>kem-trade.com.ua</x:v>
      </x:c>
      <x:c r="G60" s="16" t="str">
        <x:v>Зараз — Н.14</x:v>
      </x:c>
      <x:c r="H60" s="17" t="n">
        <x:v>5</x:v>
      </x:c>
      <x:c r="I60" s="17" t="n">
        <x:v>4</x:v>
      </x:c>
      <x:c r="J60" s="17" t="n">
        <x:v>3</x:v>
      </x:c>
      <x:c r="K60" s="17" t="n">
        <x:v>3</x:v>
      </x:c>
      <x:c r="L60" s="17" t="n">
        <x:v>5</x:v>
      </x:c>
      <x:c r="M60" s="17" t="n">
        <x:v>5</x:v>
      </x:c>
      <x:c r="N60" s="17" t="n">
        <x:f>IF(COUNT(H60:M60)&lt;6,"",H60*6+I60*4+J60*3+K60*3+L60*3+M60)</x:f>
        <x:v>84</x:v>
      </x:c>
      <x:c r="O60" s="19" t="str">
        <x:f>IF(N60="","Legacy",IF(AND(N60&gt;=84,H60&gt;=4,L60&gt;=4),"A",IF(AND(N60&gt;=70,H60&gt;=3),"B","C")))</x:f>
        <x:v>A</x:v>
      </x:c>
      <x:c r="P60" s="16" t="str">
        <x:v>Новий — не контактували</x:v>
      </x:c>
      <x:c r="Q60" s="18" t="str">
        <x:v>Персоналізувати 1-й контакт за доказом; запропонувати перегляд без акаунта</x:v>
      </x:c>
      <x:c r="R60" s="18" t="str">
        <x:v>Владелец; руководитель проектов</x:v>
      </x:c>
      <x:c r="S60" s="18" t="str">
        <x:v>Проектирование и монтаж отопления, водоснабжения и канализации для коммерческих и промышленных объектов.</x:v>
      </x:c>
      <x:c r="T60" s="18" t="str">
        <x:v>Поддержанные санитарно-технические скрытые работы на одном объекте.</x:v>
      </x:c>
      <x:c r="U60" s="18" t="str">
        <x:v>https://www.kem-trade.com.ua/</x:v>
      </x:c>
      <x:c r="V60" s="16" t="str"/>
      <x:c r="W60" s="16" t="str">
        <x:v>official_site_verified</x:v>
      </x:c>
      <x:c r="X60" s="16" t="str">
        <x:v>2026-08-24</x:v>
      </x:c>
      <x:c r="Y60" s="16" t="str">
        <x:v>Олександр</x:v>
      </x:c>
      <x:c r="Z60" s="20" t="str"/>
      <x:c r="AA60" s="16" t="str"/>
    </x:row>
    <x:row r="61">
      <x:c r="A61" s="16" t="str">
        <x:v>AUG-046</x:v>
      </x:c>
      <x:c r="B61" s="16" t="str">
        <x:v>Нова хвиля 24.08</x:v>
      </x:c>
      <x:c r="C61" s="16" t="str">
        <x:v>KROP INSTALL</x:v>
      </x:c>
      <x:c r="D61" s="16" t="str">
        <x:v>Внутрішня сантехніка + HVAC</x:v>
      </x:c>
      <x:c r="E61" s="16" t="str">
        <x:v>Спеціалізований підрядник</x:v>
      </x:c>
      <x:c r="F61" s="16" t="str">
        <x:v>krop-install.com.ua</x:v>
      </x:c>
      <x:c r="G61" s="16" t="str">
        <x:v>Зараз — Н.14</x:v>
      </x:c>
      <x:c r="H61" s="17" t="n">
        <x:v>5</x:v>
      </x:c>
      <x:c r="I61" s="17" t="n">
        <x:v>4</x:v>
      </x:c>
      <x:c r="J61" s="17" t="n">
        <x:v>3</x:v>
      </x:c>
      <x:c r="K61" s="17" t="n">
        <x:v>3</x:v>
      </x:c>
      <x:c r="L61" s="17" t="n">
        <x:v>5</x:v>
      </x:c>
      <x:c r="M61" s="17" t="n">
        <x:v>5</x:v>
      </x:c>
      <x:c r="N61" s="17" t="n">
        <x:f>IF(COUNT(H61:M61)&lt;6,"",H61*6+I61*4+J61*3+K61*3+L61*3+M61)</x:f>
        <x:v>84</x:v>
      </x:c>
      <x:c r="O61" s="19" t="str">
        <x:f>IF(N61="","Legacy",IF(AND(N61&gt;=84,H61&gt;=4,L61&gt;=4),"A",IF(AND(N61&gt;=70,H61&gt;=3),"B","C")))</x:f>
        <x:v>A</x:v>
      </x:c>
      <x:c r="P61" s="16" t="str">
        <x:v>Новий — не контактували</x:v>
      </x:c>
      <x:c r="Q61" s="18" t="str">
        <x:v>Персоналізувати 1-й контакт за доказом; запропонувати перегляд без акаунта</x:v>
      </x:c>
      <x:c r="R61" s="18" t="str">
        <x:v>Владелец; руководитель монтажных работ</x:v>
      </x:c>
      <x:c r="S61" s="18" t="str">
        <x:v>16 лет на частных, коммерческих и крупных промышленных объектах; отопление, водоснабжение и канализация.</x:v>
      </x:c>
      <x:c r="T61" s="18" t="str">
        <x:v>Поддержанные трубы, уклоны, арматура и приёмка внутренних систем.</x:v>
      </x:c>
      <x:c r="U61" s="18" t="str">
        <x:v>https://krop-install.com.ua/</x:v>
      </x:c>
      <x:c r="V61" s="16" t="str"/>
      <x:c r="W61" s="16" t="str">
        <x:v>official_site_verified</x:v>
      </x:c>
      <x:c r="X61" s="16" t="str">
        <x:v>2026-08-24</x:v>
      </x:c>
      <x:c r="Y61" s="16" t="str">
        <x:v>Олександр</x:v>
      </x:c>
      <x:c r="Z61" s="20" t="str"/>
      <x:c r="AA61" s="16" t="str"/>
    </x:row>
    <x:row r="62">
      <x:c r="A62" s="16" t="str">
        <x:v>AUG-019</x:v>
      </x:c>
      <x:c r="B62" s="16" t="str">
        <x:v>Нова хвиля 24.08</x:v>
      </x:c>
      <x:c r="C62" s="16" t="str">
        <x:v>SM-STANDARD</x:v>
      </x:c>
      <x:c r="D62" s="16" t="str">
        <x:v>Безпека + пожежні + слаботочка</x:v>
      </x:c>
      <x:c r="E62" s="16" t="str">
        <x:v>Спеціалізований підрядник</x:v>
      </x:c>
      <x:c r="F62" s="16" t="str">
        <x:v>smstandard.com.ua</x:v>
      </x:c>
      <x:c r="G62" s="16" t="str">
        <x:v>Перевірити — Н.15</x:v>
      </x:c>
      <x:c r="H62" s="17" t="n">
        <x:v>4</x:v>
      </x:c>
      <x:c r="I62" s="17" t="n">
        <x:v>4</x:v>
      </x:c>
      <x:c r="J62" s="17" t="n">
        <x:v>4</x:v>
      </x:c>
      <x:c r="K62" s="17" t="n">
        <x:v>4</x:v>
      </x:c>
      <x:c r="L62" s="17" t="n">
        <x:v>5</x:v>
      </x:c>
      <x:c r="M62" s="17" t="n">
        <x:v>5</x:v>
      </x:c>
      <x:c r="N62" s="17" t="n">
        <x:f>IF(COUNT(H62:M62)&lt;6,"",H62*6+I62*4+J62*3+K62*3+L62*3+M62)</x:f>
        <x:v>84</x:v>
      </x:c>
      <x:c r="O62" s="19" t="str">
        <x:f>IF(N62="","Legacy",IF(AND(N62&gt;=84,H62&gt;=4,L62&gt;=4),"A",IF(AND(N62&gt;=70,H62&gt;=3),"B","C")))</x:f>
        <x:v>A</x:v>
      </x:c>
      <x:c r="P62" s="16" t="str">
        <x:v>Новий — не контактували</x:v>
      </x:c>
      <x:c r="Q62" s="18" t="str">
        <x:v>Персоналізувати 1-й контакт за доказом; запропонувати перегляд без акаунта</x:v>
      </x:c>
      <x:c r="R62" s="18" t="str">
        <x:v>Директор; руководитель проектов</x:v>
      </x:c>
      <x:c r="S62" s="18" t="str">
        <x:v>Комплексные системы безопасности и портфолио проектов для крупных государственных и коммерческих объектов.</x:v>
      </x:c>
      <x:c r="T62" s="18" t="str">
        <x:v>Много кабельных линий и конечных точек создают риск неполной фиксации до отделки.</x:v>
      </x:c>
      <x:c r="U62" s="18" t="str">
        <x:v>https://www.smstandard.com.ua/</x:v>
      </x:c>
      <x:c r="V62" s="16" t="str"/>
      <x:c r="W62" s="16" t="str">
        <x:v>official_site_verified</x:v>
      </x:c>
      <x:c r="X62" s="16" t="str">
        <x:v>2026-08-24</x:v>
      </x:c>
      <x:c r="Y62" s="16" t="str">
        <x:v>Олександр</x:v>
      </x:c>
      <x:c r="Z62" s="20" t="str"/>
      <x:c r="AA62" s="16" t="str"/>
    </x:row>
    <x:row r="63">
      <x:c r="A63" s="16" t="str">
        <x:v>AUG-051</x:v>
      </x:c>
      <x:c r="B63" s="16" t="str">
        <x:v>Нова хвиля 24.08</x:v>
      </x:c>
      <x:c r="C63" s="16" t="str">
        <x:v>Office Construction</x:v>
      </x:c>
      <x:c r="D63" s="16" t="str">
        <x:v>Генпідряд / MEP fit-out</x:v>
      </x:c>
      <x:c r="E63" s="16" t="str">
        <x:v>Генеральний підрядник</x:v>
      </x:c>
      <x:c r="F63" s="16" t="str">
        <x:v>office-construction.ua</x:v>
      </x:c>
      <x:c r="G63" s="16" t="str">
        <x:v>Зараз — Н.14 + Н.15</x:v>
      </x:c>
      <x:c r="H63" s="17" t="n">
        <x:v>5</x:v>
      </x:c>
      <x:c r="I63" s="17" t="n">
        <x:v>4</x:v>
      </x:c>
      <x:c r="J63" s="17" t="n">
        <x:v>5</x:v>
      </x:c>
      <x:c r="K63" s="17" t="n">
        <x:v>5</x:v>
      </x:c>
      <x:c r="L63" s="17" t="n">
        <x:v>2</x:v>
      </x:c>
      <x:c r="M63" s="17" t="n">
        <x:v>5</x:v>
      </x:c>
      <x:c r="N63" s="17" t="n">
        <x:f>IF(COUNT(H63:M63)&lt;6,"",H63*6+I63*4+J63*3+K63*3+L63*3+M63)</x:f>
        <x:v>87</x:v>
      </x:c>
      <x:c r="O63" s="19" t="str">
        <x:f>IF(N63="","Legacy",IF(AND(N63&gt;=84,H63&gt;=4,L63&gt;=4),"A",IF(AND(N63&gt;=70,H63&gt;=3),"B","C")))</x:f>
        <x:v>B</x:v>
      </x:c>
      <x:c r="P63" s="16" t="str">
        <x:v>Новий — не контактували</x:v>
      </x:c>
      <x:c r="Q63" s="18" t="str">
        <x:v>Персоналізувати 1-й контакт за доказом; запропонувати перегляд без акаунта</x:v>
      </x:c>
      <x:c r="R63" s="18" t="str">
        <x:v>Директор по строительству; руководитель инженерных систем / ПТО</x:v>
      </x:c>
      <x:c r="S63" s="18" t="str">
        <x:v>Портфолио крупных офисных объектов с электрикой, слаботочкой, HVAC, пожарными системами, водоснабжением и рабочей документацией.</x:v>
      </x:c>
      <x:c r="T63" s="18" t="str">
        <x:v>Много поддержанных скрытых систем, но лучше заходить через отдельного субподрядчика или как партнёрский канал.</x:v>
      </x:c>
      <x:c r="U63" s="18" t="str">
        <x:v>https://office-construction.ua/wp-content/uploads/2025/06/presentation-office-construction-2025-pdf-1.pdf</x:v>
      </x:c>
      <x:c r="V63" s="16" t="str"/>
      <x:c r="W63" s="16" t="str">
        <x:v>official_portfolio_verified</x:v>
      </x:c>
      <x:c r="X63" s="16" t="str">
        <x:v>2026-08-24</x:v>
      </x:c>
      <x:c r="Y63" s="16" t="str">
        <x:v>Олександр</x:v>
      </x:c>
      <x:c r="Z63" s="20" t="str"/>
      <x:c r="AA63" s="16" t="str"/>
    </x:row>
    <x:row r="64">
      <x:c r="A64" s="16" t="str">
        <x:v>AUG-021</x:v>
      </x:c>
      <x:c r="B64" s="16" t="str">
        <x:v>Нова хвиля 24.08</x:v>
      </x:c>
      <x:c r="C64" s="16" t="str">
        <x:v>Ваша Безпека</x:v>
      </x:c>
      <x:c r="D64" s="16" t="str">
        <x:v>Пожежна безпека + охорона</x:v>
      </x:c>
      <x:c r="E64" s="16" t="str">
        <x:v>Спеціалізований підрядник</x:v>
      </x:c>
      <x:c r="F64" s="16" t="str">
        <x:v>vbezpeka.com.ua</x:v>
      </x:c>
      <x:c r="G64" s="16" t="str">
        <x:v>Перевірити — Н.15</x:v>
      </x:c>
      <x:c r="H64" s="17" t="n">
        <x:v>4</x:v>
      </x:c>
      <x:c r="I64" s="17" t="n">
        <x:v>4</x:v>
      </x:c>
      <x:c r="J64" s="17" t="n">
        <x:v>3</x:v>
      </x:c>
      <x:c r="K64" s="17" t="n">
        <x:v>4</x:v>
      </x:c>
      <x:c r="L64" s="17" t="n">
        <x:v>5</x:v>
      </x:c>
      <x:c r="M64" s="17" t="n">
        <x:v>5</x:v>
      </x:c>
      <x:c r="N64" s="17" t="n">
        <x:f>IF(COUNT(H64:M64)&lt;6,"",H64*6+I64*4+J64*3+K64*3+L64*3+M64)</x:f>
        <x:v>81</x:v>
      </x:c>
      <x:c r="O64" s="19" t="str">
        <x:f>IF(N64="","Legacy",IF(AND(N64&gt;=84,H64&gt;=4,L64&gt;=4),"A",IF(AND(N64&gt;=70,H64&gt;=3),"B","C")))</x:f>
        <x:v>B</x:v>
      </x:c>
      <x:c r="P64" s="16" t="str">
        <x:v>Новий — не контактували</x:v>
      </x:c>
      <x:c r="Q64" s="18" t="str">
        <x:v>Персоналізувати 1-й контакт за доказом; запропонувати перегляд без акаунта</x:v>
      </x:c>
      <x:c r="R64" s="18" t="str">
        <x:v>Директор; главный инженер</x:v>
      </x:c>
      <x:c r="S64" s="18" t="str">
        <x:v>Проектирование, монтаж и обслуживание пожарной/охранной сигнализации, пожарного водопровода и дымоудаления.</x:v>
      </x:c>
      <x:c r="T64" s="18" t="str">
        <x:v>Кабельные шлейфы и автоматика скрываются; для пожарного водопровода нужен документ заказчика.</x:v>
      </x:c>
      <x:c r="U64" s="18" t="str">
        <x:v>https://vbezpeka.com.ua/uk/golovna/</x:v>
      </x:c>
      <x:c r="V64" s="16" t="str"/>
      <x:c r="W64" s="16" t="str">
        <x:v>official_site_verified</x:v>
      </x:c>
      <x:c r="X64" s="16" t="str">
        <x:v>2026-08-24</x:v>
      </x:c>
      <x:c r="Y64" s="16" t="str">
        <x:v>Олександр</x:v>
      </x:c>
      <x:c r="Z64" s="20" t="str"/>
      <x:c r="AA64" s="16" t="str"/>
    </x:row>
    <x:row r="65">
      <x:c r="A65" s="16" t="str">
        <x:v>AUG-048</x:v>
      </x:c>
      <x:c r="B65" s="16" t="str">
        <x:v>Нова хвиля 24.08</x:v>
      </x:c>
      <x:c r="C65" s="16" t="str">
        <x:v>Київтрансбуд</x:v>
      </x:c>
      <x:c r="D65" s="16" t="str">
        <x:v>Промисловий MEP</x:v>
      </x:c>
      <x:c r="E65" s="16" t="str">
        <x:v>Генеральний підрядник</x:v>
      </x:c>
      <x:c r="F65" s="16" t="str">
        <x:v>ktb.com.ua</x:v>
      </x:c>
      <x:c r="G65" s="16" t="str">
        <x:v>Зараз — Н.14 + Н.15</x:v>
      </x:c>
      <x:c r="H65" s="17" t="n">
        <x:v>5</x:v>
      </x:c>
      <x:c r="I65" s="17" t="n">
        <x:v>4</x:v>
      </x:c>
      <x:c r="J65" s="17" t="n">
        <x:v>4</x:v>
      </x:c>
      <x:c r="K65" s="17" t="n">
        <x:v>4</x:v>
      </x:c>
      <x:c r="L65" s="17" t="n">
        <x:v>2</x:v>
      </x:c>
      <x:c r="M65" s="17" t="n">
        <x:v>5</x:v>
      </x:c>
      <x:c r="N65" s="17" t="n">
        <x:f>IF(COUNT(H65:M65)&lt;6,"",H65*6+I65*4+J65*3+K65*3+L65*3+M65)</x:f>
        <x:v>81</x:v>
      </x:c>
      <x:c r="O65" s="19" t="str">
        <x:f>IF(N65="","Legacy",IF(AND(N65&gt;=84,H65&gt;=4,L65&gt;=4),"A",IF(AND(N65&gt;=70,H65&gt;=3),"B","C")))</x:f>
        <x:v>B</x:v>
      </x:c>
      <x:c r="P65" s="16" t="str">
        <x:v>Новий — не контактували</x:v>
      </x:c>
      <x:c r="Q65" s="18" t="str">
        <x:v>Персоналізувати 1-й контакт за доказом; запропонувати перегляд без акаунта</x:v>
      </x:c>
      <x:c r="R65" s="18" t="str">
        <x:v>Директор по строительству; руководитель ПТО</x:v>
      </x:c>
      <x:c r="S65" s="18" t="str">
        <x:v>Сопровождение монтажа электрических, отопительных, вентиляционных, водопроводных и канализационных систем на промышленных объектах.</x:v>
      </x:c>
      <x:c r="T65" s="18" t="str">
        <x:v>Функционально подходит, но как генподрядчик имеет более сложный цикл покупки; использовать скорее как канал/мандат.</x:v>
      </x:c>
      <x:c r="U65" s="18" t="str">
        <x:v>https://ktb.com.ua/services/montazh-inzhenernykh-system/</x:v>
      </x:c>
      <x:c r="V65" s="16" t="str"/>
      <x:c r="W65" s="16" t="str">
        <x:v>official_site_verified</x:v>
      </x:c>
      <x:c r="X65" s="16" t="str">
        <x:v>2026-08-24</x:v>
      </x:c>
      <x:c r="Y65" s="16" t="str">
        <x:v>Олександр</x:v>
      </x:c>
      <x:c r="Z65" s="20" t="str"/>
      <x:c r="AA65" s="16" t="str"/>
    </x:row>
    <x:row r="66">
      <x:c r="A66" s="16" t="str">
        <x:v>AUG-018</x:v>
      </x:c>
      <x:c r="B66" s="16" t="str">
        <x:v>Нова хвиля 24.08</x:v>
      </x:c>
      <x:c r="C66" s="16" t="str">
        <x:v>Страж</x:v>
      </x:c>
      <x:c r="D66" s="16" t="str">
        <x:v>Пожежні системи</x:v>
      </x:c>
      <x:c r="E66" s="16" t="str">
        <x:v>Спеціалізований підрядник</x:v>
      </x:c>
      <x:c r="F66" s="16" t="str">
        <x:v>straj.net</x:v>
      </x:c>
      <x:c r="G66" s="16" t="str">
        <x:v>Перевірити — Н.15</x:v>
      </x:c>
      <x:c r="H66" s="17" t="n">
        <x:v>4</x:v>
      </x:c>
      <x:c r="I66" s="17" t="n">
        <x:v>4</x:v>
      </x:c>
      <x:c r="J66" s="17" t="n">
        <x:v>3</x:v>
      </x:c>
      <x:c r="K66" s="17" t="n">
        <x:v>4</x:v>
      </x:c>
      <x:c r="L66" s="17" t="n">
        <x:v>5</x:v>
      </x:c>
      <x:c r="M66" s="17" t="n">
        <x:v>5</x:v>
      </x:c>
      <x:c r="N66" s="17" t="n">
        <x:f>IF(COUNT(H66:M66)&lt;6,"",H66*6+I66*4+J66*3+K66*3+L66*3+M66)</x:f>
        <x:v>81</x:v>
      </x:c>
      <x:c r="O66" s="19" t="str">
        <x:f>IF(N66="","Legacy",IF(AND(N66&gt;=84,H66&gt;=4,L66&gt;=4),"A",IF(AND(N66&gt;=70,H66&gt;=3),"B","C")))</x:f>
        <x:v>B</x:v>
      </x:c>
      <x:c r="P66" s="16" t="str">
        <x:v>Новий — не контактували</x:v>
      </x:c>
      <x:c r="Q66" s="18" t="str">
        <x:v>Персоналізувати 1-й контакт за доказом; запропонувати перегляд без акаунта</x:v>
      </x:c>
      <x:c r="R66" s="18" t="str">
        <x:v>Директор; руководитель монтажной службы</x:v>
      </x:c>
      <x:c r="S66" s="18" t="str">
        <x:v>Начинает работы с технического проекта и выполняет монтаж пожарной сигнализации на коммерческих объектах.</x:v>
      </x:c>
      <x:c r="T66" s="18" t="str">
        <x:v>Скрытые кабели и исполнительное подтверждение можно отделить от специфических пожарных актов.</x:v>
      </x:c>
      <x:c r="U66" s="18" t="str">
        <x:v>https://straj.net/</x:v>
      </x:c>
      <x:c r="V66" s="16" t="str"/>
      <x:c r="W66" s="16" t="str">
        <x:v>official_site_verified</x:v>
      </x:c>
      <x:c r="X66" s="16" t="str">
        <x:v>2026-08-24</x:v>
      </x:c>
      <x:c r="Y66" s="16" t="str">
        <x:v>Олександр</x:v>
      </x:c>
      <x:c r="Z66" s="20" t="str"/>
      <x:c r="AA66" s="16" t="str"/>
    </x:row>
    <x:row r="67">
      <x:c r="A67" s="16" t="str">
        <x:v>AUG-009</x:v>
      </x:c>
      <x:c r="B67" s="16" t="str">
        <x:v>Нова хвиля 24.08</x:v>
      </x:c>
      <x:c r="C67" s="16" t="str">
        <x:v>Energotechpro VN</x:v>
      </x:c>
      <x:c r="D67" s="16" t="str">
        <x:v>Електрика + слаботочка</x:v>
      </x:c>
      <x:c r="E67" s="16" t="str">
        <x:v>Спеціалізований підрядник</x:v>
      </x:c>
      <x:c r="F67" s="16" t="str">
        <x:v>energotechprovn.com.ua</x:v>
      </x:c>
      <x:c r="G67" s="16" t="str">
        <x:v>Зараз — Н.15</x:v>
      </x:c>
      <x:c r="H67" s="17" t="n">
        <x:v>5</x:v>
      </x:c>
      <x:c r="I67" s="17" t="n">
        <x:v>4</x:v>
      </x:c>
      <x:c r="J67" s="17" t="n">
        <x:v>2</x:v>
      </x:c>
      <x:c r="K67" s="17" t="n">
        <x:v>3</x:v>
      </x:c>
      <x:c r="L67" s="17" t="n">
        <x:v>5</x:v>
      </x:c>
      <x:c r="M67" s="17" t="n">
        <x:v>5</x:v>
      </x:c>
      <x:c r="N67" s="17" t="n">
        <x:f>IF(COUNT(H67:M67)&lt;6,"",H67*6+I67*4+J67*3+K67*3+L67*3+M67)</x:f>
        <x:v>81</x:v>
      </x:c>
      <x:c r="O67" s="19" t="str">
        <x:f>IF(N67="","Legacy",IF(AND(N67&gt;=84,H67&gt;=4,L67&gt;=4),"A",IF(AND(N67&gt;=70,H67&gt;=3),"B","C")))</x:f>
        <x:v>B</x:v>
      </x:c>
      <x:c r="P67" s="16" t="str">
        <x:v>Новий — не контактували</x:v>
      </x:c>
      <x:c r="Q67" s="18" t="str">
        <x:v>Персоналізувати 1-й контакт за доказом; запропонувати перегляд без акаунта</x:v>
      </x:c>
      <x:c r="R67" s="18" t="str">
        <x:v>Директор; руководитель монтажных работ</x:v>
      </x:c>
      <x:c r="S67" s="18" t="str">
        <x:v>Электроинженерные решения: проектирование, монтаж, подключение и обслуживание систем питания и безопасности.</x:v>
      </x:c>
      <x:c r="T67" s="18" t="str">
        <x:v>Скрытая проводка и кабельные линии дают узкий пилот без изменения продуктовой библиотеки.</x:v>
      </x:c>
      <x:c r="U67" s="18" t="str">
        <x:v>https://energotechprovn.com.ua/</x:v>
      </x:c>
      <x:c r="V67" s="16" t="str"/>
      <x:c r="W67" s="16" t="str">
        <x:v>official_site_verified</x:v>
      </x:c>
      <x:c r="X67" s="16" t="str">
        <x:v>2026-08-24</x:v>
      </x:c>
      <x:c r="Y67" s="16" t="str">
        <x:v>Олександр</x:v>
      </x:c>
      <x:c r="Z67" s="20" t="str"/>
      <x:c r="AA67" s="16" t="str"/>
    </x:row>
    <x:row r="68">
      <x:c r="A68" s="16" t="str">
        <x:v>AUG-016</x:v>
      </x:c>
      <x:c r="B68" s="16" t="str">
        <x:v>Нова хвиля 24.08</x:v>
      </x:c>
      <x:c r="C68" s="16" t="str">
        <x:v>Fire Security</x:v>
      </x:c>
      <x:c r="D68" s="16" t="str">
        <x:v>Пожежні системи</x:v>
      </x:c>
      <x:c r="E68" s="16" t="str">
        <x:v>Спеціалізований підрядник</x:v>
      </x:c>
      <x:c r="F68" s="16" t="str">
        <x:v>firesecurity.com.ua</x:v>
      </x:c>
      <x:c r="G68" s="16" t="str">
        <x:v>Перевірити — Н.15</x:v>
      </x:c>
      <x:c r="H68" s="17" t="n">
        <x:v>4</x:v>
      </x:c>
      <x:c r="I68" s="17" t="n">
        <x:v>4</x:v>
      </x:c>
      <x:c r="J68" s="17" t="n">
        <x:v>3</x:v>
      </x:c>
      <x:c r="K68" s="17" t="n">
        <x:v>4</x:v>
      </x:c>
      <x:c r="L68" s="17" t="n">
        <x:v>5</x:v>
      </x:c>
      <x:c r="M68" s="17" t="n">
        <x:v>5</x:v>
      </x:c>
      <x:c r="N68" s="17" t="n">
        <x:f>IF(COUNT(H68:M68)&lt;6,"",H68*6+I68*4+J68*3+K68*3+L68*3+M68)</x:f>
        <x:v>81</x:v>
      </x:c>
      <x:c r="O68" s="19" t="str">
        <x:f>IF(N68="","Legacy",IF(AND(N68&gt;=84,H68&gt;=4,L68&gt;=4),"A",IF(AND(N68&gt;=70,H68&gt;=3),"B","C")))</x:f>
        <x:v>B</x:v>
      </x:c>
      <x:c r="P68" s="16" t="str">
        <x:v>Новий — не контактували</x:v>
      </x:c>
      <x:c r="Q68" s="18" t="str">
        <x:v>Персоналізувати 1-й контакт за доказом; запропонувати перегляд без акаунта</x:v>
      </x:c>
      <x:c r="R68" s="18" t="str">
        <x:v>Владелец; руководитель проектно-монтажного отдела</x:v>
      </x:c>
      <x:c r="S68" s="18" t="str">
        <x:v>Проектирование, монтаж и обслуживание охранно-пожарных систем с передачей готового проекта заказчику.</x:v>
      </x:c>
      <x:c r="T68" s="18" t="str">
        <x:v>Скрытые шлейфы и кабельные трассы подходят, но специфические пожарные требования нужно валидировать на их документации.</x:v>
      </x:c>
      <x:c r="U68" s="18" t="str">
        <x:v>https://firesecurity.com.ua/uk/montazh-pozharnoi-signalizatcii/</x:v>
      </x:c>
      <x:c r="V68" s="16" t="str"/>
      <x:c r="W68" s="16" t="str">
        <x:v>official_site_verified</x:v>
      </x:c>
      <x:c r="X68" s="16" t="str">
        <x:v>2026-08-24</x:v>
      </x:c>
      <x:c r="Y68" s="16" t="str">
        <x:v>Олександр</x:v>
      </x:c>
      <x:c r="Z68" s="20" t="str"/>
      <x:c r="AA68" s="16" t="str"/>
    </x:row>
    <x:row r="69">
      <x:c r="A69" s="16" t="str">
        <x:v>AUG-004</x:v>
      </x:c>
      <x:c r="B69" s="16" t="str">
        <x:v>Нова хвиля 24.08</x:v>
      </x:c>
      <x:c r="C69" s="16" t="str">
        <x:v>Аероплюс</x:v>
      </x:c>
      <x:c r="D69" s="16" t="str">
        <x:v>Внутрішній HVAC</x:v>
      </x:c>
      <x:c r="E69" s="16" t="str">
        <x:v>Спеціалізований підрядник</x:v>
      </x:c>
      <x:c r="F69" s="16" t="str">
        <x:v>aeroplus.com.ua</x:v>
      </x:c>
      <x:c r="G69" s="16" t="str">
        <x:v>Зараз — Н.14</x:v>
      </x:c>
      <x:c r="H69" s="17" t="n">
        <x:v>4</x:v>
      </x:c>
      <x:c r="I69" s="17" t="n">
        <x:v>4</x:v>
      </x:c>
      <x:c r="J69" s="17" t="n">
        <x:v>3</x:v>
      </x:c>
      <x:c r="K69" s="17" t="n">
        <x:v>3</x:v>
      </x:c>
      <x:c r="L69" s="17" t="n">
        <x:v>5</x:v>
      </x:c>
      <x:c r="M69" s="17" t="n">
        <x:v>5</x:v>
      </x:c>
      <x:c r="N69" s="17" t="n">
        <x:f>IF(COUNT(H69:M69)&lt;6,"",H69*6+I69*4+J69*3+K69*3+L69*3+M69)</x:f>
        <x:v>78</x:v>
      </x:c>
      <x:c r="O69" s="19" t="str">
        <x:f>IF(N69="","Legacy",IF(AND(N69&gt;=84,H69&gt;=4,L69&gt;=4),"A",IF(AND(N69&gt;=70,H69&gt;=3),"B","C")))</x:f>
        <x:v>B</x:v>
      </x:c>
      <x:c r="P69" s="16" t="str">
        <x:v>Новий — не контактували</x:v>
      </x:c>
      <x:c r="Q69" s="18" t="str">
        <x:v>Персоналізувати 1-й контакт за доказом; запропонувати перегляд без акаунта</x:v>
      </x:c>
      <x:c r="R69" s="18" t="str">
        <x:v>Директор; главный инженер</x:v>
      </x:c>
      <x:c r="S69" s="18" t="str">
        <x:v>Проектирование, монтаж и обслуживание вентиляции, кондиционирования и отопления для офисов и промышленных объектов.</x:v>
      </x:c>
      <x:c r="T69" s="18" t="str">
        <x:v>Трубопроводы, автоматика и скрытые участки ОВиК должны быть подтверждены до отделки.</x:v>
      </x:c>
      <x:c r="U69" s="18" t="str">
        <x:v>https://aeroplus.com.ua/</x:v>
      </x:c>
      <x:c r="V69" s="16" t="str"/>
      <x:c r="W69" s="16" t="str">
        <x:v>official_site_verified</x:v>
      </x:c>
      <x:c r="X69" s="16" t="str">
        <x:v>2026-08-24</x:v>
      </x:c>
      <x:c r="Y69" s="16" t="str">
        <x:v>Олександр</x:v>
      </x:c>
      <x:c r="Z69" s="20" t="str"/>
      <x:c r="AA69" s="16" t="str"/>
    </x:row>
    <x:row r="70">
      <x:c r="A70" s="16" t="str">
        <x:v>V3-042</x:v>
      </x:c>
      <x:c r="B70" s="16" t="str">
        <x:v>Досліджено 28.07</x:v>
      </x:c>
      <x:c r="C70" s="16" t="str">
        <x:v>ТОВ «СБК САРГОН»</x:v>
      </x:c>
      <x:c r="D70" s="16" t="str">
        <x:v>Зовнішні мережі</x:v>
      </x:c>
      <x:c r="E70" s="16" t="str">
        <x:v>Спеціалізований підрядник</x:v>
      </x:c>
      <x:c r="F70" s="16" t="str">
        <x:v>sargon.com.ua</x:v>
      </x:c>
      <x:c r="G70" s="16" t="str">
        <x:v>Пізніше — вимоги проєкту</x:v>
      </x:c>
      <x:c r="H70" s="17" t="n">
        <x:v>2</x:v>
      </x:c>
      <x:c r="I70" s="17" t="n">
        <x:v>5</x:v>
      </x:c>
      <x:c r="J70" s="17" t="n">
        <x:v>5</x:v>
      </x:c>
      <x:c r="K70" s="17" t="n">
        <x:v>5</x:v>
      </x:c>
      <x:c r="L70" s="17" t="n">
        <x:v>5</x:v>
      </x:c>
      <x:c r="M70" s="17" t="n">
        <x:v>5</x:v>
      </x:c>
      <x:c r="N70" s="17" t="n">
        <x:f>IF(COUNT(H70:M70)&lt;6,"",H70*6+I70*4+J70*3+K70*3+L70*3+M70)</x:f>
        <x:v>82</x:v>
      </x:c>
      <x:c r="O70" s="19" t="str">
        <x:f>IF(N70="","Legacy",IF(AND(N70&gt;=84,H70&gt;=4,L70&gt;=4),"A",IF(AND(N70&gt;=70,H70&gt;=3),"B","C")))</x:f>
        <x:v>C</x:v>
      </x:c>
      <x:c r="P70" s="16" t="str">
        <x:v>Надіслано 28.07 — follow-up</x:v>
      </x:c>
      <x:c r="Q70" s="18" t="str">
        <x:v>Follow-up: показати перегляд без акаунта; попросити 1 анонімізований акт/АВР</x:v>
      </x:c>
      <x:c r="R70" s="18" t="str">
        <x:v>Власник / директор; керівник ПТО</x:v>
      </x:c>
      <x:c r="S70" s="18" t="str">
        <x:v>45+ зданих об’єктів, 78 фахівців, ліцензії СС2/СС3; повний цикл зовнішніх мереж від проєкту до введення.</x:v>
      </x:c>
      <x:c r="T70" s="18" t="str">
        <x:v>Траншеї, труби, кабелі, колодязі, підключення й випробування незворотно закриваються засипанням.</x:v>
      </x:c>
      <x:c r="U70" s="18" t="str">
        <x:v>https://www.sargon.com.ua/budivnictvo-zovnishnih-inzhenernih-merezh</x:v>
      </x:c>
      <x:c r="V70" s="16" t="str">
        <x:v>44549311</x:v>
      </x:c>
      <x:c r="W70" s="16" t="str">
        <x:v>official+registry</x:v>
      </x:c>
      <x:c r="X70" s="16" t="str">
        <x:v>2026-07-28</x:v>
      </x:c>
      <x:c r="Y70" s="16" t="str">
        <x:v>Олександр</x:v>
      </x:c>
      <x:c r="Z70" s="20" t="str"/>
      <x:c r="AA70" s="16" t="str">
        <x:v>Реєстр: https://opendatabot.ua/c/44549311</x:v>
      </x:c>
    </x:row>
    <x:row r="71">
      <x:c r="A71" s="16" t="str">
        <x:v>AUG-001</x:v>
      </x:c>
      <x:c r="B71" s="16" t="str">
        <x:v>Нова хвиля 24.08</x:v>
      </x:c>
      <x:c r="C71" s="16" t="str">
        <x:v>GES GROUP</x:v>
      </x:c>
      <x:c r="D71" s="16" t="str">
        <x:v>Зовнішні мережі</x:v>
      </x:c>
      <x:c r="E71" s="16" t="str">
        <x:v>Спеціалізований підрядник</x:v>
      </x:c>
      <x:c r="F71" s="16" t="str">
        <x:v>ges-group.com.ua</x:v>
      </x:c>
      <x:c r="G71" s="16" t="str">
        <x:v>Пізніше — вимоги проєкту</x:v>
      </x:c>
      <x:c r="H71" s="17" t="n">
        <x:v>2</x:v>
      </x:c>
      <x:c r="I71" s="17" t="n">
        <x:v>5</x:v>
      </x:c>
      <x:c r="J71" s="17" t="n">
        <x:v>5</x:v>
      </x:c>
      <x:c r="K71" s="17" t="n">
        <x:v>5</x:v>
      </x:c>
      <x:c r="L71" s="17" t="n">
        <x:v>5</x:v>
      </x:c>
      <x:c r="M71" s="17" t="n">
        <x:v>5</x:v>
      </x:c>
      <x:c r="N71" s="17" t="n">
        <x:f>IF(COUNT(H71:M71)&lt;6,"",H71*6+I71*4+J71*3+K71*3+L71*3+M71)</x:f>
        <x:v>82</x:v>
      </x:c>
      <x:c r="O71" s="19" t="str">
        <x:f>IF(N71="","Legacy",IF(AND(N71&gt;=84,H71&gt;=4,L71&gt;=4),"A",IF(AND(N71&gt;=70,H71&gt;=3),"B","C")))</x:f>
        <x:v>C</x:v>
      </x:c>
      <x:c r="P71" s="16" t="str">
        <x:v>Новий — не контактували</x:v>
      </x:c>
      <x:c r="Q71" s="18" t="str">
        <x:v>Персоналізувати 1-й контакт за доказом; запропонувати перегляд без акаунта</x:v>
      </x:c>
      <x:c r="R71" s="18" t="str">
        <x:v>Владелец / коммерческий директор; руководитель ПТО</x:v>
      </x:c>
      <x:c r="S71" s="18" t="str">
        <x:v>Полный цикл внешних водопроводных, канализационных и тепловых сетей; 50+ сотрудников, собственная техника и многомесячные проекты.</x:v>
      </x:c>
      <x:c r="T71" s="18" t="str">
        <x:v>Траншеи, коллекторы, КНС и сети должны быть зафиксированы до засыпки.</x:v>
      </x:c>
      <x:c r="U71" s="18" t="str">
        <x:v>https://ges-group.com.ua/company</x:v>
      </x:c>
      <x:c r="V71" s="16" t="str"/>
      <x:c r="W71" s="16" t="str">
        <x:v>official_site_verified</x:v>
      </x:c>
      <x:c r="X71" s="16" t="str">
        <x:v>2026-08-24</x:v>
      </x:c>
      <x:c r="Y71" s="16" t="str">
        <x:v>Олександр</x:v>
      </x:c>
      <x:c r="Z71" s="20" t="str"/>
      <x:c r="AA71" s="16" t="str"/>
    </x:row>
    <x:row r="72">
      <x:c r="A72" s="16" t="str">
        <x:v>V3-044</x:v>
      </x:c>
      <x:c r="B72" s="16" t="str">
        <x:v>Досліджено 28.07</x:v>
      </x:c>
      <x:c r="C72" s="16" t="str">
        <x:v>ПроектАкваБуд</x:v>
      </x:c>
      <x:c r="D72" s="16" t="str">
        <x:v>Зовнішні мережі</x:v>
      </x:c>
      <x:c r="E72" s="16" t="str">
        <x:v>Спеціалізований підрядник</x:v>
      </x:c>
      <x:c r="F72" s="16" t="str">
        <x:v>abproekt.com.ua</x:v>
      </x:c>
      <x:c r="G72" s="16" t="str">
        <x:v>Пізніше — вимоги проєкту</x:v>
      </x:c>
      <x:c r="H72" s="17" t="n">
        <x:v>2</x:v>
      </x:c>
      <x:c r="I72" s="17" t="n">
        <x:v>5</x:v>
      </x:c>
      <x:c r="J72" s="17" t="n">
        <x:v>4</x:v>
      </x:c>
      <x:c r="K72" s="17" t="n">
        <x:v>5</x:v>
      </x:c>
      <x:c r="L72" s="17" t="n">
        <x:v>5</x:v>
      </x:c>
      <x:c r="M72" s="17" t="n">
        <x:v>5</x:v>
      </x:c>
      <x:c r="N72" s="17" t="n">
        <x:f>IF(COUNT(H72:M72)&lt;6,"",H72*6+I72*4+J72*3+K72*3+L72*3+M72)</x:f>
        <x:v>79</x:v>
      </x:c>
      <x:c r="O72" s="19" t="str">
        <x:f>IF(N72="","Legacy",IF(AND(N72&gt;=84,H72&gt;=4,L72&gt;=4),"A",IF(AND(N72&gt;=70,H72&gt;=3),"B","C")))</x:f>
        <x:v>C</x:v>
      </x:c>
      <x:c r="P72" s="16" t="str">
        <x:v>Надіслано 28.07 — follow-up</x:v>
      </x:c>
      <x:c r="Q72" s="18" t="str">
        <x:v>Follow-up: показати перегляд без акаунта; попросити 1 анонімізований акт/АВР</x:v>
      </x:c>
      <x:c r="R72" s="18" t="str">
        <x:v>Власник / директор; керівник ПТО</x:v>
      </x:c>
      <x:c r="S72" s="18" t="str">
        <x:v>Проєктування й монтаж зовнішніх інженерних мереж, водопостачання та водовідведення.</x:v>
      </x:c>
      <x:c r="T72" s="18" t="str">
        <x:v>Труби, колодязі, основи й приєднання стають недоступними після засипання; критичні фото та акти.</x:v>
      </x:c>
      <x:c r="U72" s="18" t="str">
        <x:v>https://abproekt.com.ua/uslugi/montazh-inzhenernykh-setei.html</x:v>
      </x:c>
      <x:c r="V72" s="16" t="str"/>
      <x:c r="W72" s="16" t="str">
        <x:v>official_site_only</x:v>
      </x:c>
      <x:c r="X72" s="16" t="str">
        <x:v>2026-07-28</x:v>
      </x:c>
      <x:c r="Y72" s="16" t="str">
        <x:v>Олександр</x:v>
      </x:c>
      <x:c r="Z72" s="20" t="str"/>
      <x:c r="AA72" s="16" t="str"/>
    </x:row>
    <x:row r="73">
      <x:c r="A73" s="16" t="str">
        <x:v>V3-045</x:v>
      </x:c>
      <x:c r="B73" s="16" t="str">
        <x:v>Досліджено 28.07</x:v>
      </x:c>
      <x:c r="C73" s="16" t="str">
        <x:v>Project Water &amp; Canalization</x:v>
      </x:c>
      <x:c r="D73" s="16" t="str">
        <x:v>Зовнішні мережі</x:v>
      </x:c>
      <x:c r="E73" s="16" t="str">
        <x:v>Спеціалізований підрядник</x:v>
      </x:c>
      <x:c r="F73" s="16" t="str">
        <x:v>project-wc.kiev.ua</x:v>
      </x:c>
      <x:c r="G73" s="16" t="str">
        <x:v>Пізніше — вимоги проєкту</x:v>
      </x:c>
      <x:c r="H73" s="17" t="n">
        <x:v>2</x:v>
      </x:c>
      <x:c r="I73" s="17" t="n">
        <x:v>5</x:v>
      </x:c>
      <x:c r="J73" s="17" t="n">
        <x:v>4</x:v>
      </x:c>
      <x:c r="K73" s="17" t="n">
        <x:v>5</x:v>
      </x:c>
      <x:c r="L73" s="17" t="n">
        <x:v>5</x:v>
      </x:c>
      <x:c r="M73" s="17" t="n">
        <x:v>5</x:v>
      </x:c>
      <x:c r="N73" s="17" t="n">
        <x:f>IF(COUNT(H73:M73)&lt;6,"",H73*6+I73*4+J73*3+K73*3+L73*3+M73)</x:f>
        <x:v>79</x:v>
      </x:c>
      <x:c r="O73" s="19" t="str">
        <x:f>IF(N73="","Legacy",IF(AND(N73&gt;=84,H73&gt;=4,L73&gt;=4),"A",IF(AND(N73&gt;=70,H73&gt;=3),"B","C")))</x:f>
        <x:v>C</x:v>
      </x:c>
      <x:c r="P73" s="16" t="str">
        <x:v>Надіслано 28.07 — follow-up</x:v>
      </x:c>
      <x:c r="Q73" s="18" t="str">
        <x:v>Follow-up: показати перегляд без акаунта; попросити 1 анонімізований акт/АВР</x:v>
      </x:c>
      <x:c r="R73" s="18" t="str">
        <x:v>Власник / директор; керівник ПТО</x:v>
      </x:c>
      <x:c r="S73" s="18" t="str">
        <x:v>Повний цикл від проєктування до введення: зовнішній водопровід, напірна/самопливна/зливова каналізація, КНС і резервуари.</x:v>
      </x:c>
      <x:c r="T73" s="18" t="str">
        <x:v>Глибокі траншеї, ухили, стики, випробування й виконавчі схеми мають бути прийняті до закриття.</x:v>
      </x:c>
      <x:c r="U73" s="18" t="str">
        <x:v>https://www.project-wc.kiev.ua/</x:v>
      </x:c>
      <x:c r="V73" s="16" t="str"/>
      <x:c r="W73" s="16" t="str">
        <x:v>official_site_only</x:v>
      </x:c>
      <x:c r="X73" s="16" t="str">
        <x:v>2026-07-28</x:v>
      </x:c>
      <x:c r="Y73" s="16" t="str">
        <x:v>Олександр</x:v>
      </x:c>
      <x:c r="Z73" s="20" t="str"/>
      <x:c r="AA73" s="16" t="str"/>
    </x:row>
    <x:row r="74">
      <x:c r="A74" s="16" t="str">
        <x:v>V3-047</x:v>
      </x:c>
      <x:c r="B74" s="16" t="str">
        <x:v>Досліджено 28.07</x:v>
      </x:c>
      <x:c r="C74" s="16" t="str">
        <x:v>VIK</x:v>
      </x:c>
      <x:c r="D74" s="16" t="str">
        <x:v>Зовнішні мережі</x:v>
      </x:c>
      <x:c r="E74" s="16" t="str">
        <x:v>Спеціалізований підрядник</x:v>
      </x:c>
      <x:c r="F74" s="16" t="str">
        <x:v>vik.com.ua</x:v>
      </x:c>
      <x:c r="G74" s="16" t="str">
        <x:v>Пізніше — вимоги проєкту</x:v>
      </x:c>
      <x:c r="H74" s="17" t="n">
        <x:v>2</x:v>
      </x:c>
      <x:c r="I74" s="17" t="n">
        <x:v>5</x:v>
      </x:c>
      <x:c r="J74" s="17" t="n">
        <x:v>4</x:v>
      </x:c>
      <x:c r="K74" s="17" t="n">
        <x:v>5</x:v>
      </x:c>
      <x:c r="L74" s="17" t="n">
        <x:v>5</x:v>
      </x:c>
      <x:c r="M74" s="17" t="n">
        <x:v>5</x:v>
      </x:c>
      <x:c r="N74" s="17" t="n">
        <x:f>IF(COUNT(H74:M74)&lt;6,"",H74*6+I74*4+J74*3+K74*3+L74*3+M74)</x:f>
        <x:v>79</x:v>
      </x:c>
      <x:c r="O74" s="19" t="str">
        <x:f>IF(N74="","Legacy",IF(AND(N74&gt;=84,H74&gt;=4,L74&gt;=4),"A",IF(AND(N74&gt;=70,H74&gt;=3),"B","C")))</x:f>
        <x:v>C</x:v>
      </x:c>
      <x:c r="P74" s="16" t="str">
        <x:v>Надіслано 28.07 — follow-up</x:v>
      </x:c>
      <x:c r="Q74" s="18" t="str">
        <x:v>Follow-up: показати перегляд без акаунта; попросити 1 анонімізований акт/АВР</x:v>
      </x:c>
      <x:c r="R74" s="18" t="str">
        <x:v>Власник / директор; керівник ПТО</x:v>
      </x:c>
      <x:c r="S74" s="18" t="str">
        <x:v>Проєктування, будівництво й реконструкція мереж водопостачання/каналізації, насосних станцій і дренажу.</x:v>
      </x:c>
      <x:c r="T74" s="18" t="str">
        <x:v>Трубопроводи, колодязі, КНС і дренажні системи вимагають поетапних актів та випробувань до засипання.</x:v>
      </x:c>
      <x:c r="U74" s="18" t="str">
        <x:v>https://vik.com.ua/pages/view/proektuvannya</x:v>
      </x:c>
      <x:c r="V74" s="16" t="str"/>
      <x:c r="W74" s="16" t="str">
        <x:v>official_site_only</x:v>
      </x:c>
      <x:c r="X74" s="16" t="str">
        <x:v>2026-07-28</x:v>
      </x:c>
      <x:c r="Y74" s="16" t="str">
        <x:v>Олександр</x:v>
      </x:c>
      <x:c r="Z74" s="20" t="str"/>
      <x:c r="AA74" s="16" t="str"/>
    </x:row>
    <x:row r="75">
      <x:c r="A75" s="16" t="str">
        <x:v>V3-043</x:v>
      </x:c>
      <x:c r="B75" s="16" t="str">
        <x:v>Досліджено 28.07</x:v>
      </x:c>
      <x:c r="C75" s="16" t="str">
        <x:v>ТОВ «БМК «МІСТО ГРУП»</x:v>
      </x:c>
      <x:c r="D75" s="16" t="str">
        <x:v>Зовнішні мережі</x:v>
      </x:c>
      <x:c r="E75" s="16" t="str">
        <x:v>Спеціалізований підрядник</x:v>
      </x:c>
      <x:c r="F75" s="16" t="str">
        <x:v>bmk-misto.com.ua</x:v>
      </x:c>
      <x:c r="G75" s="16" t="str">
        <x:v>Пізніше — вимоги проєкту</x:v>
      </x:c>
      <x:c r="H75" s="17" t="n">
        <x:v>2</x:v>
      </x:c>
      <x:c r="I75" s="17" t="n">
        <x:v>5</x:v>
      </x:c>
      <x:c r="J75" s="17" t="n">
        <x:v>4</x:v>
      </x:c>
      <x:c r="K75" s="17" t="n">
        <x:v>4</x:v>
      </x:c>
      <x:c r="L75" s="17" t="n">
        <x:v>5</x:v>
      </x:c>
      <x:c r="M75" s="17" t="n">
        <x:v>5</x:v>
      </x:c>
      <x:c r="N75" s="17" t="n">
        <x:f>IF(COUNT(H75:M75)&lt;6,"",H75*6+I75*4+J75*3+K75*3+L75*3+M75)</x:f>
        <x:v>76</x:v>
      </x:c>
      <x:c r="O75" s="19" t="str">
        <x:f>IF(N75="","Legacy",IF(AND(N75&gt;=84,H75&gt;=4,L75&gt;=4),"A",IF(AND(N75&gt;=70,H75&gt;=3),"B","C")))</x:f>
        <x:v>C</x:v>
      </x:c>
      <x:c r="P75" s="16" t="str">
        <x:v>Надіслано 28.07 — follow-up</x:v>
      </x:c>
      <x:c r="Q75" s="18" t="str">
        <x:v>Follow-up: показати перегляд без акаунта; попросити 1 анонімізований акт/АВР</x:v>
      </x:c>
      <x:c r="R75" s="18" t="str">
        <x:v>Власник / директор; керівник ПТО</x:v>
      </x:c>
      <x:c r="S75" s="18" t="str">
        <x:v>Будівництво, реконструкція й ремонт зовнішніх мереж; труби до 1600 мм, колодязі, КНС, гідравлічні випробування.</x:v>
      </x:c>
      <x:c r="T75" s="18" t="str">
        <x:v>Проєктні відмітки, стики труб, основи колодязів і випробування треба прийняти до засипання траншей.</x:v>
      </x:c>
      <x:c r="U75" s="18" t="str">
        <x:v>https://bmk-misto.com.ua/merejy-vodopostachannya-i-vodovidvedennya</x:v>
      </x:c>
      <x:c r="V75" s="16" t="str">
        <x:v>45989415</x:v>
      </x:c>
      <x:c r="W75" s="16" t="str">
        <x:v>official+registry_manual_match</x:v>
      </x:c>
      <x:c r="X75" s="16" t="str">
        <x:v>2026-07-28</x:v>
      </x:c>
      <x:c r="Y75" s="16" t="str">
        <x:v>Олександр</x:v>
      </x:c>
      <x:c r="Z75" s="20" t="str"/>
      <x:c r="AA75" s="16" t="str">
        <x:v>Реєстр: https://opendatabot.ua/c/45989415</x:v>
      </x:c>
    </x:row>
    <x:row r="76">
      <x:c r="A76" s="16" t="str">
        <x:v>V3-046</x:v>
      </x:c>
      <x:c r="B76" s="16" t="str">
        <x:v>Досліджено 28.07</x:v>
      </x:c>
      <x:c r="C76" s="16" t="str">
        <x:v>MIDA Energy</x:v>
      </x:c>
      <x:c r="D76" s="16" t="str">
        <x:v>Зовнішні мережі</x:v>
      </x:c>
      <x:c r="E76" s="16" t="str">
        <x:v>Спеціалізований підрядник</x:v>
      </x:c>
      <x:c r="F76" s="16" t="str">
        <x:v>midaenergy.com.ua</x:v>
      </x:c>
      <x:c r="G76" s="16" t="str">
        <x:v>Пізніше — вимоги проєкту</x:v>
      </x:c>
      <x:c r="H76" s="17" t="n">
        <x:v>2</x:v>
      </x:c>
      <x:c r="I76" s="17" t="n">
        <x:v>5</x:v>
      </x:c>
      <x:c r="J76" s="17" t="n">
        <x:v>4</x:v>
      </x:c>
      <x:c r="K76" s="17" t="n">
        <x:v>4</x:v>
      </x:c>
      <x:c r="L76" s="17" t="n">
        <x:v>5</x:v>
      </x:c>
      <x:c r="M76" s="17" t="n">
        <x:v>5</x:v>
      </x:c>
      <x:c r="N76" s="17" t="n">
        <x:f>IF(COUNT(H76:M76)&lt;6,"",H76*6+I76*4+J76*3+K76*3+L76*3+M76)</x:f>
        <x:v>76</x:v>
      </x:c>
      <x:c r="O76" s="19" t="str">
        <x:f>IF(N76="","Legacy",IF(AND(N76&gt;=84,H76&gt;=4,L76&gt;=4),"A",IF(AND(N76&gt;=70,H76&gt;=3),"B","C")))</x:f>
        <x:v>C</x:v>
      </x:c>
      <x:c r="P76" s="16" t="str">
        <x:v>Надіслано 28.07 — follow-up</x:v>
      </x:c>
      <x:c r="Q76" s="18" t="str">
        <x:v>Follow-up: показати перегляд без акаунта; попросити 1 анонімізований акт/АВР</x:v>
      </x:c>
      <x:c r="R76" s="18" t="str">
        <x:v>Власник / директор; керівник ПТО</x:v>
      </x:c>
      <x:c r="S76" s="18" t="str">
        <x:v>Монтаж зовнішніх мереж газу, води, тепла, електрики, каналізації, вентиляції та зв’язку.</x:v>
      </x:c>
      <x:c r="T76" s="18" t="str">
        <x:v>Різнотипні комунікації створюють багато прихованих переходів, перетинів, випробувань та актів.</x:v>
      </x:c>
      <x:c r="U76" s="18" t="str">
        <x:v>https://midaenergy.com.ua/services/prokladannja-zovnishnih-inzhenernyh-merezh/</x:v>
      </x:c>
      <x:c r="V76" s="16" t="str"/>
      <x:c r="W76" s="16" t="str">
        <x:v>official_site_only</x:v>
      </x:c>
      <x:c r="X76" s="16" t="str">
        <x:v>2026-07-28</x:v>
      </x:c>
      <x:c r="Y76" s="16" t="str">
        <x:v>Олександр</x:v>
      </x:c>
      <x:c r="Z76" s="20" t="str"/>
      <x:c r="AA76" s="16" t="str"/>
    </x:row>
    <x:row r="77">
      <x:c r="A77" s="16" t="str">
        <x:v>AUG-006</x:v>
      </x:c>
      <x:c r="B77" s="16" t="str">
        <x:v>Нова хвиля 24.08</x:v>
      </x:c>
      <x:c r="C77" s="16" t="str">
        <x:v>BVKS</x:v>
      </x:c>
      <x:c r="D77" s="16" t="str">
        <x:v>Зовнішні мережі</x:v>
      </x:c>
      <x:c r="E77" s="16" t="str">
        <x:v>Спеціалізований підрядник</x:v>
      </x:c>
      <x:c r="F77" s="16" t="str">
        <x:v>bvks.com.ua</x:v>
      </x:c>
      <x:c r="G77" s="16" t="str">
        <x:v>Пізніше — вимоги проєкту</x:v>
      </x:c>
      <x:c r="H77" s="17" t="n">
        <x:v>2</x:v>
      </x:c>
      <x:c r="I77" s="17" t="n">
        <x:v>5</x:v>
      </x:c>
      <x:c r="J77" s="17" t="n">
        <x:v>2</x:v>
      </x:c>
      <x:c r="K77" s="17" t="n">
        <x:v>3</x:v>
      </x:c>
      <x:c r="L77" s="17" t="n">
        <x:v>4</x:v>
      </x:c>
      <x:c r="M77" s="17" t="n">
        <x:v>5</x:v>
      </x:c>
      <x:c r="N77" s="17" t="n">
        <x:f>IF(COUNT(H77:M77)&lt;6,"",H77*6+I77*4+J77*3+K77*3+L77*3+M77)</x:f>
        <x:v>64</x:v>
      </x:c>
      <x:c r="O77" s="19" t="str">
        <x:f>IF(N77="","Legacy",IF(AND(N77&gt;=84,H77&gt;=4,L77&gt;=4),"A",IF(AND(N77&gt;=70,H77&gt;=3),"B","C")))</x:f>
        <x:v>C</x:v>
      </x:c>
      <x:c r="P77" s="16" t="str">
        <x:v>Новий — не контактували</x:v>
      </x:c>
      <x:c r="Q77" s="18" t="str">
        <x:v>Персоналізувати 1-й контакт за доказом; запропонувати перегляд без акаунта</x:v>
      </x:c>
      <x:c r="R77" s="18" t="str">
        <x:v>Владелец; начальник участка</x:v>
      </x:c>
      <x:c r="S77" s="18" t="str">
        <x:v>Строительство и модернизация наружных водопроводно-канализационных сетей и ГНБ.</x:v>
      </x:c>
      <x:c r="T77" s="18" t="str">
        <x:v>Трубопроводы и проколы становятся недоступны после засыпки, но текущая библиотека требований их прямо не покрывает.</x:v>
      </x:c>
      <x:c r="U77" s="18" t="str">
        <x:v>https://bvks.com.ua/</x:v>
      </x:c>
      <x:c r="V77" s="16" t="str"/>
      <x:c r="W77" s="16" t="str">
        <x:v>official_site_verified</x:v>
      </x:c>
      <x:c r="X77" s="16" t="str">
        <x:v>2026-08-24</x:v>
      </x:c>
      <x:c r="Y77" s="16" t="str">
        <x:v>Олександр</x:v>
      </x:c>
      <x:c r="Z77" s="20" t="str"/>
      <x:c r="AA77" s="16" t="str"/>
    </x:row>
    <x:row r="78">
      <x:c r="A78" s="16" t="str">
        <x:v>V2-015</x:v>
      </x:c>
      <x:c r="B78" s="16" t="str">
        <x:v>Legacy 28</x:v>
      </x:c>
      <x:c r="C78" s="16" t="str">
        <x:v>Блок Майстер Україна</x:v>
      </x:c>
      <x:c r="D78" s="16" t="str">
        <x:v>Сонячна енергетика</x:v>
      </x:c>
      <x:c r="E78" s="16" t="str">
        <x:v>Спеціалізований підрядник</x:v>
      </x:c>
      <x:c r="F78" s="16" t="str">
        <x:v>blockmaster.com.ua</x:v>
      </x:c>
      <x:c r="G78" s="16" t="str">
        <x:v>Зараз — Н.15</x:v>
      </x:c>
      <x:c r="H78" s="17" t="str"/>
      <x:c r="I78" s="17" t="str"/>
      <x:c r="J78" s="17" t="str"/>
      <x:c r="K78" s="17" t="str"/>
      <x:c r="L78" s="17" t="str"/>
      <x:c r="M78" s="17" t="str"/>
      <x:c r="N78" s="17" t="str">
        <x:f>IF(COUNT(H78:M78)&lt;6,"",H78*6+I78*4+J78*3+K78*3+L78*3+M78)</x:f>
      </x:c>
      <x:c r="O78" s="19" t="str">
        <x:f>IF(N78="","Legacy",IF(AND(N78&gt;=84,H78&gt;=4,L78&gt;=4),"A",IF(AND(N78&gt;=70,H78&gt;=3),"B","C")))</x:f>
        <x:v>Legacy</x:v>
      </x:c>
      <x:c r="P78" s="16" t="str">
        <x:v>Потрібна повторна перевірка</x:v>
      </x:c>
      <x:c r="Q78" s="18" t="str">
        <x:v>Перевірити сайт, спеціалізацію та чинний проєкт перед контактом</x:v>
      </x:c>
      <x:c r="R78" s="18" t="str">
        <x:v>Власник / директор; керівник ПТО</x:v>
      </x:c>
      <x:c r="S78" s="18" t="str">
        <x:v>Legacy-запис: публічні докази потрібно оновити перед контактом.</x:v>
      </x:c>
      <x:c r="T78" s="18" t="str">
        <x:v>Уточнити, які приховані роботи закриваються до перевірки замовником.</x:v>
      </x:c>
      <x:c r="U78" s="18" t="str">
        <x:v>https://blockmaster.com.ua</x:v>
      </x:c>
      <x:c r="V78" s="16" t="str">
        <x:v>36387055</x:v>
      </x:c>
      <x:c r="W78" s="16" t="str">
        <x:v>imported_not_requalified</x:v>
      </x:c>
      <x:c r="X78" s="16" t="str"/>
      <x:c r="Y78" s="16" t="str">
        <x:v>Олександр</x:v>
      </x:c>
      <x:c r="Z78" s="20" t="str"/>
      <x:c r="AA78" s="16" t="str"/>
    </x:row>
    <x:row r="79">
      <x:c r="A79" s="16" t="str">
        <x:v>V2-004</x:v>
      </x:c>
      <x:c r="B79" s="16" t="str">
        <x:v>Legacy 28</x:v>
      </x:c>
      <x:c r="C79" s="16" t="str">
        <x:v>ІБК «Енергокапітал»</x:v>
      </x:c>
      <x:c r="D79" s="16" t="str">
        <x:v>Електромонтаж</x:v>
      </x:c>
      <x:c r="E79" s="16" t="str">
        <x:v>Спеціалізований підрядник</x:v>
      </x:c>
      <x:c r="F79" s="16" t="str">
        <x:v>ibkenergo.com.ua</x:v>
      </x:c>
      <x:c r="G79" s="16" t="str">
        <x:v>Зараз — Н.15</x:v>
      </x:c>
      <x:c r="H79" s="17" t="str"/>
      <x:c r="I79" s="17" t="str"/>
      <x:c r="J79" s="17" t="str"/>
      <x:c r="K79" s="17" t="str"/>
      <x:c r="L79" s="17" t="str"/>
      <x:c r="M79" s="17" t="str"/>
      <x:c r="N79" s="17" t="str">
        <x:f>IF(COUNT(H79:M79)&lt;6,"",H79*6+I79*4+J79*3+K79*3+L79*3+M79)</x:f>
      </x:c>
      <x:c r="O79" s="19" t="str">
        <x:f>IF(N79="","Legacy",IF(AND(N79&gt;=84,H79&gt;=4,L79&gt;=4),"A",IF(AND(N79&gt;=70,H79&gt;=3),"B","C")))</x:f>
        <x:v>Legacy</x:v>
      </x:c>
      <x:c r="P79" s="16" t="str">
        <x:v>Потрібна повторна перевірка</x:v>
      </x:c>
      <x:c r="Q79" s="18" t="str">
        <x:v>Перевірити сайт, спеціалізацію та чинний проєкт перед контактом</x:v>
      </x:c>
      <x:c r="R79" s="18" t="str">
        <x:v>Власник / директор; керівник ПТО</x:v>
      </x:c>
      <x:c r="S79" s="18" t="str">
        <x:v>Legacy-запис: публічні докази потрібно оновити перед контактом.</x:v>
      </x:c>
      <x:c r="T79" s="18" t="str">
        <x:v>Уточнити, які приховані роботи закриваються до перевірки замовником.</x:v>
      </x:c>
      <x:c r="U79" s="18" t="str">
        <x:v>https://ibkenergo.com.ua</x:v>
      </x:c>
      <x:c r="V79" s="16" t="str">
        <x:v>39001787</x:v>
      </x:c>
      <x:c r="W79" s="16" t="str">
        <x:v>imported_not_requalified</x:v>
      </x:c>
      <x:c r="X79" s="16" t="str"/>
      <x:c r="Y79" s="16" t="str">
        <x:v>Олександр</x:v>
      </x:c>
      <x:c r="Z79" s="20" t="str"/>
      <x:c r="AA79" s="16" t="str"/>
    </x:row>
    <x:row r="80">
      <x:c r="A80" s="16" t="str">
        <x:v>V2-016</x:v>
      </x:c>
      <x:c r="B80" s="16" t="str">
        <x:v>Legacy 28</x:v>
      </x:c>
      <x:c r="C80" s="16" t="str">
        <x:v>Компанія «РЕЙДЕН»</x:v>
      </x:c>
      <x:c r="D80" s="16" t="str">
        <x:v>Електромонтаж</x:v>
      </x:c>
      <x:c r="E80" s="16" t="str">
        <x:v>Спеціалізований підрядник</x:v>
      </x:c>
      <x:c r="F80" s="16" t="str">
        <x:v>raiden.com.ua</x:v>
      </x:c>
      <x:c r="G80" s="16" t="str">
        <x:v>Зараз — Н.15</x:v>
      </x:c>
      <x:c r="H80" s="17" t="str"/>
      <x:c r="I80" s="17" t="str"/>
      <x:c r="J80" s="17" t="str"/>
      <x:c r="K80" s="17" t="str"/>
      <x:c r="L80" s="17" t="str"/>
      <x:c r="M80" s="17" t="str"/>
      <x:c r="N80" s="17" t="str">
        <x:f>IF(COUNT(H80:M80)&lt;6,"",H80*6+I80*4+J80*3+K80*3+L80*3+M80)</x:f>
      </x:c>
      <x:c r="O80" s="19" t="str">
        <x:f>IF(N80="","Legacy",IF(AND(N80&gt;=84,H80&gt;=4,L80&gt;=4),"A",IF(AND(N80&gt;=70,H80&gt;=3),"B","C")))</x:f>
        <x:v>Legacy</x:v>
      </x:c>
      <x:c r="P80" s="16" t="str">
        <x:v>Потрібна повторна перевірка</x:v>
      </x:c>
      <x:c r="Q80" s="18" t="str">
        <x:v>Перевірити сайт, спеціалізацію та чинний проєкт перед контактом</x:v>
      </x:c>
      <x:c r="R80" s="18" t="str">
        <x:v>Власник / директор; керівник ПТО</x:v>
      </x:c>
      <x:c r="S80" s="18" t="str">
        <x:v>Legacy-запис: публічні докази потрібно оновити перед контактом.</x:v>
      </x:c>
      <x:c r="T80" s="18" t="str">
        <x:v>Уточнити, які приховані роботи закриваються до перевірки замовником.</x:v>
      </x:c>
      <x:c r="U80" s="18" t="str">
        <x:v>https://raiden.com.ua</x:v>
      </x:c>
      <x:c r="V80" s="16" t="str">
        <x:v>41162259</x:v>
      </x:c>
      <x:c r="W80" s="16" t="str">
        <x:v>imported_not_requalified</x:v>
      </x:c>
      <x:c r="X80" s="16" t="str"/>
      <x:c r="Y80" s="16" t="str">
        <x:v>Олександр</x:v>
      </x:c>
      <x:c r="Z80" s="20" t="str"/>
      <x:c r="AA80" s="16" t="str"/>
    </x:row>
    <x:row r="81">
      <x:c r="A81" s="16" t="str">
        <x:v>V2-002</x:v>
      </x:c>
      <x:c r="B81" s="16" t="str">
        <x:v>Legacy 28</x:v>
      </x:c>
      <x:c r="C81" s="16" t="str">
        <x:v>НВП «Інтеренерго»</x:v>
      </x:c>
      <x:c r="D81" s="16" t="str">
        <x:v>Сервіс / експлуатація</x:v>
      </x:c>
      <x:c r="E81" s="16" t="str">
        <x:v>Спеціалізований підрядник</x:v>
      </x:c>
      <x:c r="F81" s="16" t="str">
        <x:v>interenergo.net</x:v>
      </x:c>
      <x:c r="G81" s="16" t="str">
        <x:v>Перекваліфікувати</x:v>
      </x:c>
      <x:c r="H81" s="17" t="str"/>
      <x:c r="I81" s="17" t="str"/>
      <x:c r="J81" s="17" t="str"/>
      <x:c r="K81" s="17" t="str"/>
      <x:c r="L81" s="17" t="str"/>
      <x:c r="M81" s="17" t="str"/>
      <x:c r="N81" s="17" t="str">
        <x:f>IF(COUNT(H81:M81)&lt;6,"",H81*6+I81*4+J81*3+K81*3+L81*3+M81)</x:f>
      </x:c>
      <x:c r="O81" s="19" t="str">
        <x:f>IF(N81="","Legacy",IF(AND(N81&gt;=84,H81&gt;=4,L81&gt;=4),"A",IF(AND(N81&gt;=70,H81&gt;=3),"B","C")))</x:f>
        <x:v>Legacy</x:v>
      </x:c>
      <x:c r="P81" s="16" t="str">
        <x:v>Потрібна повторна перевірка</x:v>
      </x:c>
      <x:c r="Q81" s="18" t="str">
        <x:v>Перевірити сайт, спеціалізацію та чинний проєкт перед контактом</x:v>
      </x:c>
      <x:c r="R81" s="18" t="str">
        <x:v>Власник / директор; керівник ПТО</x:v>
      </x:c>
      <x:c r="S81" s="18" t="str">
        <x:v>Legacy-запис: публічні докази потрібно оновити перед контактом.</x:v>
      </x:c>
      <x:c r="T81" s="18" t="str">
        <x:v>Уточнити, які приховані роботи закриваються до перевірки замовником.</x:v>
      </x:c>
      <x:c r="U81" s="18" t="str">
        <x:v>https://interenergo.net</x:v>
      </x:c>
      <x:c r="V81" s="16" t="str">
        <x:v>33291690</x:v>
      </x:c>
      <x:c r="W81" s="16" t="str">
        <x:v>imported_not_requalified</x:v>
      </x:c>
      <x:c r="X81" s="16" t="str"/>
      <x:c r="Y81" s="16" t="str">
        <x:v>Олександр</x:v>
      </x:c>
      <x:c r="Z81" s="20" t="str"/>
      <x:c r="AA81" s="16" t="str"/>
    </x:row>
    <x:row r="82">
      <x:c r="A82" s="16" t="str">
        <x:v>V2-008</x:v>
      </x:c>
      <x:c r="B82" s="16" t="str">
        <x:v>Legacy 28</x:v>
      </x:c>
      <x:c r="C82" s="16" t="str">
        <x:v>Правильне Електроживлення</x:v>
      </x:c>
      <x:c r="D82" s="16" t="str">
        <x:v>Сонячна енергетика</x:v>
      </x:c>
      <x:c r="E82" s="16" t="str">
        <x:v>Спеціалізований підрядник</x:v>
      </x:c>
      <x:c r="F82" s="16" t="str">
        <x:v>sun-energy.com.ua</x:v>
      </x:c>
      <x:c r="G82" s="16" t="str">
        <x:v>Зараз — Н.15</x:v>
      </x:c>
      <x:c r="H82" s="17" t="str"/>
      <x:c r="I82" s="17" t="str"/>
      <x:c r="J82" s="17" t="str"/>
      <x:c r="K82" s="17" t="str"/>
      <x:c r="L82" s="17" t="str"/>
      <x:c r="M82" s="17" t="str"/>
      <x:c r="N82" s="17" t="str">
        <x:f>IF(COUNT(H82:M82)&lt;6,"",H82*6+I82*4+J82*3+K82*3+L82*3+M82)</x:f>
      </x:c>
      <x:c r="O82" s="19" t="str">
        <x:f>IF(N82="","Legacy",IF(AND(N82&gt;=84,H82&gt;=4,L82&gt;=4),"A",IF(AND(N82&gt;=70,H82&gt;=3),"B","C")))</x:f>
        <x:v>Legacy</x:v>
      </x:c>
      <x:c r="P82" s="16" t="str">
        <x:v>Потрібна повторна перевірка</x:v>
      </x:c>
      <x:c r="Q82" s="18" t="str">
        <x:v>Перевірити сайт, спеціалізацію та чинний проєкт перед контактом</x:v>
      </x:c>
      <x:c r="R82" s="18" t="str">
        <x:v>Власник / директор; керівник ПТО</x:v>
      </x:c>
      <x:c r="S82" s="18" t="str">
        <x:v>Legacy-запис: публічні докази потрібно оновити перед контактом.</x:v>
      </x:c>
      <x:c r="T82" s="18" t="str">
        <x:v>Уточнити, які приховані роботи закриваються до перевірки замовником.</x:v>
      </x:c>
      <x:c r="U82" s="18" t="str">
        <x:v>https://sun-energy.com.ua</x:v>
      </x:c>
      <x:c r="V82" s="16" t="str"/>
      <x:c r="W82" s="16" t="str">
        <x:v>imported_not_requalified</x:v>
      </x:c>
      <x:c r="X82" s="16" t="str"/>
      <x:c r="Y82" s="16" t="str">
        <x:v>Олександр</x:v>
      </x:c>
      <x:c r="Z82" s="20" t="str"/>
      <x:c r="AA82" s="16" t="str"/>
    </x:row>
    <x:row r="83">
      <x:c r="A83" s="16" t="str">
        <x:v>V2-027</x:v>
      </x:c>
      <x:c r="B83" s="16" t="str">
        <x:v>Legacy 28</x:v>
      </x:c>
      <x:c r="C83" s="16" t="str">
        <x:v>ПРИВАТНЕ ПІДПРИЄМСТВО "ЗАХІДЕНЕРГОМОНТАЖ"</x:v>
      </x:c>
      <x:c r="D83" s="16" t="str">
        <x:v>Електромонтаж</x:v>
      </x:c>
      <x:c r="E83" s="16" t="str">
        <x:v>Спеціалізований підрядник</x:v>
      </x:c>
      <x:c r="F83" s="16" t="str">
        <x:v>zem-energo.com.ua</x:v>
      </x:c>
      <x:c r="G83" s="16" t="str">
        <x:v>Зараз — Н.15</x:v>
      </x:c>
      <x:c r="H83" s="17" t="str"/>
      <x:c r="I83" s="17" t="str"/>
      <x:c r="J83" s="17" t="str"/>
      <x:c r="K83" s="17" t="str"/>
      <x:c r="L83" s="17" t="str"/>
      <x:c r="M83" s="17" t="str"/>
      <x:c r="N83" s="17" t="str">
        <x:f>IF(COUNT(H83:M83)&lt;6,"",H83*6+I83*4+J83*3+K83*3+L83*3+M83)</x:f>
      </x:c>
      <x:c r="O83" s="19" t="str">
        <x:f>IF(N83="","Legacy",IF(AND(N83&gt;=84,H83&gt;=4,L83&gt;=4),"A",IF(AND(N83&gt;=70,H83&gt;=3),"B","C")))</x:f>
        <x:v>Legacy</x:v>
      </x:c>
      <x:c r="P83" s="16" t="str">
        <x:v>Потрібна повторна перевірка</x:v>
      </x:c>
      <x:c r="Q83" s="18" t="str">
        <x:v>Перевірити сайт, спеціалізацію та чинний проєкт перед контактом</x:v>
      </x:c>
      <x:c r="R83" s="18" t="str">
        <x:v>Власник / директор; керівник ПТО</x:v>
      </x:c>
      <x:c r="S83" s="18" t="str">
        <x:v>Legacy-запис: публічні докази потрібно оновити перед контактом.</x:v>
      </x:c>
      <x:c r="T83" s="18" t="str">
        <x:v>Уточнити, які приховані роботи закриваються до перевірки замовником.</x:v>
      </x:c>
      <x:c r="U83" s="18" t="str">
        <x:v>https://zem-energo.com.ua</x:v>
      </x:c>
      <x:c r="V83" s="16" t="str">
        <x:v>36404211</x:v>
      </x:c>
      <x:c r="W83" s="16" t="str">
        <x:v>imported_not_requalified</x:v>
      </x:c>
      <x:c r="X83" s="16" t="str"/>
      <x:c r="Y83" s="16" t="str">
        <x:v>Олександр</x:v>
      </x:c>
      <x:c r="Z83" s="20" t="str"/>
      <x:c r="AA83" s="16" t="str"/>
    </x:row>
    <x:row r="84">
      <x:c r="A84" s="16" t="str">
        <x:v>V2-026</x:v>
      </x:c>
      <x:c r="B84" s="16" t="str">
        <x:v>Legacy 28</x:v>
      </x:c>
      <x:c r="C84" s="16" t="str">
        <x:v>ПРИВАТНЕ ПІДПРИЄМСТВО "ПОЖМАСТЕР"</x:v>
      </x:c>
      <x:c r="D84" s="16" t="str">
        <x:v>Слаботочні системи</x:v>
      </x:c>
      <x:c r="E84" s="16" t="str">
        <x:v>Спеціалізований підрядник</x:v>
      </x:c>
      <x:c r="F84" s="16" t="str">
        <x:v>pozhmaster.com.ua</x:v>
      </x:c>
      <x:c r="G84" s="16" t="str">
        <x:v>Перевірити — Н.15</x:v>
      </x:c>
      <x:c r="H84" s="17" t="str"/>
      <x:c r="I84" s="17" t="str"/>
      <x:c r="J84" s="17" t="str"/>
      <x:c r="K84" s="17" t="str"/>
      <x:c r="L84" s="17" t="str"/>
      <x:c r="M84" s="17" t="str"/>
      <x:c r="N84" s="17" t="str">
        <x:f>IF(COUNT(H84:M84)&lt;6,"",H84*6+I84*4+J84*3+K84*3+L84*3+M84)</x:f>
      </x:c>
      <x:c r="O84" s="19" t="str">
        <x:f>IF(N84="","Legacy",IF(AND(N84&gt;=84,H84&gt;=4,L84&gt;=4),"A",IF(AND(N84&gt;=70,H84&gt;=3),"B","C")))</x:f>
        <x:v>Legacy</x:v>
      </x:c>
      <x:c r="P84" s="16" t="str">
        <x:v>Потрібна повторна перевірка</x:v>
      </x:c>
      <x:c r="Q84" s="18" t="str">
        <x:v>Перевірити сайт, спеціалізацію та чинний проєкт перед контактом</x:v>
      </x:c>
      <x:c r="R84" s="18" t="str">
        <x:v>Власник / директор; керівник ПТО</x:v>
      </x:c>
      <x:c r="S84" s="18" t="str">
        <x:v>Legacy-запис: публічні докази потрібно оновити перед контактом.</x:v>
      </x:c>
      <x:c r="T84" s="18" t="str">
        <x:v>Уточнити, які приховані роботи закриваються до перевірки замовником.</x:v>
      </x:c>
      <x:c r="U84" s="18" t="str">
        <x:v>https://pozhmaster.com.ua</x:v>
      </x:c>
      <x:c r="V84" s="16" t="str">
        <x:v>36326591</x:v>
      </x:c>
      <x:c r="W84" s="16" t="str">
        <x:v>imported_not_requalified</x:v>
      </x:c>
      <x:c r="X84" s="16" t="str"/>
      <x:c r="Y84" s="16" t="str">
        <x:v>Олександр</x:v>
      </x:c>
      <x:c r="Z84" s="20" t="str"/>
      <x:c r="AA84" s="16" t="str"/>
    </x:row>
    <x:row r="85">
      <x:c r="A85" s="16" t="str">
        <x:v>V2-012</x:v>
      </x:c>
      <x:c r="B85" s="16" t="str">
        <x:v>Legacy 28</x:v>
      </x:c>
      <x:c r="C85" s="16" t="str">
        <x:v>Променергомонтаж</x:v>
      </x:c>
      <x:c r="D85" s="16" t="str">
        <x:v>Сонячна енергетика</x:v>
      </x:c>
      <x:c r="E85" s="16" t="str">
        <x:v>Спеціалізований підрядник</x:v>
      </x:c>
      <x:c r="F85" s="16" t="str">
        <x:v>promenergo.com.ua</x:v>
      </x:c>
      <x:c r="G85" s="16" t="str">
        <x:v>Зараз — Н.15</x:v>
      </x:c>
      <x:c r="H85" s="17" t="str"/>
      <x:c r="I85" s="17" t="str"/>
      <x:c r="J85" s="17" t="str"/>
      <x:c r="K85" s="17" t="str"/>
      <x:c r="L85" s="17" t="str"/>
      <x:c r="M85" s="17" t="str"/>
      <x:c r="N85" s="17" t="str">
        <x:f>IF(COUNT(H85:M85)&lt;6,"",H85*6+I85*4+J85*3+K85*3+L85*3+M85)</x:f>
      </x:c>
      <x:c r="O85" s="19" t="str">
        <x:f>IF(N85="","Legacy",IF(AND(N85&gt;=84,H85&gt;=4,L85&gt;=4),"A",IF(AND(N85&gt;=70,H85&gt;=3),"B","C")))</x:f>
        <x:v>Legacy</x:v>
      </x:c>
      <x:c r="P85" s="16" t="str">
        <x:v>Потрібна повторна перевірка</x:v>
      </x:c>
      <x:c r="Q85" s="18" t="str">
        <x:v>Перевірити сайт, спеціалізацію та чинний проєкт перед контактом</x:v>
      </x:c>
      <x:c r="R85" s="18" t="str">
        <x:v>Власник / директор; керівник ПТО</x:v>
      </x:c>
      <x:c r="S85" s="18" t="str">
        <x:v>Legacy-запис: публічні докази потрібно оновити перед контактом.</x:v>
      </x:c>
      <x:c r="T85" s="18" t="str">
        <x:v>Уточнити, які приховані роботи закриваються до перевірки замовником.</x:v>
      </x:c>
      <x:c r="U85" s="18" t="str">
        <x:v>https://promenergo.com.ua</x:v>
      </x:c>
      <x:c r="V85" s="16" t="str"/>
      <x:c r="W85" s="16" t="str">
        <x:v>imported_not_requalified</x:v>
      </x:c>
      <x:c r="X85" s="16" t="str"/>
      <x:c r="Y85" s="16" t="str">
        <x:v>Олександр</x:v>
      </x:c>
      <x:c r="Z85" s="20" t="str"/>
      <x:c r="AA85" s="16" t="str"/>
    </x:row>
    <x:row r="86">
      <x:c r="A86" s="16" t="str">
        <x:v>V2-019</x:v>
      </x:c>
      <x:c r="B86" s="16" t="str">
        <x:v>Legacy 28</x:v>
      </x:c>
      <x:c r="C86" s="16" t="str">
        <x:v>Протипожежна компанія «Брандмауер» (РПТБ)</x:v>
      </x:c>
      <x:c r="D86" s="16" t="str">
        <x:v>Слаботочні системи</x:v>
      </x:c>
      <x:c r="E86" s="16" t="str">
        <x:v>Спеціалізований підрядник</x:v>
      </x:c>
      <x:c r="F86" s="16" t="str">
        <x:v>brandmauer.com.ua</x:v>
      </x:c>
      <x:c r="G86" s="16" t="str">
        <x:v>Перевірити — Н.15</x:v>
      </x:c>
      <x:c r="H86" s="17" t="str"/>
      <x:c r="I86" s="17" t="str"/>
      <x:c r="J86" s="17" t="str"/>
      <x:c r="K86" s="17" t="str"/>
      <x:c r="L86" s="17" t="str"/>
      <x:c r="M86" s="17" t="str"/>
      <x:c r="N86" s="17" t="str">
        <x:f>IF(COUNT(H86:M86)&lt;6,"",H86*6+I86*4+J86*3+K86*3+L86*3+M86)</x:f>
      </x:c>
      <x:c r="O86" s="19" t="str">
        <x:f>IF(N86="","Legacy",IF(AND(N86&gt;=84,H86&gt;=4,L86&gt;=4),"A",IF(AND(N86&gt;=70,H86&gt;=3),"B","C")))</x:f>
        <x:v>Legacy</x:v>
      </x:c>
      <x:c r="P86" s="16" t="str">
        <x:v>Потрібна повторна перевірка</x:v>
      </x:c>
      <x:c r="Q86" s="18" t="str">
        <x:v>Перевірити сайт, спеціалізацію та чинний проєкт перед контактом</x:v>
      </x:c>
      <x:c r="R86" s="18" t="str">
        <x:v>Власник / директор; керівник ПТО</x:v>
      </x:c>
      <x:c r="S86" s="18" t="str">
        <x:v>Legacy-запис: публічні докази потрібно оновити перед контактом.</x:v>
      </x:c>
      <x:c r="T86" s="18" t="str">
        <x:v>Уточнити, які приховані роботи закриваються до перевірки замовником.</x:v>
      </x:c>
      <x:c r="U86" s="18" t="str">
        <x:v>https://brandmauer.com.ua</x:v>
      </x:c>
      <x:c r="V86" s="16" t="str">
        <x:v>42033798</x:v>
      </x:c>
      <x:c r="W86" s="16" t="str">
        <x:v>imported_not_requalified</x:v>
      </x:c>
      <x:c r="X86" s="16" t="str"/>
      <x:c r="Y86" s="16" t="str">
        <x:v>Олександр</x:v>
      </x:c>
      <x:c r="Z86" s="20" t="str"/>
      <x:c r="AA86" s="16" t="str"/>
    </x:row>
    <x:row r="87">
      <x:c r="A87" s="16" t="str">
        <x:v>V2-022</x:v>
      </x:c>
      <x:c r="B87" s="16" t="str">
        <x:v>Legacy 28</x:v>
      </x:c>
      <x:c r="C87" s="16" t="str">
        <x:v>ТзОВ «Проектлінк»</x:v>
      </x:c>
      <x:c r="D87" s="16" t="str">
        <x:v>Електромонтаж</x:v>
      </x:c>
      <x:c r="E87" s="16" t="str">
        <x:v>Спеціалізований підрядник</x:v>
      </x:c>
      <x:c r="F87" s="16" t="str">
        <x:v>proekt.link</x:v>
      </x:c>
      <x:c r="G87" s="16" t="str">
        <x:v>Зараз — Н.15</x:v>
      </x:c>
      <x:c r="H87" s="17" t="str"/>
      <x:c r="I87" s="17" t="str"/>
      <x:c r="J87" s="17" t="str"/>
      <x:c r="K87" s="17" t="str"/>
      <x:c r="L87" s="17" t="str"/>
      <x:c r="M87" s="17" t="str"/>
      <x:c r="N87" s="17" t="str">
        <x:f>IF(COUNT(H87:M87)&lt;6,"",H87*6+I87*4+J87*3+K87*3+L87*3+M87)</x:f>
      </x:c>
      <x:c r="O87" s="19" t="str">
        <x:f>IF(N87="","Legacy",IF(AND(N87&gt;=84,H87&gt;=4,L87&gt;=4),"A",IF(AND(N87&gt;=70,H87&gt;=3),"B","C")))</x:f>
        <x:v>Legacy</x:v>
      </x:c>
      <x:c r="P87" s="16" t="str">
        <x:v>Потрібна повторна перевірка</x:v>
      </x:c>
      <x:c r="Q87" s="18" t="str">
        <x:v>Перевірити сайт, спеціалізацію та чинний проєкт перед контактом</x:v>
      </x:c>
      <x:c r="R87" s="18" t="str">
        <x:v>Власник / директор; керівник ПТО</x:v>
      </x:c>
      <x:c r="S87" s="18" t="str">
        <x:v>Legacy-запис: публічні докази потрібно оновити перед контактом.</x:v>
      </x:c>
      <x:c r="T87" s="18" t="str">
        <x:v>Уточнити, які приховані роботи закриваються до перевірки замовником.</x:v>
      </x:c>
      <x:c r="U87" s="18" t="str">
        <x:v>https://proekt.link</x:v>
      </x:c>
      <x:c r="V87" s="16" t="str">
        <x:v>42162731</x:v>
      </x:c>
      <x:c r="W87" s="16" t="str">
        <x:v>imported_not_requalified</x:v>
      </x:c>
      <x:c r="X87" s="16" t="str"/>
      <x:c r="Y87" s="16" t="str">
        <x:v>Олександр</x:v>
      </x:c>
      <x:c r="Z87" s="20" t="str"/>
      <x:c r="AA87" s="16" t="str"/>
    </x:row>
    <x:row r="88">
      <x:c r="A88" s="16" t="str">
        <x:v>V2-011</x:v>
      </x:c>
      <x:c r="B88" s="16" t="str">
        <x:v>Legacy 28</x:v>
      </x:c>
      <x:c r="C88" s="16" t="str">
        <x:v>ТОВ «Авенстон»</x:v>
      </x:c>
      <x:c r="D88" s="16" t="str">
        <x:v>Сонячна енергетика</x:v>
      </x:c>
      <x:c r="E88" s="16" t="str">
        <x:v>Спеціалізований підрядник</x:v>
      </x:c>
      <x:c r="F88" s="16" t="str">
        <x:v>avenston.com</x:v>
      </x:c>
      <x:c r="G88" s="16" t="str">
        <x:v>Зараз — Н.15</x:v>
      </x:c>
      <x:c r="H88" s="17" t="str"/>
      <x:c r="I88" s="17" t="str"/>
      <x:c r="J88" s="17" t="str"/>
      <x:c r="K88" s="17" t="str"/>
      <x:c r="L88" s="17" t="str"/>
      <x:c r="M88" s="17" t="str"/>
      <x:c r="N88" s="17" t="str">
        <x:f>IF(COUNT(H88:M88)&lt;6,"",H88*6+I88*4+J88*3+K88*3+L88*3+M88)</x:f>
      </x:c>
      <x:c r="O88" s="19" t="str">
        <x:f>IF(N88="","Legacy",IF(AND(N88&gt;=84,H88&gt;=4,L88&gt;=4),"A",IF(AND(N88&gt;=70,H88&gt;=3),"B","C")))</x:f>
        <x:v>Legacy</x:v>
      </x:c>
      <x:c r="P88" s="16" t="str">
        <x:v>Потрібна повторна перевірка</x:v>
      </x:c>
      <x:c r="Q88" s="18" t="str">
        <x:v>Перевірити сайт, спеціалізацію та чинний проєкт перед контактом</x:v>
      </x:c>
      <x:c r="R88" s="18" t="str">
        <x:v>Власник / директор; керівник ПТО</x:v>
      </x:c>
      <x:c r="S88" s="18" t="str">
        <x:v>Legacy-запис: публічні докази потрібно оновити перед контактом.</x:v>
      </x:c>
      <x:c r="T88" s="18" t="str">
        <x:v>Уточнити, які приховані роботи закриваються до перевірки замовником.</x:v>
      </x:c>
      <x:c r="U88" s="18" t="str">
        <x:v>https://avenston.com</x:v>
      </x:c>
      <x:c r="V88" s="16" t="str"/>
      <x:c r="W88" s="16" t="str">
        <x:v>imported_not_requalified</x:v>
      </x:c>
      <x:c r="X88" s="16" t="str"/>
      <x:c r="Y88" s="16" t="str">
        <x:v>Олександр</x:v>
      </x:c>
      <x:c r="Z88" s="20" t="str"/>
      <x:c r="AA88" s="16" t="str"/>
    </x:row>
    <x:row r="89">
      <x:c r="A89" s="16" t="str">
        <x:v>V2-024</x:v>
      </x:c>
      <x:c r="B89" s="16" t="str">
        <x:v>Legacy 28</x:v>
      </x:c>
      <x:c r="C89" s="16" t="str">
        <x:v>ТОВ «Агроремсервісприлад-М»</x:v>
      </x:c>
      <x:c r="D89" s="16" t="str">
        <x:v>Сервіс / експлуатація</x:v>
      </x:c>
      <x:c r="E89" s="16" t="str">
        <x:v>Спеціалізований підрядник</x:v>
      </x:c>
      <x:c r="F89" s="16" t="str">
        <x:v>agroremservice.com.ua</x:v>
      </x:c>
      <x:c r="G89" s="16" t="str">
        <x:v>Перекваліфікувати</x:v>
      </x:c>
      <x:c r="H89" s="17" t="str"/>
      <x:c r="I89" s="17" t="str"/>
      <x:c r="J89" s="17" t="str"/>
      <x:c r="K89" s="17" t="str"/>
      <x:c r="L89" s="17" t="str"/>
      <x:c r="M89" s="17" t="str"/>
      <x:c r="N89" s="17" t="str">
        <x:f>IF(COUNT(H89:M89)&lt;6,"",H89*6+I89*4+J89*3+K89*3+L89*3+M89)</x:f>
      </x:c>
      <x:c r="O89" s="19" t="str">
        <x:f>IF(N89="","Legacy",IF(AND(N89&gt;=84,H89&gt;=4,L89&gt;=4),"A",IF(AND(N89&gt;=70,H89&gt;=3),"B","C")))</x:f>
        <x:v>Legacy</x:v>
      </x:c>
      <x:c r="P89" s="16" t="str">
        <x:v>Потрібна повторна перевірка</x:v>
      </x:c>
      <x:c r="Q89" s="18" t="str">
        <x:v>Перевірити сайт, спеціалізацію та чинний проєкт перед контактом</x:v>
      </x:c>
      <x:c r="R89" s="18" t="str">
        <x:v>Власник / директор; керівник ПТО</x:v>
      </x:c>
      <x:c r="S89" s="18" t="str">
        <x:v>Legacy-запис: публічні докази потрібно оновити перед контактом.</x:v>
      </x:c>
      <x:c r="T89" s="18" t="str">
        <x:v>Уточнити, які приховані роботи закриваються до перевірки замовником.</x:v>
      </x:c>
      <x:c r="U89" s="18" t="str">
        <x:v>https://agroremservice.com.ua</x:v>
      </x:c>
      <x:c r="V89" s="16" t="str">
        <x:v>45811436</x:v>
      </x:c>
      <x:c r="W89" s="16" t="str">
        <x:v>imported_not_requalified</x:v>
      </x:c>
      <x:c r="X89" s="16" t="str"/>
      <x:c r="Y89" s="16" t="str">
        <x:v>Олександр</x:v>
      </x:c>
      <x:c r="Z89" s="20" t="str"/>
      <x:c r="AA89" s="16" t="str"/>
    </x:row>
    <x:row r="90">
      <x:c r="A90" s="16" t="str">
        <x:v>V2-009</x:v>
      </x:c>
      <x:c r="B90" s="16" t="str">
        <x:v>Legacy 28</x:v>
      </x:c>
      <x:c r="C90" s="16" t="str">
        <x:v>ТОВ «Академ Інвест»</x:v>
      </x:c>
      <x:c r="D90" s="16" t="str">
        <x:v>Сонячна енергетика</x:v>
      </x:c>
      <x:c r="E90" s="16" t="str">
        <x:v>Спеціалізований підрядник</x:v>
      </x:c>
      <x:c r="F90" s="16" t="str">
        <x:v>247energy.com.ua</x:v>
      </x:c>
      <x:c r="G90" s="16" t="str">
        <x:v>Зараз — Н.15</x:v>
      </x:c>
      <x:c r="H90" s="17" t="str"/>
      <x:c r="I90" s="17" t="str"/>
      <x:c r="J90" s="17" t="str"/>
      <x:c r="K90" s="17" t="str"/>
      <x:c r="L90" s="17" t="str"/>
      <x:c r="M90" s="17" t="str"/>
      <x:c r="N90" s="17" t="str">
        <x:f>IF(COUNT(H90:M90)&lt;6,"",H90*6+I90*4+J90*3+K90*3+L90*3+M90)</x:f>
      </x:c>
      <x:c r="O90" s="19" t="str">
        <x:f>IF(N90="","Legacy",IF(AND(N90&gt;=84,H90&gt;=4,L90&gt;=4),"A",IF(AND(N90&gt;=70,H90&gt;=3),"B","C")))</x:f>
        <x:v>Legacy</x:v>
      </x:c>
      <x:c r="P90" s="16" t="str">
        <x:v>Потрібна повторна перевірка</x:v>
      </x:c>
      <x:c r="Q90" s="18" t="str">
        <x:v>Перевірити сайт, спеціалізацію та чинний проєкт перед контактом</x:v>
      </x:c>
      <x:c r="R90" s="18" t="str">
        <x:v>Власник / директор; керівник ПТО</x:v>
      </x:c>
      <x:c r="S90" s="18" t="str">
        <x:v>Legacy-запис: публічні докази потрібно оновити перед контактом.</x:v>
      </x:c>
      <x:c r="T90" s="18" t="str">
        <x:v>Уточнити, які приховані роботи закриваються до перевірки замовником.</x:v>
      </x:c>
      <x:c r="U90" s="18" t="str">
        <x:v>https://247energy.com.ua</x:v>
      </x:c>
      <x:c r="V90" s="16" t="str"/>
      <x:c r="W90" s="16" t="str">
        <x:v>imported_not_requalified</x:v>
      </x:c>
      <x:c r="X90" s="16" t="str"/>
      <x:c r="Y90" s="16" t="str">
        <x:v>Олександр</x:v>
      </x:c>
      <x:c r="Z90" s="20" t="str"/>
      <x:c r="AA90" s="16" t="str"/>
    </x:row>
    <x:row r="91">
      <x:c r="A91" s="16" t="str">
        <x:v>V2-006</x:v>
      </x:c>
      <x:c r="B91" s="16" t="str">
        <x:v>Legacy 28</x:v>
      </x:c>
      <x:c r="C91" s="16" t="str">
        <x:v>ТОВ «ВКФ «Берком»</x:v>
      </x:c>
      <x:c r="D91" s="16" t="str">
        <x:v>HVAC / вентиляція</x:v>
      </x:c>
      <x:c r="E91" s="16" t="str">
        <x:v>Спеціалізований підрядник</x:v>
      </x:c>
      <x:c r="F91" s="16" t="str">
        <x:v>berkom.com.ua</x:v>
      </x:c>
      <x:c r="G91" s="16" t="str">
        <x:v>Зараз — Н.14</x:v>
      </x:c>
      <x:c r="H91" s="17" t="str"/>
      <x:c r="I91" s="17" t="str"/>
      <x:c r="J91" s="17" t="str"/>
      <x:c r="K91" s="17" t="str"/>
      <x:c r="L91" s="17" t="str"/>
      <x:c r="M91" s="17" t="str"/>
      <x:c r="N91" s="17" t="str">
        <x:f>IF(COUNT(H91:M91)&lt;6,"",H91*6+I91*4+J91*3+K91*3+L91*3+M91)</x:f>
      </x:c>
      <x:c r="O91" s="19" t="str">
        <x:f>IF(N91="","Legacy",IF(AND(N91&gt;=84,H91&gt;=4,L91&gt;=4),"A",IF(AND(N91&gt;=70,H91&gt;=3),"B","C")))</x:f>
        <x:v>Legacy</x:v>
      </x:c>
      <x:c r="P91" s="16" t="str">
        <x:v>Потрібна повторна перевірка</x:v>
      </x:c>
      <x:c r="Q91" s="18" t="str">
        <x:v>Перевірити сайт, спеціалізацію та чинний проєкт перед контактом</x:v>
      </x:c>
      <x:c r="R91" s="18" t="str">
        <x:v>Власник / директор; керівник ПТО</x:v>
      </x:c>
      <x:c r="S91" s="18" t="str">
        <x:v>Legacy-запис: публічні докази потрібно оновити перед контактом.</x:v>
      </x:c>
      <x:c r="T91" s="18" t="str">
        <x:v>Уточнити, які приховані роботи закриваються до перевірки замовником.</x:v>
      </x:c>
      <x:c r="U91" s="18" t="str">
        <x:v>https://berkom.com.ua</x:v>
      </x:c>
      <x:c r="V91" s="16" t="str">
        <x:v>34522141</x:v>
      </x:c>
      <x:c r="W91" s="16" t="str">
        <x:v>imported_not_requalified</x:v>
      </x:c>
      <x:c r="X91" s="16" t="str"/>
      <x:c r="Y91" s="16" t="str">
        <x:v>Олександр</x:v>
      </x:c>
      <x:c r="Z91" s="20" t="str"/>
      <x:c r="AA91" s="16" t="str"/>
    </x:row>
    <x:row r="92">
      <x:c r="A92" s="16" t="str">
        <x:v>V2-005</x:v>
      </x:c>
      <x:c r="B92" s="16" t="str">
        <x:v>Legacy 28</x:v>
      </x:c>
      <x:c r="C92" s="16" t="str">
        <x:v>ТОВ «Електропівденмонтаж»</x:v>
      </x:c>
      <x:c r="D92" s="16" t="str">
        <x:v>Електромонтаж</x:v>
      </x:c>
      <x:c r="E92" s="16" t="str">
        <x:v>Спеціалізований підрядник</x:v>
      </x:c>
      <x:c r="F92" s="16" t="str">
        <x:v>epm.kh.ua</x:v>
      </x:c>
      <x:c r="G92" s="16" t="str">
        <x:v>Зараз — Н.15</x:v>
      </x:c>
      <x:c r="H92" s="17" t="str"/>
      <x:c r="I92" s="17" t="str"/>
      <x:c r="J92" s="17" t="str"/>
      <x:c r="K92" s="17" t="str"/>
      <x:c r="L92" s="17" t="str"/>
      <x:c r="M92" s="17" t="str"/>
      <x:c r="N92" s="17" t="str">
        <x:f>IF(COUNT(H92:M92)&lt;6,"",H92*6+I92*4+J92*3+K92*3+L92*3+M92)</x:f>
      </x:c>
      <x:c r="O92" s="19" t="str">
        <x:f>IF(N92="","Legacy",IF(AND(N92&gt;=84,H92&gt;=4,L92&gt;=4),"A",IF(AND(N92&gt;=70,H92&gt;=3),"B","C")))</x:f>
        <x:v>Legacy</x:v>
      </x:c>
      <x:c r="P92" s="16" t="str">
        <x:v>Потрібна повторна перевірка</x:v>
      </x:c>
      <x:c r="Q92" s="18" t="str">
        <x:v>Перевірити сайт, спеціалізацію та чинний проєкт перед контактом</x:v>
      </x:c>
      <x:c r="R92" s="18" t="str">
        <x:v>Власник / директор; керівник ПТО</x:v>
      </x:c>
      <x:c r="S92" s="18" t="str">
        <x:v>Legacy-запис: публічні докази потрібно оновити перед контактом.</x:v>
      </x:c>
      <x:c r="T92" s="18" t="str">
        <x:v>Уточнити, які приховані роботи закриваються до перевірки замовником.</x:v>
      </x:c>
      <x:c r="U92" s="18" t="str">
        <x:v>https://epm.kh.ua</x:v>
      </x:c>
      <x:c r="V92" s="16" t="str">
        <x:v>04734213</x:v>
      </x:c>
      <x:c r="W92" s="16" t="str">
        <x:v>imported_not_requalified</x:v>
      </x:c>
      <x:c r="X92" s="16" t="str"/>
      <x:c r="Y92" s="16" t="str">
        <x:v>Олександр</x:v>
      </x:c>
      <x:c r="Z92" s="20" t="str"/>
      <x:c r="AA92" s="16" t="str"/>
    </x:row>
    <x:row r="93">
      <x:c r="A93" s="16" t="str">
        <x:v>V2-023</x:v>
      </x:c>
      <x:c r="B93" s="16" t="str">
        <x:v>Legacy 28</x:v>
      </x:c>
      <x:c r="C93" s="16" t="str">
        <x:v>ТОВ «Здоровий клімат»</x:v>
      </x:c>
      <x:c r="D93" s="16" t="str">
        <x:v>HVAC / вентиляція</x:v>
      </x:c>
      <x:c r="E93" s="16" t="str">
        <x:v>Спеціалізований підрядник</x:v>
      </x:c>
      <x:c r="F93" s="16" t="str">
        <x:v>zdorovklimat.com.ua</x:v>
      </x:c>
      <x:c r="G93" s="16" t="str">
        <x:v>Зараз — Н.14</x:v>
      </x:c>
      <x:c r="H93" s="17" t="str"/>
      <x:c r="I93" s="17" t="str"/>
      <x:c r="J93" s="17" t="str"/>
      <x:c r="K93" s="17" t="str"/>
      <x:c r="L93" s="17" t="str"/>
      <x:c r="M93" s="17" t="str"/>
      <x:c r="N93" s="17" t="str">
        <x:f>IF(COUNT(H93:M93)&lt;6,"",H93*6+I93*4+J93*3+K93*3+L93*3+M93)</x:f>
      </x:c>
      <x:c r="O93" s="19" t="str">
        <x:f>IF(N93="","Legacy",IF(AND(N93&gt;=84,H93&gt;=4,L93&gt;=4),"A",IF(AND(N93&gt;=70,H93&gt;=3),"B","C")))</x:f>
        <x:v>Legacy</x:v>
      </x:c>
      <x:c r="P93" s="16" t="str">
        <x:v>Потрібна повторна перевірка</x:v>
      </x:c>
      <x:c r="Q93" s="18" t="str">
        <x:v>Перевірити сайт, спеціалізацію та чинний проєкт перед контактом</x:v>
      </x:c>
      <x:c r="R93" s="18" t="str">
        <x:v>Власник / директор; керівник ПТО</x:v>
      </x:c>
      <x:c r="S93" s="18" t="str">
        <x:v>Legacy-запис: публічні докази потрібно оновити перед контактом.</x:v>
      </x:c>
      <x:c r="T93" s="18" t="str">
        <x:v>Уточнити, які приховані роботи закриваються до перевірки замовником.</x:v>
      </x:c>
      <x:c r="U93" s="18" t="str">
        <x:v>https://zdorovklimat.com.ua</x:v>
      </x:c>
      <x:c r="V93" s="16" t="str">
        <x:v>37734731</x:v>
      </x:c>
      <x:c r="W93" s="16" t="str">
        <x:v>imported_not_requalified</x:v>
      </x:c>
      <x:c r="X93" s="16" t="str"/>
      <x:c r="Y93" s="16" t="str">
        <x:v>Олександр</x:v>
      </x:c>
      <x:c r="Z93" s="20" t="str"/>
      <x:c r="AA93" s="16" t="str"/>
    </x:row>
    <x:row r="94">
      <x:c r="A94" s="16" t="str">
        <x:v>V2-020</x:v>
      </x:c>
      <x:c r="B94" s="16" t="str">
        <x:v>Legacy 28</x:v>
      </x:c>
      <x:c r="C94" s="16" t="str">
        <x:v>ТОВ «Новітні Енергетичні Програми»</x:v>
      </x:c>
      <x:c r="D94" s="16" t="str">
        <x:v>Електромонтаж</x:v>
      </x:c>
      <x:c r="E94" s="16" t="str">
        <x:v>Спеціалізований підрядник</x:v>
      </x:c>
      <x:c r="F94" s="16" t="str">
        <x:v>nep.in.ua</x:v>
      </x:c>
      <x:c r="G94" s="16" t="str">
        <x:v>Зараз — Н.15</x:v>
      </x:c>
      <x:c r="H94" s="17" t="str"/>
      <x:c r="I94" s="17" t="str"/>
      <x:c r="J94" s="17" t="str"/>
      <x:c r="K94" s="17" t="str"/>
      <x:c r="L94" s="17" t="str"/>
      <x:c r="M94" s="17" t="str"/>
      <x:c r="N94" s="17" t="str">
        <x:f>IF(COUNT(H94:M94)&lt;6,"",H94*6+I94*4+J94*3+K94*3+L94*3+M94)</x:f>
      </x:c>
      <x:c r="O94" s="19" t="str">
        <x:f>IF(N94="","Legacy",IF(AND(N94&gt;=84,H94&gt;=4,L94&gt;=4),"A",IF(AND(N94&gt;=70,H94&gt;=3),"B","C")))</x:f>
        <x:v>Legacy</x:v>
      </x:c>
      <x:c r="P94" s="16" t="str">
        <x:v>Потрібна повторна перевірка</x:v>
      </x:c>
      <x:c r="Q94" s="18" t="str">
        <x:v>Перевірити сайт, спеціалізацію та чинний проєкт перед контактом</x:v>
      </x:c>
      <x:c r="R94" s="18" t="str">
        <x:v>Власник / директор; керівник ПТО</x:v>
      </x:c>
      <x:c r="S94" s="18" t="str">
        <x:v>Legacy-запис: публічні докази потрібно оновити перед контактом.</x:v>
      </x:c>
      <x:c r="T94" s="18" t="str">
        <x:v>Уточнити, які приховані роботи закриваються до перевірки замовником.</x:v>
      </x:c>
      <x:c r="U94" s="18" t="str">
        <x:v>https://nep.in.ua</x:v>
      </x:c>
      <x:c r="V94" s="16" t="str">
        <x:v>34623220</x:v>
      </x:c>
      <x:c r="W94" s="16" t="str">
        <x:v>imported_not_requalified</x:v>
      </x:c>
      <x:c r="X94" s="16" t="str"/>
      <x:c r="Y94" s="16" t="str">
        <x:v>Олександр</x:v>
      </x:c>
      <x:c r="Z94" s="20" t="str"/>
      <x:c r="AA94" s="16" t="str"/>
    </x:row>
    <x:row r="95">
      <x:c r="A95" s="16" t="str">
        <x:v>V2-007</x:v>
      </x:c>
      <x:c r="B95" s="16" t="str">
        <x:v>Legacy 28</x:v>
      </x:c>
      <x:c r="C95" s="16" t="str">
        <x:v>ТОВ «Охоронна компанія «АЛЬЯНС-БЕЗПЕКА»</x:v>
      </x:c>
      <x:c r="D95" s="16" t="str">
        <x:v>Слаботочні системи</x:v>
      </x:c>
      <x:c r="E95" s="16" t="str">
        <x:v>Спеціалізований підрядник</x:v>
      </x:c>
      <x:c r="F95" s="16" t="str">
        <x:v>alliancesafety.com.ua</x:v>
      </x:c>
      <x:c r="G95" s="16" t="str">
        <x:v>Перевірити — Н.15</x:v>
      </x:c>
      <x:c r="H95" s="17" t="str"/>
      <x:c r="I95" s="17" t="str"/>
      <x:c r="J95" s="17" t="str"/>
      <x:c r="K95" s="17" t="str"/>
      <x:c r="L95" s="17" t="str"/>
      <x:c r="M95" s="17" t="str"/>
      <x:c r="N95" s="17" t="str">
        <x:f>IF(COUNT(H95:M95)&lt;6,"",H95*6+I95*4+J95*3+K95*3+L95*3+M95)</x:f>
      </x:c>
      <x:c r="O95" s="19" t="str">
        <x:f>IF(N95="","Legacy",IF(AND(N95&gt;=84,H95&gt;=4,L95&gt;=4),"A",IF(AND(N95&gt;=70,H95&gt;=3),"B","C")))</x:f>
        <x:v>Legacy</x:v>
      </x:c>
      <x:c r="P95" s="16" t="str">
        <x:v>Потрібна повторна перевірка</x:v>
      </x:c>
      <x:c r="Q95" s="18" t="str">
        <x:v>Перевірити сайт, спеціалізацію та чинний проєкт перед контактом</x:v>
      </x:c>
      <x:c r="R95" s="18" t="str">
        <x:v>Власник / директор; керівник ПТО</x:v>
      </x:c>
      <x:c r="S95" s="18" t="str">
        <x:v>Legacy-запис: публічні докази потрібно оновити перед контактом.</x:v>
      </x:c>
      <x:c r="T95" s="18" t="str">
        <x:v>Уточнити, які приховані роботи закриваються до перевірки замовником.</x:v>
      </x:c>
      <x:c r="U95" s="18" t="str">
        <x:v>https://alliancesafety.com.ua</x:v>
      </x:c>
      <x:c r="V95" s="16" t="str">
        <x:v>44564041</x:v>
      </x:c>
      <x:c r="W95" s="16" t="str">
        <x:v>imported_not_requalified</x:v>
      </x:c>
      <x:c r="X95" s="16" t="str"/>
      <x:c r="Y95" s="16" t="str">
        <x:v>Олександр</x:v>
      </x:c>
      <x:c r="Z95" s="20" t="str"/>
      <x:c r="AA95" s="16" t="str"/>
    </x:row>
    <x:row r="96">
      <x:c r="A96" s="16" t="str">
        <x:v>V2-017</x:v>
      </x:c>
      <x:c r="B96" s="16" t="str">
        <x:v>Legacy 28</x:v>
      </x:c>
      <x:c r="C96" s="16" t="str">
        <x:v>ТОВ «Пожежний Захист»</x:v>
      </x:c>
      <x:c r="D96" s="16" t="str">
        <x:v>Слаботочні системи</x:v>
      </x:c>
      <x:c r="E96" s="16" t="str">
        <x:v>Спеціалізований підрядник</x:v>
      </x:c>
      <x:c r="F96" s="16" t="str">
        <x:v>p-zahist.com.ua</x:v>
      </x:c>
      <x:c r="G96" s="16" t="str">
        <x:v>Перевірити — Н.15</x:v>
      </x:c>
      <x:c r="H96" s="17" t="str"/>
      <x:c r="I96" s="17" t="str"/>
      <x:c r="J96" s="17" t="str"/>
      <x:c r="K96" s="17" t="str"/>
      <x:c r="L96" s="17" t="str"/>
      <x:c r="M96" s="17" t="str"/>
      <x:c r="N96" s="17" t="str">
        <x:f>IF(COUNT(H96:M96)&lt;6,"",H96*6+I96*4+J96*3+K96*3+L96*3+M96)</x:f>
      </x:c>
      <x:c r="O96" s="19" t="str">
        <x:f>IF(N96="","Legacy",IF(AND(N96&gt;=84,H96&gt;=4,L96&gt;=4),"A",IF(AND(N96&gt;=70,H96&gt;=3),"B","C")))</x:f>
        <x:v>Legacy</x:v>
      </x:c>
      <x:c r="P96" s="16" t="str">
        <x:v>Потрібна повторна перевірка</x:v>
      </x:c>
      <x:c r="Q96" s="18" t="str">
        <x:v>Перевірити сайт, спеціалізацію та чинний проєкт перед контактом</x:v>
      </x:c>
      <x:c r="R96" s="18" t="str">
        <x:v>Власник / директор; керівник ПТО</x:v>
      </x:c>
      <x:c r="S96" s="18" t="str">
        <x:v>Legacy-запис: публічні докази потрібно оновити перед контактом.</x:v>
      </x:c>
      <x:c r="T96" s="18" t="str">
        <x:v>Уточнити, які приховані роботи закриваються до перевірки замовником.</x:v>
      </x:c>
      <x:c r="U96" s="18" t="str">
        <x:v>https://p-zahist.com.ua</x:v>
      </x:c>
      <x:c r="V96" s="16" t="str">
        <x:v>38717610</x:v>
      </x:c>
      <x:c r="W96" s="16" t="str">
        <x:v>imported_not_requalified</x:v>
      </x:c>
      <x:c r="X96" s="16" t="str"/>
      <x:c r="Y96" s="16" t="str">
        <x:v>Олександр</x:v>
      </x:c>
      <x:c r="Z96" s="20" t="str"/>
      <x:c r="AA96" s="16" t="str"/>
    </x:row>
    <x:row r="97">
      <x:c r="A97" s="16" t="str">
        <x:v>V2-010</x:v>
      </x:c>
      <x:c r="B97" s="16" t="str">
        <x:v>Legacy 28</x:v>
      </x:c>
      <x:c r="C97" s="16" t="str">
        <x:v>ТОВ «Промавтоматика Вінниця»</x:v>
      </x:c>
      <x:c r="D97" s="16" t="str">
        <x:v>Сонячна енергетика</x:v>
      </x:c>
      <x:c r="E97" s="16" t="str">
        <x:v>Спеціалізований підрядник</x:v>
      </x:c>
      <x:c r="F97" s="16" t="str">
        <x:v>pa.ua</x:v>
      </x:c>
      <x:c r="G97" s="16" t="str">
        <x:v>Зараз — Н.15</x:v>
      </x:c>
      <x:c r="H97" s="17" t="str"/>
      <x:c r="I97" s="17" t="str"/>
      <x:c r="J97" s="17" t="str"/>
      <x:c r="K97" s="17" t="str"/>
      <x:c r="L97" s="17" t="str"/>
      <x:c r="M97" s="17" t="str"/>
      <x:c r="N97" s="17" t="str">
        <x:f>IF(COUNT(H97:M97)&lt;6,"",H97*6+I97*4+J97*3+K97*3+L97*3+M97)</x:f>
      </x:c>
      <x:c r="O97" s="19" t="str">
        <x:f>IF(N97="","Legacy",IF(AND(N97&gt;=84,H97&gt;=4,L97&gt;=4),"A",IF(AND(N97&gt;=70,H97&gt;=3),"B","C")))</x:f>
        <x:v>Legacy</x:v>
      </x:c>
      <x:c r="P97" s="16" t="str">
        <x:v>Потрібна повторна перевірка</x:v>
      </x:c>
      <x:c r="Q97" s="18" t="str">
        <x:v>Перевірити сайт, спеціалізацію та чинний проєкт перед контактом</x:v>
      </x:c>
      <x:c r="R97" s="18" t="str">
        <x:v>Власник / директор; керівник ПТО</x:v>
      </x:c>
      <x:c r="S97" s="18" t="str">
        <x:v>Legacy-запис: публічні докази потрібно оновити перед контактом.</x:v>
      </x:c>
      <x:c r="T97" s="18" t="str">
        <x:v>Уточнити, які приховані роботи закриваються до перевірки замовником.</x:v>
      </x:c>
      <x:c r="U97" s="18" t="str">
        <x:v>https://pa.ua</x:v>
      </x:c>
      <x:c r="V97" s="16" t="str"/>
      <x:c r="W97" s="16" t="str">
        <x:v>imported_not_requalified</x:v>
      </x:c>
      <x:c r="X97" s="16" t="str"/>
      <x:c r="Y97" s="16" t="str">
        <x:v>Олександр</x:v>
      </x:c>
      <x:c r="Z97" s="20" t="str"/>
      <x:c r="AA97" s="16" t="str"/>
    </x:row>
    <x:row r="98">
      <x:c r="A98" s="16" t="str">
        <x:v>V2-018</x:v>
      </x:c>
      <x:c r="B98" s="16" t="str">
        <x:v>Legacy 28</x:v>
      </x:c>
      <x:c r="C98" s="16" t="str">
        <x:v>ТОВ «Структум»</x:v>
      </x:c>
      <x:c r="D98" s="16" t="str">
        <x:v>Електромонтаж</x:v>
      </x:c>
      <x:c r="E98" s="16" t="str">
        <x:v>Спеціалізований підрядник</x:v>
      </x:c>
      <x:c r="F98" s="16" t="str">
        <x:v>structum.ua</x:v>
      </x:c>
      <x:c r="G98" s="16" t="str">
        <x:v>Зараз — Н.15</x:v>
      </x:c>
      <x:c r="H98" s="17" t="str"/>
      <x:c r="I98" s="17" t="str"/>
      <x:c r="J98" s="17" t="str"/>
      <x:c r="K98" s="17" t="str"/>
      <x:c r="L98" s="17" t="str"/>
      <x:c r="M98" s="17" t="str"/>
      <x:c r="N98" s="17" t="str">
        <x:f>IF(COUNT(H98:M98)&lt;6,"",H98*6+I98*4+J98*3+K98*3+L98*3+M98)</x:f>
      </x:c>
      <x:c r="O98" s="19" t="str">
        <x:f>IF(N98="","Legacy",IF(AND(N98&gt;=84,H98&gt;=4,L98&gt;=4),"A",IF(AND(N98&gt;=70,H98&gt;=3),"B","C")))</x:f>
        <x:v>Legacy</x:v>
      </x:c>
      <x:c r="P98" s="16" t="str">
        <x:v>Потрібна повторна перевірка</x:v>
      </x:c>
      <x:c r="Q98" s="18" t="str">
        <x:v>Перевірити сайт, спеціалізацію та чинний проєкт перед контактом</x:v>
      </x:c>
      <x:c r="R98" s="18" t="str">
        <x:v>Власник / директор; керівник ПТО</x:v>
      </x:c>
      <x:c r="S98" s="18" t="str">
        <x:v>Legacy-запис: публічні докази потрібно оновити перед контактом.</x:v>
      </x:c>
      <x:c r="T98" s="18" t="str">
        <x:v>Уточнити, які приховані роботи закриваються до перевірки замовником.</x:v>
      </x:c>
      <x:c r="U98" s="18" t="str">
        <x:v>https://structum.ua</x:v>
      </x:c>
      <x:c r="V98" s="16" t="str">
        <x:v>38186327</x:v>
      </x:c>
      <x:c r="W98" s="16" t="str">
        <x:v>imported_not_requalified</x:v>
      </x:c>
      <x:c r="X98" s="16" t="str"/>
      <x:c r="Y98" s="16" t="str">
        <x:v>Олександр</x:v>
      </x:c>
      <x:c r="Z98" s="20" t="str"/>
      <x:c r="AA98" s="16" t="str"/>
    </x:row>
    <x:row r="99">
      <x:c r="A99" s="16" t="str">
        <x:v>V2-001</x:v>
      </x:c>
      <x:c r="B99" s="16" t="str">
        <x:v>Legacy 28</x:v>
      </x:c>
      <x:c r="C99" s="16" t="str">
        <x:v>ТОВ «Укравтономгаз»</x:v>
      </x:c>
      <x:c r="D99" s="16" t="str">
        <x:v>Внутрішня сантехніка</x:v>
      </x:c>
      <x:c r="E99" s="16" t="str">
        <x:v>Спеціалізований підрядник</x:v>
      </x:c>
      <x:c r="F99" s="16" t="str">
        <x:v>ukravtonomgaz.ua</x:v>
      </x:c>
      <x:c r="G99" s="16" t="str">
        <x:v>Зараз — Н.14</x:v>
      </x:c>
      <x:c r="H99" s="17" t="str"/>
      <x:c r="I99" s="17" t="str"/>
      <x:c r="J99" s="17" t="str"/>
      <x:c r="K99" s="17" t="str"/>
      <x:c r="L99" s="17" t="str"/>
      <x:c r="M99" s="17" t="str"/>
      <x:c r="N99" s="17" t="str">
        <x:f>IF(COUNT(H99:M99)&lt;6,"",H99*6+I99*4+J99*3+K99*3+L99*3+M99)</x:f>
      </x:c>
      <x:c r="O99" s="19" t="str">
        <x:f>IF(N99="","Legacy",IF(AND(N99&gt;=84,H99&gt;=4,L99&gt;=4),"A",IF(AND(N99&gt;=70,H99&gt;=3),"B","C")))</x:f>
        <x:v>Legacy</x:v>
      </x:c>
      <x:c r="P99" s="16" t="str">
        <x:v>Потрібна повторна перевірка</x:v>
      </x:c>
      <x:c r="Q99" s="18" t="str">
        <x:v>Перевірити сайт, спеціалізацію та чинний проєкт перед контактом</x:v>
      </x:c>
      <x:c r="R99" s="18" t="str">
        <x:v>Власник / директор; керівник ПТО</x:v>
      </x:c>
      <x:c r="S99" s="18" t="str">
        <x:v>Legacy-запис: публічні докази потрібно оновити перед контактом.</x:v>
      </x:c>
      <x:c r="T99" s="18" t="str">
        <x:v>Уточнити, які приховані роботи закриваються до перевірки замовником.</x:v>
      </x:c>
      <x:c r="U99" s="18" t="str">
        <x:v>https://ukravtonomgaz.ua</x:v>
      </x:c>
      <x:c r="V99" s="16" t="str">
        <x:v>39082735</x:v>
      </x:c>
      <x:c r="W99" s="16" t="str">
        <x:v>imported_not_requalified</x:v>
      </x:c>
      <x:c r="X99" s="16" t="str"/>
      <x:c r="Y99" s="16" t="str">
        <x:v>Олександр</x:v>
      </x:c>
      <x:c r="Z99" s="20" t="str"/>
      <x:c r="AA99" s="16" t="str"/>
    </x:row>
    <x:row r="100">
      <x:c r="A100" s="16" t="str">
        <x:v>V2-013</x:v>
      </x:c>
      <x:c r="B100" s="16" t="str">
        <x:v>Legacy 28</x:v>
      </x:c>
      <x:c r="C100" s="16" t="str">
        <x:v>ТОВ «УТЕМ СОЛАР»</x:v>
      </x:c>
      <x:c r="D100" s="16" t="str">
        <x:v>Сонячна енергетика</x:v>
      </x:c>
      <x:c r="E100" s="16" t="str">
        <x:v>Спеціалізований підрядник</x:v>
      </x:c>
      <x:c r="F100" s="16" t="str">
        <x:v>utem.org.ua</x:v>
      </x:c>
      <x:c r="G100" s="16" t="str">
        <x:v>Зараз — Н.15</x:v>
      </x:c>
      <x:c r="H100" s="17" t="str"/>
      <x:c r="I100" s="17" t="str"/>
      <x:c r="J100" s="17" t="str"/>
      <x:c r="K100" s="17" t="str"/>
      <x:c r="L100" s="17" t="str"/>
      <x:c r="M100" s="17" t="str"/>
      <x:c r="N100" s="17" t="str">
        <x:f>IF(COUNT(H100:M100)&lt;6,"",H100*6+I100*4+J100*3+K100*3+L100*3+M100)</x:f>
      </x:c>
      <x:c r="O100" s="19" t="str">
        <x:f>IF(N100="","Legacy",IF(AND(N100&gt;=84,H100&gt;=4,L100&gt;=4),"A",IF(AND(N100&gt;=70,H100&gt;=3),"B","C")))</x:f>
        <x:v>Legacy</x:v>
      </x:c>
      <x:c r="P100" s="16" t="str">
        <x:v>Потрібна повторна перевірка</x:v>
      </x:c>
      <x:c r="Q100" s="18" t="str">
        <x:v>Перевірити сайт, спеціалізацію та чинний проєкт перед контактом</x:v>
      </x:c>
      <x:c r="R100" s="18" t="str">
        <x:v>Власник / директор; керівник ПТО</x:v>
      </x:c>
      <x:c r="S100" s="18" t="str">
        <x:v>Legacy-запис: публічні докази потрібно оновити перед контактом.</x:v>
      </x:c>
      <x:c r="T100" s="18" t="str">
        <x:v>Уточнити, які приховані роботи закриваються до перевірки замовником.</x:v>
      </x:c>
      <x:c r="U100" s="18" t="str">
        <x:v>https://utem.org.ua</x:v>
      </x:c>
      <x:c r="V100" s="16" t="str"/>
      <x:c r="W100" s="16" t="str">
        <x:v>imported_not_requalified</x:v>
      </x:c>
      <x:c r="X100" s="16" t="str"/>
      <x:c r="Y100" s="16" t="str">
        <x:v>Олександр</x:v>
      </x:c>
      <x:c r="Z100" s="20" t="str"/>
      <x:c r="AA100" s="16" t="str"/>
    </x:row>
    <x:row r="101">
      <x:c r="A101" s="16" t="str">
        <x:v>V2-003</x:v>
      </x:c>
      <x:c r="B101" s="16" t="str">
        <x:v>Legacy 28</x:v>
      </x:c>
      <x:c r="C101" s="16" t="str">
        <x:v>ТОВ «ШІЛД-ФАЄР»</x:v>
      </x:c>
      <x:c r="D101" s="16" t="str">
        <x:v>Слаботочні системи</x:v>
      </x:c>
      <x:c r="E101" s="16" t="str">
        <x:v>Спеціалізований підрядник</x:v>
      </x:c>
      <x:c r="F101" s="16" t="str">
        <x:v>shieldfire.com.ua</x:v>
      </x:c>
      <x:c r="G101" s="16" t="str">
        <x:v>Перевірити — Н.15</x:v>
      </x:c>
      <x:c r="H101" s="17" t="str"/>
      <x:c r="I101" s="17" t="str"/>
      <x:c r="J101" s="17" t="str"/>
      <x:c r="K101" s="17" t="str"/>
      <x:c r="L101" s="17" t="str"/>
      <x:c r="M101" s="17" t="str"/>
      <x:c r="N101" s="17" t="str">
        <x:f>IF(COUNT(H101:M101)&lt;6,"",H101*6+I101*4+J101*3+K101*3+L101*3+M101)</x:f>
      </x:c>
      <x:c r="O101" s="19" t="str">
        <x:f>IF(N101="","Legacy",IF(AND(N101&gt;=84,H101&gt;=4,L101&gt;=4),"A",IF(AND(N101&gt;=70,H101&gt;=3),"B","C")))</x:f>
        <x:v>Legacy</x:v>
      </x:c>
      <x:c r="P101" s="16" t="str">
        <x:v>Потрібна повторна перевірка</x:v>
      </x:c>
      <x:c r="Q101" s="18" t="str">
        <x:v>Перевірити сайт, спеціалізацію та чинний проєкт перед контактом</x:v>
      </x:c>
      <x:c r="R101" s="18" t="str">
        <x:v>Власник / директор; керівник ПТО</x:v>
      </x:c>
      <x:c r="S101" s="18" t="str">
        <x:v>Legacy-запис: публічні докази потрібно оновити перед контактом.</x:v>
      </x:c>
      <x:c r="T101" s="18" t="str">
        <x:v>Уточнити, які приховані роботи закриваються до перевірки замовником.</x:v>
      </x:c>
      <x:c r="U101" s="18" t="str">
        <x:v>https://shieldfire.com.ua</x:v>
      </x:c>
      <x:c r="V101" s="16" t="str">
        <x:v>41034408</x:v>
      </x:c>
      <x:c r="W101" s="16" t="str">
        <x:v>imported_not_requalified</x:v>
      </x:c>
      <x:c r="X101" s="16" t="str"/>
      <x:c r="Y101" s="16" t="str">
        <x:v>Олександр</x:v>
      </x:c>
      <x:c r="Z101" s="20" t="str"/>
      <x:c r="AA101" s="16" t="str"/>
    </x:row>
    <x:row r="102">
      <x:c r="A102" s="16" t="str">
        <x:v>V2-028</x:v>
      </x:c>
      <x:c r="B102" s="16" t="str">
        <x:v>Legacy 28</x:v>
      </x:c>
      <x:c r="C102" s="16" t="str">
        <x:v>ТОВАРИСТВО З ОБМЕЖЕНОЮ ВІДПОВІДАЛЬНІСТЮ "ВБ СТРАЖ"</x:v>
      </x:c>
      <x:c r="D102" s="16" t="str">
        <x:v>Слаботочні системи</x:v>
      </x:c>
      <x:c r="E102" s="16" t="str">
        <x:v>Спеціалізований підрядник</x:v>
      </x:c>
      <x:c r="F102" s="16" t="str">
        <x:v>vb-strag.com.ua</x:v>
      </x:c>
      <x:c r="G102" s="16" t="str">
        <x:v>Перевірити — Н.15</x:v>
      </x:c>
      <x:c r="H102" s="17" t="str"/>
      <x:c r="I102" s="17" t="str"/>
      <x:c r="J102" s="17" t="str"/>
      <x:c r="K102" s="17" t="str"/>
      <x:c r="L102" s="17" t="str"/>
      <x:c r="M102" s="17" t="str"/>
      <x:c r="N102" s="17" t="str">
        <x:f>IF(COUNT(H102:M102)&lt;6,"",H102*6+I102*4+J102*3+K102*3+L102*3+M102)</x:f>
      </x:c>
      <x:c r="O102" s="19" t="str">
        <x:f>IF(N102="","Legacy",IF(AND(N102&gt;=84,H102&gt;=4,L102&gt;=4),"A",IF(AND(N102&gt;=70,H102&gt;=3),"B","C")))</x:f>
        <x:v>Legacy</x:v>
      </x:c>
      <x:c r="P102" s="16" t="str">
        <x:v>Потрібна повторна перевірка</x:v>
      </x:c>
      <x:c r="Q102" s="18" t="str">
        <x:v>Перевірити сайт, спеціалізацію та чинний проєкт перед контактом</x:v>
      </x:c>
      <x:c r="R102" s="18" t="str">
        <x:v>Власник / директор; керівник ПТО</x:v>
      </x:c>
      <x:c r="S102" s="18" t="str">
        <x:v>Legacy-запис: публічні докази потрібно оновити перед контактом.</x:v>
      </x:c>
      <x:c r="T102" s="18" t="str">
        <x:v>Уточнити, які приховані роботи закриваються до перевірки замовником.</x:v>
      </x:c>
      <x:c r="U102" s="18" t="str">
        <x:v>https://vb-strag.com.ua</x:v>
      </x:c>
      <x:c r="V102" s="16" t="str">
        <x:v>43046609</x:v>
      </x:c>
      <x:c r="W102" s="16" t="str">
        <x:v>imported_not_requalified</x:v>
      </x:c>
      <x:c r="X102" s="16" t="str"/>
      <x:c r="Y102" s="16" t="str">
        <x:v>Олександр</x:v>
      </x:c>
      <x:c r="Z102" s="20" t="str"/>
      <x:c r="AA102" s="16" t="str"/>
    </x:row>
    <x:row r="103">
      <x:c r="A103" s="16" t="str">
        <x:v>V2-025</x:v>
      </x:c>
      <x:c r="B103" s="16" t="str">
        <x:v>Legacy 28</x:v>
      </x:c>
      <x:c r="C103" s="16" t="str">
        <x:v>ТОВАРИСТВО З ОБМЕЖЕНОЮ ВІДПОВІДАЛЬНІСТЮ "НІК"</x:v>
      </x:c>
      <x:c r="D103" s="16" t="str">
        <x:v>Електромонтаж</x:v>
      </x:c>
      <x:c r="E103" s="16" t="str">
        <x:v>Спеціалізований підрядник</x:v>
      </x:c>
      <x:c r="F103" s="16" t="str">
        <x:v>nik.net.ua</x:v>
      </x:c>
      <x:c r="G103" s="16" t="str">
        <x:v>Зараз — Н.15</x:v>
      </x:c>
      <x:c r="H103" s="17" t="str"/>
      <x:c r="I103" s="17" t="str"/>
      <x:c r="J103" s="17" t="str"/>
      <x:c r="K103" s="17" t="str"/>
      <x:c r="L103" s="17" t="str"/>
      <x:c r="M103" s="17" t="str"/>
      <x:c r="N103" s="17" t="str">
        <x:f>IF(COUNT(H103:M103)&lt;6,"",H103*6+I103*4+J103*3+K103*3+L103*3+M103)</x:f>
      </x:c>
      <x:c r="O103" s="19" t="str">
        <x:f>IF(N103="","Legacy",IF(AND(N103&gt;=84,H103&gt;=4,L103&gt;=4),"A",IF(AND(N103&gt;=70,H103&gt;=3),"B","C")))</x:f>
        <x:v>Legacy</x:v>
      </x:c>
      <x:c r="P103" s="16" t="str">
        <x:v>Потрібна повторна перевірка</x:v>
      </x:c>
      <x:c r="Q103" s="18" t="str">
        <x:v>Перевірити сайт, спеціалізацію та чинний проєкт перед контактом</x:v>
      </x:c>
      <x:c r="R103" s="18" t="str">
        <x:v>Власник / директор; керівник ПТО</x:v>
      </x:c>
      <x:c r="S103" s="18" t="str">
        <x:v>Legacy-запис: публічні докази потрібно оновити перед контактом.</x:v>
      </x:c>
      <x:c r="T103" s="18" t="str">
        <x:v>Уточнити, які приховані роботи закриваються до перевірки замовником.</x:v>
      </x:c>
      <x:c r="U103" s="18" t="str">
        <x:v>https://nik.net.ua</x:v>
      </x:c>
      <x:c r="V103" s="16" t="str">
        <x:v>31305795</x:v>
      </x:c>
      <x:c r="W103" s="16" t="str">
        <x:v>imported_not_requalified</x:v>
      </x:c>
      <x:c r="X103" s="16" t="str"/>
      <x:c r="Y103" s="16" t="str">
        <x:v>Олександр</x:v>
      </x:c>
      <x:c r="Z103" s="20" t="str"/>
      <x:c r="AA103" s="16" t="str"/>
    </x:row>
    <x:row r="104">
      <x:c r="A104" s="16" t="str">
        <x:v>V2-014</x:v>
      </x:c>
      <x:c r="B104" s="16" t="str">
        <x:v>Legacy 28</x:v>
      </x:c>
      <x:c r="C104" s="16" t="str">
        <x:v>DELA ENERGY GROUP</x:v>
      </x:c>
      <x:c r="D104" s="16" t="str">
        <x:v>Сонячна енергетика</x:v>
      </x:c>
      <x:c r="E104" s="16" t="str">
        <x:v>Спеціалізований підрядник</x:v>
      </x:c>
      <x:c r="F104" s="16" t="str">
        <x:v>delaenergy.systems</x:v>
      </x:c>
      <x:c r="G104" s="16" t="str">
        <x:v>Зараз — Н.15</x:v>
      </x:c>
      <x:c r="H104" s="17" t="str"/>
      <x:c r="I104" s="17" t="str"/>
      <x:c r="J104" s="17" t="str"/>
      <x:c r="K104" s="17" t="str"/>
      <x:c r="L104" s="17" t="str"/>
      <x:c r="M104" s="17" t="str"/>
      <x:c r="N104" s="17" t="str">
        <x:f>IF(COUNT(H104:M104)&lt;6,"",H104*6+I104*4+J104*3+K104*3+L104*3+M104)</x:f>
      </x:c>
      <x:c r="O104" s="19" t="str">
        <x:f>IF(N104="","Legacy",IF(AND(N104&gt;=84,H104&gt;=4,L104&gt;=4),"A",IF(AND(N104&gt;=70,H104&gt;=3),"B","C")))</x:f>
        <x:v>Legacy</x:v>
      </x:c>
      <x:c r="P104" s="16" t="str">
        <x:v>Потрібна повторна перевірка</x:v>
      </x:c>
      <x:c r="Q104" s="18" t="str">
        <x:v>Перевірити сайт, спеціалізацію та чинний проєкт перед контактом</x:v>
      </x:c>
      <x:c r="R104" s="18" t="str">
        <x:v>Власник / директор; керівник ПТО</x:v>
      </x:c>
      <x:c r="S104" s="18" t="str">
        <x:v>Legacy-запис: публічні докази потрібно оновити перед контактом.</x:v>
      </x:c>
      <x:c r="T104" s="18" t="str">
        <x:v>Уточнити, які приховані роботи закриваються до перевірки замовником.</x:v>
      </x:c>
      <x:c r="U104" s="18" t="str">
        <x:v>https://delaenergy.systems</x:v>
      </x:c>
      <x:c r="V104" s="16" t="str">
        <x:v>43674904</x:v>
      </x:c>
      <x:c r="W104" s="16" t="str">
        <x:v>imported_not_requalified</x:v>
      </x:c>
      <x:c r="X104" s="16" t="str"/>
      <x:c r="Y104" s="16" t="str">
        <x:v>Олександр</x:v>
      </x:c>
      <x:c r="Z104" s="20" t="str"/>
      <x:c r="AA104" s="16" t="str"/>
    </x:row>
    <x:row r="105">
      <x:c r="A105" s="16" t="str">
        <x:v>V2-021</x:v>
      </x:c>
      <x:c r="B105" s="16" t="str">
        <x:v>Legacy 28</x:v>
      </x:c>
      <x:c r="C105" s="16" t="str">
        <x:v>REC SECURITY LLC</x:v>
      </x:c>
      <x:c r="D105" s="16" t="str">
        <x:v>Слаботочні системи</x:v>
      </x:c>
      <x:c r="E105" s="16" t="str">
        <x:v>Спеціалізований підрядник</x:v>
      </x:c>
      <x:c r="F105" s="16" t="str">
        <x:v>rec-security.com.ua</x:v>
      </x:c>
      <x:c r="G105" s="16" t="str">
        <x:v>Перевірити — Н.15</x:v>
      </x:c>
      <x:c r="H105" s="17" t="str"/>
      <x:c r="I105" s="17" t="str"/>
      <x:c r="J105" s="17" t="str"/>
      <x:c r="K105" s="17" t="str"/>
      <x:c r="L105" s="17" t="str"/>
      <x:c r="M105" s="17" t="str"/>
      <x:c r="N105" s="17" t="str">
        <x:f>IF(COUNT(H105:M105)&lt;6,"",H105*6+I105*4+J105*3+K105*3+L105*3+M105)</x:f>
      </x:c>
      <x:c r="O105" s="19" t="str">
        <x:f>IF(N105="","Legacy",IF(AND(N105&gt;=84,H105&gt;=4,L105&gt;=4),"A",IF(AND(N105&gt;=70,H105&gt;=3),"B","C")))</x:f>
        <x:v>Legacy</x:v>
      </x:c>
      <x:c r="P105" s="16" t="str">
        <x:v>Потрібна повторна перевірка</x:v>
      </x:c>
      <x:c r="Q105" s="18" t="str">
        <x:v>Перевірити сайт, спеціалізацію та чинний проєкт перед контактом</x:v>
      </x:c>
      <x:c r="R105" s="18" t="str">
        <x:v>Власник / директор; керівник ПТО</x:v>
      </x:c>
      <x:c r="S105" s="18" t="str">
        <x:v>Legacy-запис: публічні докази потрібно оновити перед контактом.</x:v>
      </x:c>
      <x:c r="T105" s="18" t="str">
        <x:v>Уточнити, які приховані роботи закриваються до перевірки замовником.</x:v>
      </x:c>
      <x:c r="U105" s="18" t="str">
        <x:v>https://rec-security.com.ua</x:v>
      </x:c>
      <x:c r="V105" s="16" t="str">
        <x:v>44731360</x:v>
      </x:c>
      <x:c r="W105" s="16" t="str">
        <x:v>imported_not_requalified</x:v>
      </x:c>
      <x:c r="X105" s="16" t="str"/>
      <x:c r="Y105" s="16" t="str">
        <x:v>Олександр</x:v>
      </x:c>
      <x:c r="Z105" s="20" t="str"/>
      <x:c r="AA105" s="16" t="str"/>
    </x:row>
    <x:row r="106">
      <x:c r="Z106" s="21"/>
    </x:row>
    <x:row r="107">
      <x:c r="Z107" s="21"/>
    </x:row>
    <x:row r="108">
      <x:c r="Z108" s="21"/>
    </x:row>
    <x:row r="109">
      <x:c r="Z109" s="21"/>
    </x:row>
    <x:row r="110">
      <x:c r="Z110" s="21"/>
    </x:row>
    <x:row r="111">
      <x:c r="Z111" s="21"/>
    </x:row>
    <x:row r="112">
      <x:c r="Z112" s="21"/>
    </x:row>
    <x:row r="113">
      <x:c r="Z113" s="21"/>
    </x:row>
    <x:row r="114">
      <x:c r="Z114" s="21"/>
    </x:row>
    <x:row r="115">
      <x:c r="Z115" s="21"/>
    </x:row>
    <x:row r="116">
      <x:c r="Z116" s="21"/>
    </x:row>
    <x:row r="117">
      <x:c r="Z117" s="21"/>
    </x:row>
    <x:row r="118">
      <x:c r="Z118" s="21"/>
    </x:row>
    <x:row r="119">
      <x:c r="Z119" s="21"/>
    </x:row>
    <x:row r="120">
      <x:c r="Z120" s="21"/>
    </x:row>
    <x:row r="121">
      <x:c r="Z121" s="21"/>
    </x:row>
    <x:row r="122">
      <x:c r="Z122" s="21"/>
    </x:row>
    <x:row r="123">
      <x:c r="Z123" s="21"/>
    </x:row>
    <x:row r="124">
      <x:c r="Z124" s="21"/>
    </x:row>
    <x:row r="125">
      <x:c r="Z125" s="21"/>
    </x:row>
    <x:row r="126">
      <x:c r="Z126" s="21"/>
    </x:row>
    <x:row r="127">
      <x:c r="Z127" s="21"/>
    </x:row>
    <x:row r="128">
      <x:c r="Z128" s="21"/>
    </x:row>
    <x:row r="129">
      <x:c r="Z129" s="21"/>
    </x:row>
    <x:row r="130">
      <x:c r="Z130" s="21"/>
    </x:row>
    <x:row r="131">
      <x:c r="Z131" s="21"/>
    </x:row>
    <x:row r="132">
      <x:c r="Z132" s="21"/>
    </x:row>
    <x:row r="133">
      <x:c r="Z133" s="21"/>
    </x:row>
    <x:row r="134">
      <x:c r="Z134" s="21"/>
    </x:row>
    <x:row r="135">
      <x:c r="Z135" s="21"/>
    </x:row>
    <x:row r="136">
      <x:c r="Z136" s="21"/>
    </x:row>
    <x:row r="137">
      <x:c r="Z137" s="21"/>
    </x:row>
    <x:row r="138">
      <x:c r="Z138" s="21"/>
    </x:row>
    <x:row r="139">
      <x:c r="Z139" s="21"/>
    </x:row>
    <x:row r="140">
      <x:c r="Z140" s="21"/>
    </x:row>
    <x:row r="141">
      <x:c r="Z141" s="21"/>
    </x:row>
    <x:row r="142">
      <x:c r="Z142" s="21"/>
    </x:row>
    <x:row r="143">
      <x:c r="Z143" s="21"/>
    </x:row>
    <x:row r="144">
      <x:c r="Z144" s="21"/>
    </x:row>
    <x:row r="145">
      <x:c r="Z145" s="21"/>
    </x:row>
    <x:row r="146">
      <x:c r="Z146" s="21"/>
    </x:row>
    <x:row r="147">
      <x:c r="Z147" s="21"/>
    </x:row>
    <x:row r="148">
      <x:c r="Z148" s="21"/>
    </x:row>
    <x:row r="149">
      <x:c r="Z149" s="21"/>
    </x:row>
    <x:row r="150">
      <x:c r="Z150" s="21"/>
    </x:row>
    <x:row r="151">
      <x:c r="Z151" s="21"/>
    </x:row>
    <x:row r="152">
      <x:c r="Z152" s="21"/>
    </x:row>
    <x:row r="153">
      <x:c r="Z153" s="21"/>
    </x:row>
    <x:row r="154">
      <x:c r="Z154" s="21"/>
    </x:row>
    <x:row r="155">
      <x:c r="Z155" s="21"/>
    </x:row>
    <x:row r="156">
      <x:c r="Z156" s="21"/>
    </x:row>
    <x:row r="157">
      <x:c r="Z157" s="21"/>
    </x:row>
    <x:row r="158">
      <x:c r="Z158" s="21"/>
    </x:row>
    <x:row r="159">
      <x:c r="Z159" s="21"/>
    </x:row>
    <x:row r="160">
      <x:c r="Z160" s="21"/>
    </x:row>
    <x:row r="161">
      <x:c r="Z161" s="21"/>
    </x:row>
    <x:row r="162">
      <x:c r="Z162" s="21"/>
    </x:row>
    <x:row r="163">
      <x:c r="Z163" s="21"/>
    </x:row>
    <x:row r="164">
      <x:c r="Z164" s="21"/>
    </x:row>
    <x:row r="165">
      <x:c r="Z165" s="21"/>
    </x:row>
    <x:row r="166">
      <x:c r="Z166" s="21"/>
    </x:row>
    <x:row r="167">
      <x:c r="Z167" s="21"/>
    </x:row>
    <x:row r="168">
      <x:c r="Z168" s="21"/>
    </x:row>
    <x:row r="169">
      <x:c r="Z169" s="21"/>
    </x:row>
    <x:row r="170">
      <x:c r="Z170" s="21"/>
    </x:row>
    <x:row r="171">
      <x:c r="Z171" s="21"/>
    </x:row>
    <x:row r="172">
      <x:c r="Z172" s="21"/>
    </x:row>
    <x:row r="173">
      <x:c r="Z173" s="21"/>
    </x:row>
    <x:row r="174">
      <x:c r="Z174" s="21"/>
    </x:row>
    <x:row r="175">
      <x:c r="Z175" s="21"/>
    </x:row>
    <x:row r="176">
      <x:c r="Z176" s="21"/>
    </x:row>
    <x:row r="177">
      <x:c r="Z177" s="21"/>
    </x:row>
    <x:row r="178">
      <x:c r="Z178" s="21"/>
    </x:row>
    <x:row r="179">
      <x:c r="Z179" s="21"/>
    </x:row>
    <x:row r="180">
      <x:c r="Z180" s="21"/>
    </x:row>
    <x:row r="181">
      <x:c r="Z181" s="21"/>
    </x:row>
    <x:row r="182">
      <x:c r="Z182" s="21"/>
    </x:row>
    <x:row r="183">
      <x:c r="Z183" s="21"/>
    </x:row>
    <x:row r="184">
      <x:c r="Z184" s="21"/>
    </x:row>
    <x:row r="185">
      <x:c r="Z185" s="21"/>
    </x:row>
    <x:row r="186">
      <x:c r="Z186" s="21"/>
    </x:row>
    <x:row r="187">
      <x:c r="Z187" s="21"/>
    </x:row>
    <x:row r="188">
      <x:c r="Z188" s="21"/>
    </x:row>
    <x:row r="189">
      <x:c r="Z189" s="21"/>
    </x:row>
    <x:row r="190">
      <x:c r="Z190" s="21"/>
    </x:row>
    <x:row r="191">
      <x:c r="Z191" s="21"/>
    </x:row>
    <x:row r="192">
      <x:c r="Z192" s="21"/>
    </x:row>
    <x:row r="193">
      <x:c r="Z193" s="21"/>
    </x:row>
    <x:row r="194">
      <x:c r="Z194" s="21"/>
    </x:row>
    <x:row r="195">
      <x:c r="Z195" s="21"/>
    </x:row>
    <x:row r="196">
      <x:c r="Z196" s="21"/>
    </x:row>
    <x:row r="197">
      <x:c r="Z197" s="21"/>
    </x:row>
    <x:row r="198">
      <x:c r="Z198" s="21"/>
    </x:row>
    <x:row r="199">
      <x:c r="Z199" s="21"/>
    </x:row>
    <x:row r="200">
      <x:c r="Z200" s="21"/>
    </x:row>
    <x:row r="201">
      <x:c r="Z201" s="21"/>
    </x:row>
    <x:row r="202">
      <x:c r="Z202" s="21"/>
    </x:row>
    <x:row r="203">
      <x:c r="Z203" s="21"/>
    </x:row>
    <x:row r="204">
      <x:c r="Z204" s="21"/>
    </x:row>
    <x:row r="205">
      <x:c r="Z205" s="21"/>
    </x:row>
    <x:row r="206">
      <x:c r="Z206" s="21"/>
    </x:row>
    <x:row r="207">
      <x:c r="Z207" s="21"/>
    </x:row>
    <x:row r="208">
      <x:c r="Z208" s="21"/>
    </x:row>
    <x:row r="209">
      <x:c r="Z209" s="21"/>
    </x:row>
    <x:row r="210">
      <x:c r="Z210" s="21"/>
    </x:row>
    <x:row r="211">
      <x:c r="Z211" s="21"/>
    </x:row>
    <x:row r="212">
      <x:c r="Z212" s="21"/>
    </x:row>
    <x:row r="213">
      <x:c r="Z213" s="21"/>
    </x:row>
    <x:row r="214">
      <x:c r="Z214" s="21"/>
    </x:row>
    <x:row r="215">
      <x:c r="Z215" s="21"/>
    </x:row>
    <x:row r="216">
      <x:c r="Z216" s="21"/>
    </x:row>
    <x:row r="217">
      <x:c r="Z217" s="21"/>
    </x:row>
    <x:row r="218">
      <x:c r="Z218" s="21"/>
    </x:row>
    <x:row r="219">
      <x:c r="Z219" s="21"/>
    </x:row>
    <x:row r="220">
      <x:c r="Z220" s="21"/>
    </x:row>
    <x:row r="221">
      <x:c r="Z221" s="21"/>
    </x:row>
    <x:row r="222">
      <x:c r="Z222" s="21"/>
    </x:row>
    <x:row r="223">
      <x:c r="Z223" s="21"/>
    </x:row>
    <x:row r="224">
      <x:c r="Z224" s="21"/>
    </x:row>
    <x:row r="225">
      <x:c r="Z225" s="21"/>
    </x:row>
    <x:row r="226">
      <x:c r="Z226" s="21"/>
    </x:row>
    <x:row r="227">
      <x:c r="Z227" s="21"/>
    </x:row>
    <x:row r="228">
      <x:c r="Z228" s="21"/>
    </x:row>
    <x:row r="229">
      <x:c r="Z229" s="21"/>
    </x:row>
    <x:row r="230">
      <x:c r="Z230" s="21"/>
    </x:row>
    <x:row r="231">
      <x:c r="Z231" s="21"/>
    </x:row>
    <x:row r="232">
      <x:c r="Z232" s="21"/>
    </x:row>
    <x:row r="233">
      <x:c r="Z233" s="21"/>
    </x:row>
    <x:row r="234">
      <x:c r="Z234" s="21"/>
    </x:row>
    <x:row r="235">
      <x:c r="Z235" s="21"/>
    </x:row>
    <x:row r="236">
      <x:c r="Z236" s="21"/>
    </x:row>
    <x:row r="237">
      <x:c r="Z237" s="21"/>
    </x:row>
    <x:row r="238">
      <x:c r="Z238" s="21"/>
    </x:row>
    <x:row r="239">
      <x:c r="Z239" s="21"/>
    </x:row>
    <x:row r="240">
      <x:c r="Z240" s="21"/>
    </x:row>
    <x:row r="241">
      <x:c r="Z241" s="21"/>
    </x:row>
    <x:row r="242">
      <x:c r="Z242" s="21"/>
    </x:row>
    <x:row r="243">
      <x:c r="Z243" s="21"/>
    </x:row>
    <x:row r="244">
      <x:c r="Z244" s="21"/>
    </x:row>
    <x:row r="245">
      <x:c r="Z245" s="21"/>
    </x:row>
    <x:row r="246">
      <x:c r="Z246" s="21"/>
    </x:row>
    <x:row r="247">
      <x:c r="Z247" s="21"/>
    </x:row>
    <x:row r="248">
      <x:c r="Z248" s="21"/>
    </x:row>
    <x:row r="249">
      <x:c r="Z249" s="21"/>
    </x:row>
    <x:row r="250">
      <x:c r="Z250" s="21"/>
    </x:row>
    <x:row r="251">
      <x:c r="Z251" s="21"/>
    </x:row>
    <x:row r="252">
      <x:c r="Z252" s="21"/>
    </x:row>
    <x:row r="253">
      <x:c r="Z253" s="21"/>
    </x:row>
    <x:row r="254">
      <x:c r="Z254" s="21"/>
    </x:row>
    <x:row r="255">
      <x:c r="Z255" s="21"/>
    </x:row>
    <x:row r="256">
      <x:c r="Z256" s="21"/>
    </x:row>
    <x:row r="257">
      <x:c r="Z257" s="21"/>
    </x:row>
    <x:row r="258">
      <x:c r="Z258" s="21"/>
    </x:row>
    <x:row r="259">
      <x:c r="Z259" s="21"/>
    </x:row>
    <x:row r="260">
      <x:c r="Z260" s="21"/>
    </x:row>
    <x:row r="261">
      <x:c r="Z261" s="21"/>
    </x:row>
    <x:row r="262">
      <x:c r="Z262" s="21"/>
    </x:row>
    <x:row r="263">
      <x:c r="Z263" s="21"/>
    </x:row>
    <x:row r="264">
      <x:c r="Z264" s="21"/>
    </x:row>
    <x:row r="265">
      <x:c r="Z265" s="21"/>
    </x:row>
    <x:row r="266">
      <x:c r="Z266" s="21"/>
    </x:row>
    <x:row r="267">
      <x:c r="Z267" s="21"/>
    </x:row>
    <x:row r="268">
      <x:c r="Z268" s="21"/>
    </x:row>
    <x:row r="269">
      <x:c r="Z269" s="21"/>
    </x:row>
    <x:row r="270">
      <x:c r="Z270" s="21"/>
    </x:row>
    <x:row r="271">
      <x:c r="Z271" s="21"/>
    </x:row>
    <x:row r="272">
      <x:c r="Z272" s="21"/>
    </x:row>
    <x:row r="273">
      <x:c r="Z273" s="21"/>
    </x:row>
    <x:row r="274">
      <x:c r="Z274" s="21"/>
    </x:row>
    <x:row r="275">
      <x:c r="Z275" s="21"/>
    </x:row>
    <x:row r="276">
      <x:c r="Z276" s="21"/>
    </x:row>
    <x:row r="277">
      <x:c r="Z277" s="21"/>
    </x:row>
    <x:row r="278">
      <x:c r="Z278" s="21"/>
    </x:row>
    <x:row r="279">
      <x:c r="Z279" s="21"/>
    </x:row>
    <x:row r="280">
      <x:c r="Z280" s="21"/>
    </x:row>
    <x:row r="281">
      <x:c r="Z281" s="21"/>
    </x:row>
    <x:row r="282">
      <x:c r="Z282" s="21"/>
    </x:row>
    <x:row r="283">
      <x:c r="Z283" s="21"/>
    </x:row>
    <x:row r="284">
      <x:c r="Z284" s="21"/>
    </x:row>
    <x:row r="285">
      <x:c r="Z285" s="21"/>
    </x:row>
    <x:row r="286">
      <x:c r="Z286" s="21"/>
    </x:row>
    <x:row r="287">
      <x:c r="Z287" s="21"/>
    </x:row>
    <x:row r="288">
      <x:c r="Z288" s="21"/>
    </x:row>
    <x:row r="289">
      <x:c r="Z289" s="21"/>
    </x:row>
    <x:row r="290">
      <x:c r="Z290" s="21"/>
    </x:row>
    <x:row r="291">
      <x:c r="Z291" s="21"/>
    </x:row>
    <x:row r="292">
      <x:c r="Z292" s="21"/>
    </x:row>
    <x:row r="293">
      <x:c r="Z293" s="21"/>
    </x:row>
    <x:row r="294">
      <x:c r="Z294" s="21"/>
    </x:row>
    <x:row r="295">
      <x:c r="Z295" s="21"/>
    </x:row>
    <x:row r="296">
      <x:c r="Z296" s="21"/>
    </x:row>
    <x:row r="297">
      <x:c r="Z297" s="21"/>
    </x:row>
    <x:row r="298">
      <x:c r="Z298" s="21"/>
    </x:row>
    <x:row r="299">
      <x:c r="Z299" s="21"/>
    </x:row>
    <x:row r="300">
      <x:c r="Z300" s="21"/>
    </x:row>
    <x:row r="301">
      <x:c r="Z301" s="21"/>
    </x:row>
    <x:row r="302">
      <x:c r="Z302" s="21"/>
    </x:row>
    <x:row r="303">
      <x:c r="Z303" s="21"/>
    </x:row>
    <x:row r="304">
      <x:c r="Z304" s="21"/>
    </x:row>
    <x:row r="305">
      <x:c r="Z305" s="21"/>
    </x:row>
  </x:sheetData>
  <x:mergeCells>
    <x:mergeCell ref="A1:AA1"/>
    <x:mergeCell ref="A3:AA3"/>
  </x:mergeCells>
  <x:conditionalFormatting sqref="N5:N105">
    <x:cfRule type="colorScale" priority="1">
      <x:colorScale>
        <x:cfvo type="min"/>
        <x:cfvo type="percentile" val="50"/>
        <x:cfvo type="max"/>
        <x:color rgb="FFFDECEC"/>
        <x:color rgb="FFFFF4D6"/>
        <x:color rgb="FFE9F7ED"/>
      </x:colorScale>
    </x:cfRule>
  </x:conditionalFormatting>
  <x:conditionalFormatting sqref="O5:O105">
    <x:cfRule type="containsText" dxfId="0" priority="2" operator="containsText" text="A"/>
    <x:cfRule type="containsText" dxfId="1" priority="3" operator="containsText" text="B"/>
    <x:cfRule type="containsText" dxfId="2" priority="4" operator="containsText" text="C"/>
  </x:conditionalFormatting>
  <x:dataValidations count="1">
    <x:dataValidation type="list" sqref="P5:P305">
      <x:formula1>"Новий — не контактували,Потрібна повторна перевірка,Надіслано 28.07 — follow-up,Відповів,Кваліфікаційна розмова,Пілот запропоновано,Пілот погоджено,Не зараз,Не fit"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cf507fe6984f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Безкоштовний design-partner пілот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30–45 днів • один реальний проєкт • без ліцензійної плати • чесне обмеження поточного покриття Н.14 / Н.15</x:v>
      </x:c>
      <x:c r="B2" s="5"/>
      <x:c r="C2" s="5"/>
      <x:c r="D2" s="5"/>
      <x:c r="E2" s="5"/>
      <x:c r="F2" s="5"/>
      <x:c r="G2" s="5"/>
      <x:c r="H2" s="5"/>
    </x:row>
    <x:row r="4">
      <x:c r="A4" s="25" t="str">
        <x:v>Пропозиція</x:v>
      </x:c>
      <x:c r="B4" s="25"/>
      <x:c r="C4" s="25"/>
      <x:c r="D4" s="25"/>
      <x:c r="E4" s="25"/>
      <x:c r="F4" s="25"/>
      <x:c r="G4" s="25"/>
      <x:c r="H4" s="25"/>
    </x:row>
    <x:row r="5">
      <x:c r="A5" s="56" t="str">
        <x:v>GoProceed допомагає спеціалізованій бригаді підготувати виконану роботу до приймання: зібрати фото, прив’язати їх до вимог і передати рев’юеру одну захищену сторінку без створення акаунта. Пілот безкоштовний, бо нам потрібен спільний доказ цінності на реальному процесі, а не “тест системи” без відповідальності.</x:v>
      </x:c>
      <x:c r="B5" s="56"/>
      <x:c r="C5" s="56"/>
      <x:c r="D5" s="56"/>
      <x:c r="E5" s="56"/>
      <x:c r="F5" s="56"/>
      <x:c r="G5" s="56"/>
      <x:c r="H5" s="56"/>
    </x:row>
    <x:row r="6">
      <x:c r="A6" s="56"/>
      <x:c r="B6" s="56"/>
      <x:c r="C6" s="56"/>
      <x:c r="D6" s="56"/>
      <x:c r="E6" s="56"/>
      <x:c r="F6" s="56"/>
      <x:c r="G6" s="56"/>
      <x:c r="H6" s="56"/>
    </x:row>
    <x:row r="7">
      <x:c r="A7" s="56"/>
      <x:c r="B7" s="56"/>
      <x:c r="C7" s="56"/>
      <x:c r="D7" s="56"/>
      <x:c r="E7" s="56"/>
      <x:c r="F7" s="56"/>
      <x:c r="G7" s="56"/>
      <x:c r="H7" s="56"/>
    </x:row>
    <x:row r="9">
      <x:c r="A9" s="25" t="str">
        <x:v>Вхідні умови</x:v>
      </x:c>
      <x:c r="B9" s="25"/>
      <x:c r="C9" s="25"/>
      <x:c r="D9" s="25"/>
      <x:c r="E9" s="25" t="str">
        <x:v>Що входить</x:v>
      </x:c>
      <x:c r="F9" s="25"/>
      <x:c r="G9" s="25"/>
      <x:c r="H9" s="25"/>
    </x:row>
    <x:row r="10" ht="32" customHeight="1">
      <x:c r="A10" s="57" t="str">
        <x:v>• Один активний проєкт з внутрішніми сантехнічними / HVAC або електромонтажними роботами.</x:v>
      </x:c>
      <x:c r="B10" s="57"/>
      <x:c r="C10" s="57"/>
      <x:c r="D10" s="57"/>
      <x:c r="E10" s="57" t="str">
        <x:v>• Налаштування одного пілотного процесу та короткий onboarding.</x:v>
      </x:c>
      <x:c r="F10" s="57"/>
      <x:c r="G10" s="57"/>
      <x:c r="H10" s="57"/>
    </x:row>
    <x:row r="11" ht="32" customHeight="1">
      <x:c r="A11" s="57" t="str">
        <x:v>• Названий спонсор з боку компанії та відповідальні ПТО, майстер і рев’юер.</x:v>
      </x:c>
      <x:c r="B11" s="57"/>
      <x:c r="C11" s="57"/>
      <x:c r="D11" s="57"/>
      <x:c r="E11" s="57" t="str">
        <x:v>• Персональні посилання рев’юеру без пароля / реєстрації.</x:v>
      </x:c>
      <x:c r="F11" s="57"/>
      <x:c r="G11" s="57"/>
      <x:c r="H11" s="57"/>
    </x:row>
    <x:row r="12" ht="32" customHeight="1">
      <x:c r="A12" s="57" t="str">
        <x:v>• Один реальний анонімізований акт/АВР або приклад пакета доказів до старту.</x:v>
      </x:c>
      <x:c r="B12" s="57"/>
      <x:c r="C12" s="57"/>
      <x:c r="D12" s="57"/>
      <x:c r="E12" s="57" t="str">
        <x:v>• Щотижневий розбір вузьких місць і ручна підтримка засновника.</x:v>
      </x:c>
      <x:c r="F12" s="57"/>
      <x:c r="G12" s="57"/>
      <x:c r="H12" s="57"/>
    </x:row>
    <x:row r="13" ht="32" customHeight="1">
      <x:c r="A13" s="57" t="str">
        <x:v>• 30 хв щотижня на розбір фактичного процесу.</x:v>
      </x:c>
      <x:c r="B13" s="57"/>
      <x:c r="C13" s="57"/>
      <x:c r="D13" s="57"/>
      <x:c r="E13" s="57" t="str">
        <x:v>• Базові метрики до/після та фінальний висновок про цінність.</x:v>
      </x:c>
      <x:c r="F13" s="57"/>
      <x:c r="G13" s="57"/>
      <x:c r="H13" s="57"/>
    </x:row>
    <x:row r="14" ht="32" customHeight="1">
      <x:c r="A14" s="57" t="str">
        <x:v>• Дозвіл фіксувати агреговані метрики без розкриття комерційної інформації.</x:v>
      </x:c>
      <x:c r="B14" s="57"/>
      <x:c r="C14" s="57"/>
      <x:c r="D14" s="57"/>
      <x:c r="E14" s="57" t="str">
        <x:v>• Пріоритетне виправлення блокуючих дефектів у межах погодженого сценарію.</x:v>
      </x:c>
      <x:c r="F14" s="57"/>
      <x:c r="G14" s="57"/>
      <x:c r="H14" s="57"/>
    </x:row>
    <x:row r="15" ht="32" customHeight="1">
      <x:c r="A15" s="58" t="str">
        <x:v>• Рішення go / no-go наприкінці 30–45 днів.</x:v>
      </x:c>
      <x:c r="B15" s="58"/>
      <x:c r="C15" s="58"/>
      <x:c r="D15" s="58"/>
      <x:c r="E15" s="58" t="str">
        <x:v>• Без ліцензійної плати; інтеграції та кастомна розробка не обіцяються.</x:v>
      </x:c>
      <x:c r="F15" s="58"/>
      <x:c r="G15" s="58"/>
      <x:c r="H15" s="58"/>
    </x:row>
    <x:row r="17">
      <x:c r="A17" s="25" t="str">
        <x:v>Метрики успіху</x:v>
      </x:c>
      <x:c r="B17" s="25"/>
      <x:c r="C17" s="25"/>
      <x:c r="D17" s="25"/>
      <x:c r="E17" s="25" t="str">
        <x:v>Стоп-умови</x:v>
      </x:c>
      <x:c r="F17" s="25"/>
      <x:c r="G17" s="25"/>
      <x:c r="H17" s="25"/>
    </x:row>
    <x:row r="18" ht="31" customHeight="1">
      <x:c r="A18" s="57" t="str">
        <x:v>1. Частка робіт, прийнятих з першого перегляду.</x:v>
      </x:c>
      <x:c r="B18" s="57"/>
      <x:c r="C18" s="57"/>
      <x:c r="D18" s="57"/>
      <x:c r="E18" s="57" t="str">
        <x:v>• Немає активного проєкту або названого спонсора.</x:v>
      </x:c>
      <x:c r="F18" s="57"/>
      <x:c r="G18" s="57"/>
      <x:c r="H18" s="57"/>
    </x:row>
    <x:row r="19" ht="31" customHeight="1">
      <x:c r="A19" s="57" t="str">
        <x:v>2. Час від готовності бригади до рішення рев’юера.</x:v>
      </x:c>
      <x:c r="B19" s="57"/>
      <x:c r="C19" s="57"/>
      <x:c r="D19" s="57"/>
      <x:c r="E19" s="57" t="str">
        <x:v>• Команда не надає жодного реального артефакту.</x:v>
      </x:c>
      <x:c r="F19" s="57"/>
      <x:c r="G19" s="57"/>
      <x:c r="H19" s="57"/>
    </x:row>
    <x:row r="20" ht="31" customHeight="1">
      <x:c r="A20" s="57" t="str">
        <x:v>3. Частка доказів, зафіксованих до закриття робіт.</x:v>
      </x:c>
      <x:c r="B20" s="57"/>
      <x:c r="C20" s="57"/>
      <x:c r="D20" s="57"/>
      <x:c r="E20" s="57" t="str">
        <x:v>• Потрібні роботи поза поточним покриттям і немає вимог проєкту.</x:v>
      </x:c>
      <x:c r="F20" s="57"/>
      <x:c r="G20" s="57"/>
      <x:c r="H20" s="57"/>
    </x:row>
    <x:row r="21" ht="31" customHeight="1">
      <x:c r="A21" s="57" t="str">
        <x:v>4. Кількість повернень через неповні фото / документи.</x:v>
      </x:c>
      <x:c r="B21" s="57"/>
      <x:c r="C21" s="57"/>
      <x:c r="D21" s="57"/>
      <x:c r="E21" s="57" t="str">
        <x:v>• Пілот перетворюється на необмежену кастомну розробку.</x:v>
      </x:c>
      <x:c r="F21" s="57"/>
      <x:c r="G21" s="57"/>
      <x:c r="H21" s="57"/>
    </x:row>
    <x:row r="22" ht="31" customHeight="1">
      <x:c r="A22" s="58" t="str">
        <x:v>5. Активність майстра, ПТО і рев’юера щотижня.</x:v>
      </x:c>
      <x:c r="B22" s="58"/>
      <x:c r="C22" s="58"/>
      <x:c r="D22" s="58"/>
      <x:c r="E22" s="58" t="str">
        <x:v>• Дві послідовні сесії без участі ключових ролей.</x:v>
      </x:c>
      <x:c r="F22" s="58"/>
      <x:c r="G22" s="58"/>
      <x:c r="H22" s="58"/>
    </x:row>
    <x:row r="24">
      <x:c r="A24" s="25" t="str">
        <x:v>Що не обіцяємо</x:v>
      </x:c>
      <x:c r="B24" s="25"/>
      <x:c r="C24" s="25"/>
      <x:c r="D24" s="25"/>
      <x:c r="E24" s="25"/>
      <x:c r="F24" s="25"/>
      <x:c r="G24" s="25"/>
      <x:c r="H24" s="25"/>
    </x:row>
    <x:row r="25">
      <x:c r="A25" s="62" t="str">
        <x:v>Захищене посилання не є КЕП або юридичним підписом. Бібліотека вимог поки містить лише 12 пунктів ДБН А.3.1-5:2016 для внутрішніх санітарно-технічних та електромонтажних робіт. Імпорт реальних файлів замовника ще не перевірений на клієнтських даних. Усе інше — предмет discovery, а не гарантія пілоту.</x:v>
      </x:c>
      <x:c r="B25" s="62"/>
      <x:c r="C25" s="62"/>
      <x:c r="D25" s="62"/>
      <x:c r="E25" s="62"/>
      <x:c r="F25" s="62"/>
      <x:c r="G25" s="62"/>
      <x:c r="H25" s="62"/>
    </x:row>
    <x:row r="26">
      <x:c r="A26" s="62"/>
      <x:c r="B26" s="62"/>
      <x:c r="C26" s="62"/>
      <x:c r="D26" s="62"/>
      <x:c r="E26" s="62"/>
      <x:c r="F26" s="62"/>
      <x:c r="G26" s="62"/>
      <x:c r="H26" s="62"/>
    </x:row>
    <x:row r="27">
      <x:c r="A27" s="62"/>
      <x:c r="B27" s="62"/>
      <x:c r="C27" s="62"/>
      <x:c r="D27" s="62"/>
      <x:c r="E27" s="62"/>
      <x:c r="F27" s="62"/>
      <x:c r="G27" s="62"/>
      <x:c r="H27" s="62"/>
    </x:row>
  </x:sheetData>
  <x:mergeCells>
    <x:mergeCell ref="A1:H1"/>
    <x:mergeCell ref="A2:H2"/>
    <x:mergeCell ref="A4:H4"/>
    <x:mergeCell ref="A5:H7"/>
    <x:mergeCell ref="A9:D9"/>
    <x:mergeCell ref="E9:H9"/>
    <x:mergeCell ref="A10:D10"/>
    <x:mergeCell ref="A11:D11"/>
    <x:mergeCell ref="A12:D12"/>
    <x:mergeCell ref="A13:D13"/>
    <x:mergeCell ref="A14:D14"/>
    <x:mergeCell ref="A15:D15"/>
    <x:mergeCell ref="E10:H10"/>
    <x:mergeCell ref="E11:H11"/>
    <x:mergeCell ref="E12:H12"/>
    <x:mergeCell ref="E13:H13"/>
    <x:mergeCell ref="E14:H14"/>
    <x:mergeCell ref="E15:H15"/>
    <x:mergeCell ref="A17:D17"/>
    <x:mergeCell ref="E17:H17"/>
    <x:mergeCell ref="A18:D18"/>
    <x:mergeCell ref="A19:D19"/>
    <x:mergeCell ref="A20:D20"/>
    <x:mergeCell ref="A21:D21"/>
    <x:mergeCell ref="A22:D22"/>
    <x:mergeCell ref="E18:H18"/>
    <x:mergeCell ref="E19:H19"/>
    <x:mergeCell ref="E20:H20"/>
    <x:mergeCell ref="E21:H21"/>
    <x:mergeCell ref="E22:H22"/>
    <x:mergeCell ref="A24:H24"/>
    <x:mergeCell ref="A25:H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Outreach-пакет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Короткі повідомлення українською • продаємо наступний крок, а не платформу • персоналізація тільки за публічним доказом</x:v>
      </x:c>
      <x:c r="B2" s="5"/>
      <x:c r="C2" s="5"/>
      <x:c r="D2" s="5"/>
      <x:c r="E2" s="5"/>
      <x:c r="F2" s="5"/>
      <x:c r="G2" s="5"/>
      <x:c r="H2" s="5"/>
    </x:row>
    <x:row r="4">
      <x:c r="A4" s="25" t="str">
        <x:v>1. Follow-up для 21 вже надісланого контакту</x:v>
      </x:c>
      <x:c r="B4" s="25"/>
      <x:c r="C4" s="25"/>
      <x:c r="D4" s="25"/>
      <x:c r="E4" s="25"/>
      <x:c r="F4" s="25"/>
      <x:c r="G4" s="25"/>
      <x:c r="H4" s="25"/>
    </x:row>
    <x:row r="5">
      <x:c r="A5" s="67" t="str">
        <x:v>Доброго дня! Надсилаю коротке продовження — ми спростили перевірку виконаної роботи до однієї сторінки без реєстрації: фото, джерело вимоги та рішення «прийняти / повернути». Ось персональне посилання: [персональне посилання]. Чи схоже це на те, як ваш замовник або технагляд приймає [релевантна робота]? Достатньо відповісти одним реченням.</x:v>
      </x:c>
      <x:c r="B5" s="67"/>
      <x:c r="C5" s="67"/>
      <x:c r="D5" s="67"/>
      <x:c r="E5" s="67"/>
      <x:c r="F5" s="67"/>
      <x:c r="G5" s="67"/>
      <x:c r="H5" s="67"/>
    </x:row>
    <x:row r="6">
      <x:c r="A6" s="67"/>
      <x:c r="B6" s="67"/>
      <x:c r="C6" s="67"/>
      <x:c r="D6" s="67"/>
      <x:c r="E6" s="67"/>
      <x:c r="F6" s="67"/>
      <x:c r="G6" s="67"/>
      <x:c r="H6" s="67"/>
    </x:row>
    <x:row r="7">
      <x:c r="A7" s="67"/>
      <x:c r="B7" s="67"/>
      <x:c r="C7" s="67"/>
      <x:c r="D7" s="67"/>
      <x:c r="E7" s="67"/>
      <x:c r="F7" s="67"/>
      <x:c r="G7" s="67"/>
      <x:c r="H7" s="67"/>
    </x:row>
    <x:row r="8">
      <x:c r="A8" s="68"/>
      <x:c r="B8" s="68"/>
      <x:c r="C8" s="68"/>
      <x:c r="D8" s="68"/>
      <x:c r="E8" s="68"/>
      <x:c r="F8" s="68"/>
      <x:c r="G8" s="68"/>
      <x:c r="H8" s="68"/>
    </x:row>
    <x:row r="10">
      <x:c r="A10" s="25" t="str">
        <x:v>2. Перший контакт новому акаунту A</x:v>
      </x:c>
      <x:c r="B10" s="25"/>
      <x:c r="C10" s="25"/>
      <x:c r="D10" s="25"/>
      <x:c r="E10" s="25"/>
      <x:c r="F10" s="25"/>
      <x:c r="G10" s="25"/>
      <x:c r="H10" s="25"/>
    </x:row>
    <x:row r="11">
      <x:c r="A11" s="67" t="str">
        <x:v>Доброго дня! Побачив, що [компанія] виконує [конкретний публічний доказ: тип робіт / кілька об’єктів / власні бригади]. Ми тестуємо GoProceed для моменту перед закриттям прихованої роботи: бригада збирає докази, а ПТО або замовник переглядає одну сторінку без акаунта. Можу надіслати 40-секундний приклад саме для [релевантна робота]?</x:v>
      </x:c>
      <x:c r="B11" s="67"/>
      <x:c r="C11" s="67"/>
      <x:c r="D11" s="67"/>
      <x:c r="E11" s="67"/>
      <x:c r="F11" s="67"/>
      <x:c r="G11" s="67"/>
      <x:c r="H11" s="67"/>
    </x:row>
    <x:row r="12">
      <x:c r="A12" s="67"/>
      <x:c r="B12" s="67"/>
      <x:c r="C12" s="67"/>
      <x:c r="D12" s="67"/>
      <x:c r="E12" s="67"/>
      <x:c r="F12" s="67"/>
      <x:c r="G12" s="67"/>
      <x:c r="H12" s="67"/>
    </x:row>
    <x:row r="13">
      <x:c r="A13" s="67"/>
      <x:c r="B13" s="67"/>
      <x:c r="C13" s="67"/>
      <x:c r="D13" s="67"/>
      <x:c r="E13" s="67"/>
      <x:c r="F13" s="67"/>
      <x:c r="G13" s="67"/>
      <x:c r="H13" s="67"/>
    </x:row>
    <x:row r="14">
      <x:c r="A14" s="68"/>
      <x:c r="B14" s="68"/>
      <x:c r="C14" s="68"/>
      <x:c r="D14" s="68"/>
      <x:c r="E14" s="68"/>
      <x:c r="F14" s="68"/>
      <x:c r="G14" s="68"/>
      <x:c r="H14" s="68"/>
    </x:row>
    <x:row r="16">
      <x:c r="A16" s="25" t="str">
        <x:v>3. Запит одного реального артефакту після відповіді</x:v>
      </x:c>
      <x:c r="B16" s="25"/>
      <x:c r="C16" s="25"/>
      <x:c r="D16" s="25"/>
      <x:c r="E16" s="25"/>
      <x:c r="F16" s="25"/>
      <x:c r="G16" s="25"/>
      <x:c r="H16" s="25"/>
    </x:row>
    <x:row r="17">
      <x:c r="A17" s="67" t="str">
        <x:v>Щоб не вигадувати процес за вас: чи можете показати один анонімізований акт/АВР або перелік фото, який ви реально готуєте перед прийманням? Комерційні дані можна закрити. За 20 хвилин розберемо, де виникає повернення або очікування, і скажемо чесно, чи GoProceed тут доречний.</x:v>
      </x:c>
      <x:c r="B17" s="67"/>
      <x:c r="C17" s="67"/>
      <x:c r="D17" s="67"/>
      <x:c r="E17" s="67"/>
      <x:c r="F17" s="67"/>
      <x:c r="G17" s="67"/>
      <x:c r="H17" s="67"/>
    </x:row>
    <x:row r="18">
      <x:c r="A18" s="67"/>
      <x:c r="B18" s="67"/>
      <x:c r="C18" s="67"/>
      <x:c r="D18" s="67"/>
      <x:c r="E18" s="67"/>
      <x:c r="F18" s="67"/>
      <x:c r="G18" s="67"/>
      <x:c r="H18" s="67"/>
    </x:row>
    <x:row r="19">
      <x:c r="A19" s="67"/>
      <x:c r="B19" s="67"/>
      <x:c r="C19" s="67"/>
      <x:c r="D19" s="67"/>
      <x:c r="E19" s="67"/>
      <x:c r="F19" s="67"/>
      <x:c r="G19" s="67"/>
      <x:c r="H19" s="67"/>
    </x:row>
    <x:row r="20">
      <x:c r="A20" s="68"/>
      <x:c r="B20" s="68"/>
      <x:c r="C20" s="68"/>
      <x:c r="D20" s="68"/>
      <x:c r="E20" s="68"/>
      <x:c r="F20" s="68"/>
      <x:c r="G20" s="68"/>
      <x:c r="H20" s="68"/>
    </x:row>
    <x:row r="22">
      <x:c r="A22" s="25" t="str">
        <x:v>4. Пропозиція безкоштовного пілоту після кваліфікації</x:v>
      </x:c>
      <x:c r="B22" s="25"/>
      <x:c r="C22" s="25"/>
      <x:c r="D22" s="25"/>
      <x:c r="E22" s="25"/>
      <x:c r="F22" s="25"/>
      <x:c r="G22" s="25"/>
      <x:c r="H22" s="25"/>
    </x:row>
    <x:row r="23">
      <x:c r="A23" s="67" t="str">
        <x:v>Пропоную design-partner пілот на одному активному проєкті на 30–45 днів без ліцензійної плати. З вашого боку потрібні спонсор, ПТО, майстер, рев’юер, один реальний анонімізований пакет і 30 хв щотижня. Разом виміряємо приймання з першого разу, час до рішення та повернення через неповні докази. Якщо цінності немає — зупиняємося без зобов’язань.</x:v>
      </x:c>
      <x:c r="B23" s="67"/>
      <x:c r="C23" s="67"/>
      <x:c r="D23" s="67"/>
      <x:c r="E23" s="67"/>
      <x:c r="F23" s="67"/>
      <x:c r="G23" s="67"/>
      <x:c r="H23" s="67"/>
    </x:row>
    <x:row r="24">
      <x:c r="A24" s="67"/>
      <x:c r="B24" s="67"/>
      <x:c r="C24" s="67"/>
      <x:c r="D24" s="67"/>
      <x:c r="E24" s="67"/>
      <x:c r="F24" s="67"/>
      <x:c r="G24" s="67"/>
      <x:c r="H24" s="67"/>
    </x:row>
    <x:row r="25">
      <x:c r="A25" s="67"/>
      <x:c r="B25" s="67"/>
      <x:c r="C25" s="67"/>
      <x:c r="D25" s="67"/>
      <x:c r="E25" s="67"/>
      <x:c r="F25" s="67"/>
      <x:c r="G25" s="67"/>
      <x:c r="H25" s="67"/>
    </x:row>
    <x:row r="26">
      <x:c r="A26" s="68"/>
      <x:c r="B26" s="68"/>
      <x:c r="C26" s="68"/>
      <x:c r="D26" s="68"/>
      <x:c r="E26" s="68"/>
      <x:c r="F26" s="68"/>
      <x:c r="G26" s="68"/>
      <x:c r="H26" s="68"/>
    </x:row>
    <x:row r="28">
      <x:c r="A28" s="25" t="str">
        <x:v>Правила персоналізації</x:v>
      </x:c>
      <x:c r="B28" s="25"/>
      <x:c r="C28" s="25"/>
      <x:c r="D28" s="25"/>
      <x:c r="E28" s="25"/>
      <x:c r="F28" s="25"/>
      <x:c r="G28" s="25"/>
      <x:c r="H28" s="25"/>
    </x:row>
    <x:row r="29">
      <x:c r="A29" s="71" t="str">
        <x:v>Перший рядок має містити один перевірений факт із колонки «Доказ відповідності». Не згадувати вигадані болі, економію або “автоматизацію всього”. Перша CTA — дозвіл на короткий приклад; друга — один артефакт; пілот пропонується лише після доступу до реального процесу.</x:v>
      </x:c>
      <x:c r="B29" s="71"/>
      <x:c r="C29" s="71"/>
      <x:c r="D29" s="71"/>
      <x:c r="E29" s="71"/>
      <x:c r="F29" s="71"/>
      <x:c r="G29" s="71"/>
      <x:c r="H29" s="71"/>
    </x:row>
    <x:row r="30">
      <x:c r="A30" s="71"/>
      <x:c r="B30" s="71"/>
      <x:c r="C30" s="71"/>
      <x:c r="D30" s="71"/>
      <x:c r="E30" s="71"/>
      <x:c r="F30" s="71"/>
      <x:c r="G30" s="71"/>
      <x:c r="H30" s="71"/>
    </x:row>
    <x:row r="31">
      <x:c r="A31" s="71"/>
      <x:c r="B31" s="71"/>
      <x:c r="C31" s="71"/>
      <x:c r="D31" s="71"/>
      <x:c r="E31" s="71"/>
      <x:c r="F31" s="71"/>
      <x:c r="G31" s="71"/>
      <x:c r="H31" s="71"/>
    </x:row>
  </x:sheetData>
  <x:mergeCells>
    <x:mergeCell ref="A1:H1"/>
    <x:mergeCell ref="A2:H2"/>
    <x:mergeCell ref="A4:H4"/>
    <x:mergeCell ref="A5:H8"/>
    <x:mergeCell ref="A10:H10"/>
    <x:mergeCell ref="A11:H14"/>
    <x:mergeCell ref="A16:H16"/>
    <x:mergeCell ref="A17:H20"/>
    <x:mergeCell ref="A22:H22"/>
    <x:mergeCell ref="A23:H26"/>
    <x:mergeCell ref="A28:H28"/>
    <x:mergeCell ref="A29:H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38" hidden="0" customWidth="1"/>
    <x:col min="5" max="5" width="14" hidden="0" customWidth="1"/>
    <x:col min="6" max="6" width="30" hidden="0" customWidth="1"/>
    <x:col min="7" max="7" width="28" hidden="0" customWidth="1"/>
    <x:col min="8" max="8" width="35" hidden="0" customWidth="1"/>
  </x:cols>
  <x:sheetData>
    <x:row r="1" ht="34" customHeight="1">
      <x:c r="A1" s="3" t="str">
        <x:v>Методологія та межі доказів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Скоринг визначає порядок дослідження й контакту — не доводить намір купувати</x:v>
      </x:c>
      <x:c r="B2" s="5"/>
      <x:c r="C2" s="5"/>
      <x:c r="D2" s="5"/>
      <x:c r="E2" s="5"/>
      <x:c r="F2" s="5"/>
      <x:c r="G2" s="5"/>
      <x:c r="H2" s="5"/>
    </x:row>
    <x:row r="4">
      <x:c r="A4" s="25" t="str">
        <x:v>Fit score: 0–100</x:v>
      </x:c>
      <x:c r="B4" s="25"/>
      <x:c r="C4" s="25"/>
      <x:c r="D4" s="25"/>
      <x:c r="E4" s="25" t="str">
        <x:v>Пріоритети</x:v>
      </x:c>
      <x:c r="F4" s="25"/>
      <x:c r="G4" s="25"/>
      <x:c r="H4" s="25"/>
    </x:row>
    <x:row r="5">
      <x:c r="A5" s="38" t="str">
        <x:v>Фактор</x:v>
      </x:c>
      <x:c r="B5" s="38" t="str">
        <x:v>Шкала</x:v>
      </x:c>
      <x:c r="C5" s="38" t="str">
        <x:v>Вага</x:v>
      </x:c>
      <x:c r="D5" s="38" t="str">
        <x:v>Що означає</x:v>
      </x:c>
      <x:c r="E5" s="38" t="str">
        <x:v>Клас</x:v>
      </x:c>
      <x:c r="F5" s="38" t="str">
        <x:v>Правило</x:v>
      </x:c>
      <x:c r="G5" s="38" t="str">
        <x:v>Дія</x:v>
      </x:c>
      <x:c r="H5" s="38" t="str">
        <x:v>Сенс</x:v>
      </x:c>
    </x:row>
    <x:row r="6">
      <x:c r="A6" s="76" t="str">
        <x:v>Покриття продукту</x:v>
      </x:c>
      <x:c r="B6" s="76" t="str">
        <x:v>0–5</x:v>
      </x:c>
      <x:c r="C6" s="76" t="str">
        <x:v>×6</x:v>
      </x:c>
      <x:c r="D6" s="76" t="str">
        <x:v>Наскільки роботи збігаються з поточними Н.14 / Н.15</x:v>
      </x:c>
      <x:c r="E6" s="76" t="str">
        <x:v>A</x:v>
      </x:c>
      <x:c r="F6" s="76" t="str">
        <x:v>Score ≥84; покриття ≥4; buyer fit ≥4</x:v>
      </x:c>
      <x:c r="G6" s="76" t="str">
        <x:v>Контакт у першій хвилі</x:v>
      </x:c>
      <x:c r="H6" s="76" t="str">
        <x:v>Найкраще поєднання fit і чесного покриття</x:v>
      </x:c>
    </x:row>
    <x:row r="7">
      <x:c r="A7" s="76" t="str">
        <x:v>Приховані роботи</x:v>
      </x:c>
      <x:c r="B7" s="76" t="str">
        <x:v>0–5</x:v>
      </x:c>
      <x:c r="C7" s="76" t="str">
        <x:v>×4</x:v>
      </x:c>
      <x:c r="D7" s="76" t="str">
        <x:v>Наскільки докази критичні до закриття стель, стін, траншей</x:v>
      </x:c>
      <x:c r="E7" s="76" t="str">
        <x:v>B</x:v>
      </x:c>
      <x:c r="F7" s="76" t="str">
        <x:v>Score ≥70; покриття ≥3</x:v>
      </x:c>
      <x:c r="G7" s="76" t="str">
        <x:v>Друга хвиля / уточнити сценарій</x:v>
      </x:c>
      <x:c r="H7" s="76" t="str">
        <x:v>Fit добрий, але потрібна перевірка</x:v>
      </x:c>
    </x:row>
    <x:row r="8">
      <x:c r="A8" s="76" t="str">
        <x:v>Масштаб</x:v>
      </x:c>
      <x:c r="B8" s="76" t="str">
        <x:v>0–5</x:v>
      </x:c>
      <x:c r="C8" s="76" t="str">
        <x:v>×3</x:v>
      </x:c>
      <x:c r="D8" s="76" t="str">
        <x:v>Бригади, портфель проєктів, географія, власні ресурси</x:v>
      </x:c>
      <x:c r="E8" s="76" t="str">
        <x:v>C</x:v>
      </x:c>
      <x:c r="F8" s="76" t="str">
        <x:v>Нижче порогів</x:v>
      </x:c>
      <x:c r="G8" s="76" t="str">
        <x:v>Не витрачати founder-time зараз</x:v>
      </x:c>
      <x:c r="H8" s="76" t="str">
        <x:v>Слабке покриття або партнерський канал</x:v>
      </x:c>
    </x:row>
    <x:row r="9">
      <x:c r="A9" s="76" t="str">
        <x:v>Документація</x:v>
      </x:c>
      <x:c r="B9" s="76" t="str">
        <x:v>0–5</x:v>
      </x:c>
      <x:c r="C9" s="76" t="str">
        <x:v>×3</x:v>
      </x:c>
      <x:c r="D9" s="76" t="str">
        <x:v>Проєктування, ПТО, випробування, акти, введення в експлуатацію</x:v>
      </x:c>
      <x:c r="E9" s="77" t="str">
        <x:v>Legacy</x:v>
      </x:c>
      <x:c r="F9" s="77" t="str">
        <x:v>Немає повного набору факторів</x:v>
      </x:c>
      <x:c r="G9" s="77" t="str">
        <x:v>Повторно дослідити</x:v>
      </x:c>
      <x:c r="H9" s="77" t="str">
        <x:v>Старий запис не можна змішувати з перевіреними</x:v>
      </x:c>
    </x:row>
    <x:row r="10">
      <x:c r="A10" s="76" t="str">
        <x:v>Доступ до покупця</x:v>
      </x:c>
      <x:c r="B10" s="76" t="str">
        <x:v>0–5</x:v>
      </x:c>
      <x:c r="C10" s="76" t="str">
        <x:v>×3</x:v>
      </x:c>
      <x:c r="D10" s="76" t="str">
        <x:v>Спеціалізований підрядник ближче до власника / ПТО, ніж великий генпідрядник</x:v>
      </x:c>
    </x:row>
    <x:row r="11">
      <x:c r="A11" s="77" t="str">
        <x:v>Досяжність</x:v>
      </x:c>
      <x:c r="B11" s="77" t="str">
        <x:v>0–5</x:v>
      </x:c>
      <x:c r="C11" s="77" t="str">
        <x:v>×1</x:v>
      </x:c>
      <x:c r="D11" s="77" t="str">
        <x:v>Публічний сайт, форма, телефон або зрозумілий маршрут до ролі</x:v>
      </x:c>
    </x:row>
    <x:row r="13">
      <x:c r="A13" s="25" t="str">
        <x:v>Джерела й обмеження</x:v>
      </x:c>
      <x:c r="B13" s="25"/>
      <x:c r="C13" s="25"/>
      <x:c r="D13" s="25"/>
      <x:c r="E13" s="25"/>
      <x:c r="F13" s="25"/>
      <x:c r="G13" s="25"/>
      <x:c r="H13" s="25"/>
    </x:row>
    <x:row r="14" ht="34" customHeight="1">
      <x:c r="A14" s="57" t="str">
        <x:v>• 50 записів імпортовано з aktflow_ukraine_leads_50_demo_outreach_2026-07-28.xlsx; 28 legacy-позицій не мають достатньої публічної перевірки.</x:v>
      </x:c>
      <x:c r="B14" s="57"/>
      <x:c r="C14" s="57"/>
      <x:c r="D14" s="57"/>
      <x:c r="E14" s="57"/>
      <x:c r="F14" s="57"/>
      <x:c r="G14" s="57"/>
      <x:c r="H14" s="57"/>
    </x:row>
    <x:row r="15" ht="34" customHeight="1">
      <x:c r="A15" s="57" t="str">
        <x:v>• 51 нова компанія перевірена 24.08.2026 за офіційними сайтами / портфоліо; URL збережено в кожному рядку.</x:v>
      </x:c>
      <x:c r="B15" s="57"/>
      <x:c r="C15" s="57"/>
      <x:c r="D15" s="57"/>
      <x:c r="E15" s="57"/>
      <x:c r="F15" s="57"/>
      <x:c r="G15" s="57"/>
      <x:c r="H15" s="57"/>
    </x:row>
    <x:row r="16" ht="34" customHeight="1">
      <x:c r="A16" s="57" t="str">
        <x:v>• 21 відправка підтверджена попереднім журналом; 0 відповідей, інтерв’ю, названих проєктів або пілотних зобов’язань станом на 30.07.2026.</x:v>
      </x:c>
      <x:c r="B16" s="57"/>
      <x:c r="C16" s="57"/>
      <x:c r="D16" s="57"/>
      <x:c r="E16" s="57"/>
      <x:c r="F16" s="57"/>
      <x:c r="G16" s="57"/>
      <x:c r="H16" s="57"/>
    </x:row>
    <x:row r="17" ht="34" customHeight="1">
      <x:c r="A17" s="57" t="str">
        <x:v>• Поточна бібліотека: 12 вимог ДБН А.3.1-5:2016 — 5 для Н.14 і 7 для Н.15. Інші роботи не можна обіцяти без вимог конкретного проєкту.</x:v>
      </x:c>
      <x:c r="B17" s="57"/>
      <x:c r="C17" s="57"/>
      <x:c r="D17" s="57"/>
      <x:c r="E17" s="57"/>
      <x:c r="F17" s="57"/>
      <x:c r="G17" s="57"/>
      <x:c r="H17" s="57"/>
    </x:row>
    <x:row r="18" ht="34" customHeight="1">
      <x:c r="A18" s="57" t="str">
        <x:v>• Публічна відповідність ≠ підтверджений біль, готовність до пілоту або платоспроможність. Наступний рівень доказу — відповідь, артефакт, інтерв’ю, активний проєкт.</x:v>
      </x:c>
      <x:c r="B18" s="57"/>
      <x:c r="C18" s="57"/>
      <x:c r="D18" s="57"/>
      <x:c r="E18" s="57"/>
      <x:c r="F18" s="57"/>
      <x:c r="G18" s="57"/>
      <x:c r="H18" s="57"/>
    </x:row>
    <x:row r="19" ht="34" customHeight="1">
      <x:c r="A19" s="58" t="str">
        <x:v>• Персональні контакти не збиралися; база працює на рівні компаній, ролей і публічних джерел.</x:v>
      </x:c>
      <x:c r="B19" s="58"/>
      <x:c r="C19" s="58"/>
      <x:c r="D19" s="58"/>
      <x:c r="E19" s="58"/>
      <x:c r="F19" s="58"/>
      <x:c r="G19" s="58"/>
      <x:c r="H19" s="58"/>
    </x:row>
  </x:sheetData>
  <x:mergeCells>
    <x:mergeCell ref="A1:H1"/>
    <x:mergeCell ref="A2:H2"/>
    <x:mergeCell ref="A4:D4"/>
    <x:mergeCell ref="E4:H4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