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beed4b1009488b" /></Relationships>
</file>

<file path=xl/workbook.xml><?xml version="1.0" encoding="utf-8"?>
<x:workbook xmlns:x="http://schemas.openxmlformats.org/spreadsheetml/2006/main">
  <x:sheets>
    <x:sheet xmlns:r="http://schemas.openxmlformats.org/officeDocument/2006/relationships" name="Dashboard" sheetId="1" r:id="R7bf133d02f314502"/>
    <x:sheet xmlns:r="http://schemas.openxmlformats.org/officeDocument/2006/relationships" name="Leads 815" sheetId="2" r:id="R0daabad3623a4f16"/>
    <x:sheet xmlns:r="http://schemas.openxmlformats.org/officeDocument/2006/relationships" name="Tender Signals" sheetId="3" r:id="Rd8abb138e2ba4e62"/>
    <x:sheet xmlns:r="http://schemas.openxmlformats.org/officeDocument/2006/relationships" name="Vertical Map" sheetId="4" r:id="R535de3b440494191"/>
    <x:sheet xmlns:r="http://schemas.openxmlformats.org/officeDocument/2006/relationships" name="Pilot Offer" sheetId="5" r:id="R17ff124f5111438e"/>
    <x:sheet xmlns:r="http://schemas.openxmlformats.org/officeDocument/2006/relationships" name="Outreach" sheetId="6" r:id="R678eb59f88594ca2"/>
    <x:sheet xmlns:r="http://schemas.openxmlformats.org/officeDocument/2006/relationships" name="Methodology" sheetId="7" r:id="R5fca69cea9f647a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yyyy-mm-dd"/>
    <x:numFmt numFmtId="203" formatCode="dd.mm.yyyy"/>
  </x:numFmts>
  <x:fonts count="20">
    <x:font>
      <x:sz val="11"/>
      <x:name val="Carlito"/>
    </x:font>
    <x:font>
      <x:b/>
      <x:sz val="20"/>
      <x:color rgb="FFFFFFFF"/>
      <x:name val="Carlito"/>
    </x:font>
    <x:font>
      <x:sz val="10"/>
      <x:color rgb="FFD7E3EF"/>
      <x:name val="Carlito"/>
    </x:font>
    <x:font>
      <x:i/>
      <x:sz val="10"/>
      <x:color rgb="FF7C4A03"/>
      <x:name val="Carlito"/>
    </x:font>
    <x:font>
      <x:b/>
      <x:sz val="9"/>
      <x:color rgb="FFFFFFFF"/>
      <x:name val="Carlito"/>
    </x:font>
    <x:font>
      <x:sz val="9"/>
      <x:color rgb="FF1F2937"/>
      <x:name val="Carlito"/>
    </x:font>
    <x:font>
      <x:b/>
      <x:sz val="12"/>
      <x:color rgb="FF17324D"/>
      <x:name val="Carlito"/>
    </x:font>
    <x:font>
      <x:b/>
      <x:sz val="9"/>
      <x:color rgb="FF4B5563"/>
      <x:name val="Carlito"/>
    </x:font>
    <x:font>
      <x:b/>
      <x:sz val="22"/>
      <x:color rgb="FF17324D"/>
      <x:name val="Carlito"/>
    </x:font>
    <x:font>
      <x:sz val="8"/>
      <x:color rgb="FF6B7280"/>
      <x:name val="Carlito"/>
    </x:font>
    <x:font>
      <x:b/>
      <x:sz val="11"/>
      <x:color rgb="FFFFFFFF"/>
      <x:name val="Carlito"/>
    </x:font>
    <x:font>
      <x:sz val="10"/>
      <x:color rgb="FF1F2937"/>
      <x:name val="Carlito"/>
    </x:font>
    <x:font>
      <x:b/>
      <x:sz val="14"/>
      <x:color rgb="FFFFFFFF"/>
      <x:name val="Carlito"/>
    </x:font>
    <x:font>
      <x:b/>
      <x:sz val="11"/>
      <x:color rgb="FF17324D"/>
      <x:name val="Carlito"/>
    </x:font>
    <x:font>
      <x:b/>
      <x:sz val="9"/>
      <x:color rgb="FF17324D"/>
      <x:name val="Carlito"/>
    </x:font>
    <x:font>
      <x:sz val="11"/>
      <x:color rgb="FF17324D"/>
      <x:name val="Carlito"/>
    </x:font>
    <x:font>
      <x:sz val="11"/>
      <x:color rgb="FF4C1D95"/>
      <x:name val="Carlito"/>
    </x:font>
    <x:font>
      <x:sz val="10"/>
      <x:color rgb="FFB91C1C"/>
      <x:name val="Carlito"/>
    </x:font>
    <x:font>
      <x:sz val="11"/>
      <x:color rgb="FF1F2937"/>
      <x:name val="Carlito"/>
    </x:font>
    <x:font>
      <x:sz val="10"/>
      <x:color rgb="FF7C4A03"/>
      <x:name val="Carlito"/>
    </x:font>
  </x:fonts>
  <x:fills count="10">
    <x:fill>
      <x:patternFill patternType="none"/>
    </x:fill>
    <x:fill>
      <x:patternFill patternType="gray125"/>
    </x:fill>
    <x:fill>
      <x:patternFill patternType="solid">
        <x:fgColor rgb="FF17324D"/>
      </x:patternFill>
    </x:fill>
    <x:fill>
      <x:patternFill patternType="solid">
        <x:fgColor rgb="FFFFF4D6"/>
      </x:patternFill>
    </x:fill>
    <x:fill>
      <x:patternFill patternType="solid">
        <x:fgColor rgb="FF0D9488"/>
      </x:patternFill>
    </x:fill>
    <x:fill>
      <x:patternFill patternType="solid">
        <x:fgColor rgb="FFEAF3FF"/>
      </x:patternFill>
    </x:fill>
    <x:fill>
      <x:patternFill patternType="solid">
        <x:fgColor rgb="FFF3F4F6"/>
      </x:patternFill>
    </x:fill>
    <x:fill>
      <x:patternFill patternType="solid">
        <x:fgColor rgb="FFE9F7ED"/>
      </x:patternFill>
    </x:fill>
    <x:fill>
      <x:patternFill patternType="solid">
        <x:fgColor rgb="FFF1EAFE"/>
      </x:patternFill>
    </x:fill>
    <x:fill>
      <x:patternFill patternType="solid">
        <x:fgColor rgb="FFFDECEC"/>
      </x:patternFill>
    </x:fill>
  </x:fills>
  <x:borders count="4">
    <x:border/>
    <x:border>
      <x:bottom style="thin">
        <x:color rgb="FF2563EB"/>
      </x:bottom>
    </x:border>
    <x:border>
      <x:bottom style="thin">
        <x:color rgb="FFD1D5DB"/>
      </x:bottom>
    </x:border>
    <x:border>
      <x:bottom style="thin">
        <x:color rgb="FFE5E7EB"/>
      </x:bottom>
    </x:border>
  </x:borders>
  <x:cellStyleXfs count="1">
    <x:xf numFmtId="0" fontId="0" fillId="0" borderId="0"/>
  </x:cellStyleXfs>
  <x:cellXfs count="8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x:xf numFmtId="0" fontId="2" fillId="2" borderId="0"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5" fillId="0" borderId="0" xfId="0" applyNumberFormat="1" applyFont="1" applyFill="1" applyBorder="1"/>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200" fontId="5" fillId="0" borderId="0" xfId="0" applyNumberFormat="1" applyFont="1" applyFill="1" applyBorder="1" applyAlignment="1">
      <x:alignment vertical="top"/>
    </x:xf>
    <x:xf numFmtId="0" fontId="5" fillId="0" borderId="0" xfId="0" applyNumberFormat="1" applyFont="1" applyFill="1" applyBorder="1" applyAlignment="1">
      <x:alignment horizontal="center" vertical="top"/>
    </x:xf>
    <x:xf numFmtId="201" fontId="5" fillId="0" borderId="0" xfId="0" applyNumberFormat="1" applyFont="1" applyFill="1" applyBorder="1" applyAlignment="1">
      <x:alignment vertical="top"/>
    </x:xf>
    <x:xf numFmtId="202" fontId="5" fillId="0" borderId="0" xfId="0" applyNumberFormat="1" applyFont="1" applyFill="1" applyBorder="1" applyAlignment="1">
      <x:alignment vertical="top"/>
    </x:xf>
    <x:xf numFmtId="203" fontId="5" fillId="0" borderId="0" xfId="0" applyNumberFormat="1" applyFont="1" applyFill="1" applyBorder="1" applyAlignment="1">
      <x:alignment vertical="top"/>
    </x:xf>
    <x:xf numFmtId="0" fontId="0" fillId="5" borderId="0" xfId="0" applyNumberFormat="1" applyFont="1" applyFill="1" applyBorder="1"/>
    <x:xf numFmtId="0" fontId="6" fillId="5" borderId="0" xfId="0" applyNumberFormat="1" applyFont="1" applyFill="1" applyBorder="1"/>
    <x:xf numFmtId="0" fontId="6" fillId="5" borderId="1" xfId="0" applyNumberFormat="1" applyFont="1" applyFill="1" applyBorder="1"/>
    <x:xf numFmtId="0" fontId="6" fillId="5" borderId="1" xfId="0" applyNumberFormat="1" applyFont="1" applyFill="1" applyBorder="1" applyAlignment="1">
      <x:alignment vertical="center"/>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horizontal="center" wrapText="1"/>
    </x:xf>
    <x:xf numFmtId="0" fontId="8" fillId="0" borderId="0" xfId="0" applyNumberFormat="1" applyFont="1" applyFill="1" applyBorder="1"/>
    <x:xf numFmtId="0" fontId="8" fillId="0" borderId="2" xfId="0" applyNumberFormat="1" applyFont="1" applyFill="1" applyBorder="1"/>
    <x:xf numFmtId="0" fontId="8" fillId="0" borderId="2" xfId="0" applyNumberFormat="1" applyFont="1" applyFill="1" applyBorder="1" applyAlignment="1">
      <x:alignment horizontal="center"/>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horizontal="center" wrapText="1"/>
    </x:xf>
    <x:xf numFmtId="0" fontId="10" fillId="4" borderId="0" xfId="0" applyNumberFormat="1" applyFont="1" applyFill="1" applyBorder="1"/>
    <x:xf numFmtId="0" fontId="10" fillId="4" borderId="0" xfId="0" applyNumberFormat="1" applyFont="1" applyFill="1" applyBorder="1" applyAlignment="1">
      <x:alignment horizontal="center"/>
    </x:xf>
    <x:xf numFmtId="0" fontId="11" fillId="0" borderId="0" xfId="0" applyNumberFormat="1" applyFont="1" applyFill="1" applyBorder="1"/>
    <x:xf numFmtId="0" fontId="11" fillId="0" borderId="3" xfId="0" applyNumberFormat="1" applyFont="1" applyFill="1" applyBorder="1"/>
    <x:xf numFmtId="0" fontId="11" fillId="0" borderId="0" xfId="0" applyNumberFormat="1" applyFont="1" applyFill="1" applyBorder="1" applyAlignment="1">
      <x:alignment horizontal="center"/>
    </x:xf>
    <x:xf numFmtId="0" fontId="11" fillId="0" borderId="3" xfId="0" applyNumberFormat="1" applyFont="1" applyFill="1" applyBorder="1" applyAlignment="1">
      <x:alignment horizontal="center"/>
    </x:xf>
    <x:xf numFmtId="0" fontId="12" fillId="2" borderId="0" xfId="0" applyNumberFormat="1" applyFont="1" applyFill="1" applyBorder="1"/>
    <x:xf numFmtId="0" fontId="12" fillId="2" borderId="0" xfId="0" applyNumberFormat="1" applyFont="1" applyFill="1" applyBorder="1" applyAlignment="1">
      <x:alignment horizontal="center"/>
    </x:xf>
    <x:xf numFmtId="0" fontId="12" fillId="2" borderId="0" xfId="0" applyNumberFormat="1" applyFont="1" applyFill="1" applyBorder="1" applyAlignment="1">
      <x:alignment horizontal="center" vertical="center"/>
    </x:xf>
    <x:xf numFmtId="0" fontId="13" fillId="6" borderId="0" xfId="0" applyNumberFormat="1" applyFont="1" applyFill="1" applyBorder="1"/>
    <x:xf numFmtId="0" fontId="13" fillId="6" borderId="0" xfId="0" applyNumberFormat="1" applyFont="1" applyFill="1" applyBorder="1" applyAlignment="1">
      <x:alignment vertical="center"/>
    </x:xf>
    <x:xf numFmtId="0" fontId="11" fillId="0" borderId="0" xfId="0" applyNumberFormat="1" applyFont="1" applyFill="1" applyBorder="1" applyAlignment="1">
      <x:alignment wrapText="1"/>
    </x:xf>
    <x:xf numFmtId="0" fontId="11" fillId="0" borderId="3" xfId="0" applyNumberFormat="1" applyFont="1" applyFill="1" applyBorder="1" applyAlignment="1">
      <x:alignment wrapText="1"/>
    </x:xf>
    <x:xf numFmtId="0" fontId="11" fillId="0" borderId="0" xfId="0" applyNumberFormat="1" applyFont="1" applyFill="1" applyBorder="1" applyAlignment="1">
      <x:alignment vertical="center" wrapText="1"/>
    </x:xf>
    <x:xf numFmtId="0" fontId="11" fillId="0" borderId="3" xfId="0" applyNumberFormat="1" applyFont="1" applyFill="1" applyBorder="1" applyAlignment="1">
      <x:alignment vertical="center" wrapText="1"/>
    </x:xf>
    <x:xf numFmtId="0" fontId="5" fillId="0" borderId="3" xfId="0" applyNumberFormat="1" applyFont="1" applyFill="1" applyBorder="1"/>
    <x:xf numFmtId="0" fontId="5" fillId="0" borderId="0"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3" xfId="0" applyNumberFormat="1" applyFont="1" applyFill="1" applyBorder="1" applyAlignment="1">
      <x:alignment vertical="top" wrapText="1"/>
    </x:xf>
    <x:xf numFmtId="0" fontId="5" fillId="0" borderId="0" xfId="0" applyNumberFormat="1" applyFont="1" applyFill="1" applyBorder="1" applyAlignment="1">
      <x:alignment horizontal="center" vertical="top" wrapText="1"/>
    </x:xf>
    <x:xf numFmtId="0" fontId="5" fillId="0" borderId="3" xfId="0" applyNumberFormat="1" applyFont="1" applyFill="1" applyBorder="1" applyAlignment="1">
      <x:alignment horizontal="center" vertical="top" wrapText="1"/>
    </x:xf>
    <x:xf numFmtId="0" fontId="14" fillId="0" borderId="0" xfId="0" applyNumberFormat="1" applyFont="1" applyFill="1" applyBorder="1" applyAlignment="1">
      <x:alignment vertical="top" wrapText="1"/>
    </x:xf>
    <x:xf numFmtId="0" fontId="14" fillId="0" borderId="3"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vertical="center" wrapText="1"/>
    </x:xf>
    <x:xf numFmtId="0" fontId="0" fillId="8" borderId="0" xfId="0" applyNumberFormat="1" applyFont="1" applyFill="1" applyBorder="1"/>
    <x:xf numFmtId="0" fontId="16" fillId="8" borderId="0" xfId="0" applyNumberFormat="1" applyFont="1" applyFill="1" applyBorder="1"/>
    <x:xf numFmtId="0" fontId="16" fillId="8" borderId="0" xfId="0" applyNumberFormat="1" applyFont="1" applyFill="1" applyBorder="1" applyAlignment="1">
      <x:alignment wrapText="1"/>
    </x:xf>
    <x:xf numFmtId="0" fontId="16" fillId="8" borderId="0" xfId="0" applyNumberFormat="1" applyFont="1" applyFill="1" applyBorder="1" applyAlignment="1">
      <x:alignment vertical="center" wrapText="1"/>
    </x:xf>
    <x:xf numFmtId="0" fontId="11" fillId="0" borderId="0" xfId="0" applyNumberFormat="1" applyFont="1" applyFill="1" applyBorder="1" applyAlignment="1">
      <x:alignment vertical="top" wrapText="1"/>
    </x:xf>
    <x:xf numFmtId="0" fontId="11" fillId="0" borderId="3" xfId="0" applyNumberFormat="1" applyFont="1" applyFill="1" applyBorder="1" applyAlignment="1">
      <x:alignment vertical="top" wrapText="1"/>
    </x:xf>
    <x:xf numFmtId="0" fontId="0" fillId="9" borderId="0" xfId="0" applyNumberFormat="1" applyFont="1" applyFill="1" applyBorder="1"/>
    <x:xf numFmtId="0" fontId="17" fillId="9" borderId="0" xfId="0" applyNumberFormat="1" applyFont="1" applyFill="1" applyBorder="1"/>
    <x:xf numFmtId="0" fontId="17" fillId="9" borderId="0" xfId="0" applyNumberFormat="1" applyFont="1" applyFill="1" applyBorder="1" applyAlignment="1">
      <x:alignment wrapText="1"/>
    </x:xf>
    <x:xf numFmtId="0" fontId="17" fillId="9" borderId="0" xfId="0" applyNumberFormat="1" applyFont="1" applyFill="1" applyBorder="1" applyAlignment="1">
      <x:alignment vertical="center" wrapText="1"/>
    </x:xf>
    <x:xf numFmtId="0" fontId="18" fillId="0" borderId="0" xfId="0" applyNumberFormat="1" applyFont="1" applyFill="1" applyBorder="1"/>
    <x:xf numFmtId="0" fontId="18" fillId="0" borderId="2" xfId="0" applyNumberFormat="1" applyFont="1" applyFill="1" applyBorder="1"/>
    <x:xf numFmtId="0" fontId="18" fillId="0" borderId="0" xfId="0" applyNumberFormat="1" applyFont="1" applyFill="1" applyBorder="1" applyAlignment="1">
      <x:alignment wrapText="1"/>
    </x:xf>
    <x:xf numFmtId="0" fontId="18" fillId="0" borderId="2" xfId="0" applyNumberFormat="1" applyFont="1" applyFill="1" applyBorder="1" applyAlignment="1">
      <x:alignment wrapText="1"/>
    </x:xf>
    <x:xf numFmtId="0" fontId="18" fillId="0" borderId="0" xfId="0" applyNumberFormat="1" applyFont="1" applyFill="1" applyBorder="1" applyAlignment="1">
      <x:alignment vertical="center" wrapText="1"/>
    </x:xf>
    <x:xf numFmtId="0" fontId="18" fillId="0" borderId="2" xfId="0" applyNumberFormat="1" applyFont="1" applyFill="1" applyBorder="1" applyAlignment="1">
      <x:alignment vertical="center" wrapText="1"/>
    </x:xf>
    <x:xf numFmtId="0" fontId="19" fillId="3" borderId="0" xfId="0" applyNumberFormat="1" applyFont="1" applyFill="1" applyBorder="1"/>
    <x:xf numFmtId="0" fontId="19" fillId="3" borderId="0" xfId="0" applyNumberFormat="1" applyFont="1" applyFill="1" applyBorder="1" applyAlignment="1">
      <x:alignment wrapText="1"/>
    </x:xf>
    <x:xf numFmtId="0" fontId="19" fillId="3" borderId="0" xfId="0" applyNumberFormat="1" applyFont="1" applyFill="1" applyBorder="1" applyAlignment="1">
      <x:alignment vertical="center" wrapText="1"/>
    </x:xf>
  </x:cellXfs>
  <x:cellStyles count="1">
    <x:cellStyle name="Normal" xfId="0"/>
  </x:cellStyles>
  <x:dxfs count="9">
    <x:dxf>
      <x:font>
        <x:b/>
        <x:color rgb="FF15803D"/>
      </x:font>
      <x:fill>
        <x:patternFill patternType="solid">
          <x:bgColor rgb="FFE9F7ED"/>
        </x:patternFill>
      </x:fill>
    </x:dxf>
    <x:dxf>
      <x:font>
        <x:b/>
        <x:color rgb="FF7C3AED"/>
      </x:font>
      <x:fill>
        <x:patternFill patternType="solid">
          <x:bgColor rgb="FFF1EAFE"/>
        </x:patternFill>
      </x:fill>
    </x:dxf>
    <x:dxf>
      <x:font>
        <x:b/>
        <x:color rgb="FF92400E"/>
      </x:font>
      <x:fill>
        <x:patternFill patternType="solid">
          <x:bgColor rgb="FFFFF4D6"/>
        </x:patternFill>
      </x:fill>
    </x:dxf>
    <x:dxf>
      <x:font>
        <x:b/>
        <x:color rgb="FF15803D"/>
      </x:font>
      <x:fill>
        <x:patternFill patternType="solid">
          <x:bgColor rgb="FFE9F7ED"/>
        </x:patternFill>
      </x:fill>
    </x:dxf>
    <x:dxf>
      <x:font>
        <x:b/>
        <x:color rgb="FFB91C1C"/>
      </x:font>
      <x:fill>
        <x:patternFill patternType="solid">
          <x:bgColor rgb="FFFDECEC"/>
        </x:patternFill>
      </x:fill>
    </x:dxf>
    <x:dxf>
      <x:font>
        <x:b/>
        <x:color rgb="FF15803D"/>
      </x:font>
      <x:fill>
        <x:patternFill patternType="solid">
          <x:bgColor rgb="FFE9F7ED"/>
        </x:patternFill>
      </x:fill>
    </x:dxf>
    <x:dxf>
      <x:font>
        <x:b/>
        <x:color rgb="FF92400E"/>
      </x:font>
      <x:fill>
        <x:patternFill patternType="solid">
          <x:bgColor rgb="FFFFF4D6"/>
        </x:patternFill>
      </x:fill>
    </x:dxf>
    <x:dxf>
      <x:font>
        <x:b/>
        <x:color rgb="FF15803D"/>
      </x:font>
      <x:fill>
        <x:patternFill patternType="solid">
          <x:bgColor rgb="FFE9F7ED"/>
        </x:patternFill>
      </x:fill>
    </x:dxf>
    <x:dxf>
      <x:font>
        <x:b/>
        <x:color rgb="FF92400E"/>
      </x:font>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76d205bdeb241dd" /><Relationship Type="http://schemas.openxmlformats.org/officeDocument/2006/relationships/theme" Target="/xl/theme/theme1.xml" Id="R6708d98d33e3497d" /><Relationship Type="http://schemas.openxmlformats.org/officeDocument/2006/relationships/sharedStrings" Target="/xl/sharedStrings.xml" Id="R90642a6b2ec5499b" /><Relationship Type="http://schemas.openxmlformats.org/officeDocument/2006/relationships/worksheet" Target="/xl/worksheets/sheet1.xml" Id="R7bf133d02f314502" /><Relationship Type="http://schemas.openxmlformats.org/officeDocument/2006/relationships/worksheet" Target="/xl/worksheets/sheet2.xml" Id="R0daabad3623a4f16" /><Relationship Type="http://schemas.openxmlformats.org/officeDocument/2006/relationships/worksheet" Target="/xl/worksheets/sheet3.xml" Id="Rd8abb138e2ba4e62" /><Relationship Type="http://schemas.openxmlformats.org/officeDocument/2006/relationships/worksheet" Target="/xl/worksheets/sheet4.xml" Id="R535de3b440494191" /><Relationship Type="http://schemas.openxmlformats.org/officeDocument/2006/relationships/worksheet" Target="/xl/worksheets/sheet5.xml" Id="R17ff124f5111438e" /><Relationship Type="http://schemas.openxmlformats.org/officeDocument/2006/relationships/worksheet" Target="/xl/worksheets/sheet6.xml" Id="R678eb59f88594ca2" /><Relationship Type="http://schemas.openxmlformats.org/officeDocument/2006/relationships/worksheet" Target="/xl/worksheets/sheet7.xml" Id="R5fca69cea9f647a3" /></Relationships>
</file>

<file path=xl/drawings/_rels/drawing1.xml.rels>&#65279;<?xml version="1.0" encoding="utf-8"?><Relationships xmlns="http://schemas.openxmlformats.org/package/2006/relationships"><Relationship Type="http://schemas.openxmlformats.org/officeDocument/2006/relationships/chart" Target="/xl/drawings/charts/chart1.xml" Id="R4f97283c78ea4ff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Розмір кожного маршруту</a:t>
            </a:r>
          </a:p>
        </c:rich>
      </c:tx>
      <c:overlay val="0"/>
      <c:txPr>
        <a:bodyPr xmlns:a="http://schemas.openxmlformats.org/drawingml/2006/main" anchorCtr="1"/>
        <a:lstStyle xmlns:a="http://schemas.openxmlformats.org/drawingml/2006/main"/>
        <a:p xmlns:a="http://schemas.openxmlformats.org/drawingml/2006/main">
          <a:pPr>
            <a:defRPr sz="975"/>
          </a:pPr>
        </a:p>
      </c:txPr>
    </c:title>
    <c:plotArea>
      <c:barChart>
        <c:barDir val="col"/>
        <c:varyColors val="0"/>
        <c:ser>
          <c:idx val="0"/>
          <c:order val="0"/>
          <c:tx>
            <c:v>Акаунти</c:v>
          </c:tx>
          <c:cat>
            <c:strRef>
              <c:f>'Dashboard'!$A$12:$A$15</c:f>
              <c:strCache>
                <c:ptCount val="0"/>
              </c:strCache>
            </c:strRef>
          </c:cat>
          <c:val>
            <c:numRef>
              <c:f>'Dashboard'!$B$12:$B$15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Кількість компаній</a:t>
                </a:r>
              </a:p>
            </c:rich>
          </c:tx>
          <c:overlay val="0"/>
        </c:title>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xdr:row>
      <xdr:rowOff>0</xdr:rowOff>
    </xdr:from>
    <xdr:to>
      <xdr:col>14</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f97283c78ea4ffe"/>
        </a:graphicData>
      </a:graphic>
    </xdr:graphicFrame>
    <xdr:clientData/>
  </xdr:twoCellAnchor>
</xdr:wsDr>
</file>

<file path=xl/tables/table1.xml><?xml version="1.0" encoding="utf-8"?>
<x:table xmlns:x="http://schemas.openxmlformats.org/spreadsheetml/2006/main" id="1" name="Prospects815" displayName="Prospects815" ref="A4:AO819" headerRowCount="1" totalsRowCount="0" totalsRowShown="0">
  <x:autoFilter ref="A4:AO819"/>
  <x:tableColumns count="41">
    <x:tableColumn id="1" name="Lead ID"/>
    <x:tableColumn id="2" name="Хвиля"/>
    <x:tableColumn id="3" name="Компанія"/>
    <x:tableColumn id="4" name="Сегмент"/>
    <x:tableColumn id="5" name="Lane"/>
    <x:tableColumn id="6" name="Пріоритет"/>
    <x:tableColumn id="7" name="Домен"/>
    <x:tableColumn id="8" name="Маршрут"/>
    <x:tableColumn id="9" name="Покриття вимог"/>
    <x:tableColumn id="10" name="Workflow fit"/>
    <x:tableColumn id="11" name="Приховані роботи"/>
    <x:tableColumn id="12" name="Масштаб"/>
    <x:tableColumn id="13" name="Документація"/>
    <x:tableColumn id="14" name="Buyer fit"/>
    <x:tableColumn id="15" name="Досяжність"/>
    <x:tableColumn id="16" name="Pilot-now score"/>
    <x:tableColumn id="17" name="Expansion score"/>
    <x:tableColumn id="18" name="Впевненість доказу"/>
    <x:tableColumn id="19" name="Статус перевірки"/>
    <x:tableColumn id="20" name="Доступ до джерела"/>
    <x:tableColumn id="21" name="Статус контакту"/>
    <x:tableColumn id="22" name="Наступна дія"/>
    <x:tableColumn id="23" name="Цільова роль"/>
    <x:tableColumn id="24" name="Доказ відповідності"/>
    <x:tableColumn id="25" name="Тригер"/>
    <x:tableColumn id="26" name="Джерело"/>
    <x:tableColumn id="27" name="ЄДРПОУ"/>
    <x:tableColumn id="28" name="Дата дослідження"/>
    <x:tableColumn id="29" name="Власник"/>
    <x:tableColumn id="30" name="Наступний контакт"/>
    <x:tableColumn id="31" name="Нотатки"/>
    <x:tableColumn id="32" name="Intent score"/>
    <x:tableColumn id="33" name="Intent priority"/>
    <x:tableColumn id="34" name="Тендерів"/>
    <x:tableColumn id="35" name="Поточних проєктів"/>
    <x:tableColumn id="36" name="Сума перемог, грн"/>
    <x:tableColumn id="37" name="Останній тендер"/>
    <x:tableColumn id="38" name="Дата перемоги"/>
    <x:tableColumn id="39" name="Строк виконання"/>
    <x:tableColumn id="40" name="Тендерні сегменти"/>
    <x:tableColumn id="41" name="Статус сайту"/>
  </x:tableColumns>
  <x:tableStyleInfo name="TableStyleMedium2" showFirstColumn="0" showLastColumn="0" showRowStripes="1" showColumnStripes="0"/>
</x:table>
</file>

<file path=xl/tables/table2.xml><?xml version="1.0" encoding="utf-8"?>
<x:table xmlns:x="http://schemas.openxmlformats.org/spreadsheetml/2006/main" id="2" name="TenderSignals549" displayName="TenderSignals549" ref="A4:N553" headerRowCount="1" totalsRowCount="0" totalsRowShown="0">
  <x:tableColumns count="14">
    <x:tableColumn id="1" name="Ранг"/>
    <x:tableColumn id="2" name="Компанія"/>
    <x:tableColumn id="3" name="ЄДРПОУ"/>
    <x:tableColumn id="4" name="Сегмент"/>
    <x:tableColumn id="5" name="Lane"/>
    <x:tableColumn id="6" name="Intent"/>
    <x:tableColumn id="7" name="Score"/>
    <x:tableColumn id="8" name="Тендерів"/>
    <x:tableColumn id="9" name="Поточних"/>
    <x:tableColumn id="10" name="Сума перемог, грн"/>
    <x:tableColumn id="11" name="Дата перемоги"/>
    <x:tableColumn id="12" name="Строк виконання"/>
    <x:tableColumn id="13" name="Останній тендер"/>
    <x:tableColumn id="14" name="URL тендера"/>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821b18efaf64d32" /></Relationships>
</file>

<file path=xl/worksheets/_rels/sheet2.xml.rels>&#65279;<?xml version="1.0" encoding="utf-8"?><Relationships xmlns="http://schemas.openxmlformats.org/package/2006/relationships"><Relationship Type="http://schemas.openxmlformats.org/officeDocument/2006/relationships/table" Target="/xl/tables/table1.xml" Id="Rc0ccace65535469c" /></Relationships>
</file>

<file path=xl/worksheets/_rels/sheet3.xml.rels>&#65279;<?xml version="1.0" encoding="utf-8"?><Relationships xmlns="http://schemas.openxmlformats.org/package/2006/relationships"><Relationship Type="http://schemas.openxmlformats.org/officeDocument/2006/relationships/table" Target="/xl/tables/table2.xml" Id="R2a7bd9042bee4f24" /></Relationships>
</file>

<file path=xl/worksheets/sheet1.xml><?xml version="1.0" encoding="utf-8"?>
<x:worksheet xmlns:x="http://schemas.openxmlformats.org/spreadsheetml/2006/main">
  <x:sheetFormatPr defaultRowHeight="15"/>
  <x:cols>
    <x:col min="1" max="1" width="15" hidden="0" customWidth="1"/>
    <x:col min="2" max="2" width="2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34" customHeight="1">
      <x:c r="A1" s="3" t="str">
        <x:v>GoProceed — market expansion cockpit</x:v>
      </x:c>
      <x:c r="B1" s="3"/>
      <x:c r="C1" s="3"/>
      <x:c r="D1" s="3"/>
      <x:c r="E1" s="3"/>
      <x:c r="F1" s="3"/>
      <x:c r="G1" s="3"/>
      <x:c r="H1" s="3"/>
      <x:c r="I1" s="3"/>
      <x:c r="J1" s="3"/>
      <x:c r="K1" s="3"/>
      <x:c r="L1" s="3"/>
      <x:c r="M1" s="3"/>
      <x:c r="N1" s="3"/>
    </x:row>
    <x:row r="2" ht="22" customHeight="1">
      <x:c r="A2" s="5" t="str">
        <x:v>815 унікальних компаній • +547 тендерно підтверджених без дублювання • знімок 24.08.2026</x:v>
      </x:c>
      <x:c r="B2" s="5"/>
      <x:c r="C2" s="5"/>
      <x:c r="D2" s="5"/>
      <x:c r="E2" s="5"/>
      <x:c r="F2" s="5"/>
      <x:c r="G2" s="5"/>
      <x:c r="H2" s="5"/>
      <x:c r="I2" s="5"/>
      <x:c r="J2" s="5"/>
      <x:c r="K2" s="5"/>
      <x:c r="L2" s="5"/>
      <x:c r="M2" s="5"/>
      <x:c r="N2" s="5"/>
    </x:row>
    <x:row r="4">
      <x:c r="A4" s="24" t="str">
        <x:v>Ключові показники</x:v>
      </x:c>
      <x:c r="B4" s="24"/>
      <x:c r="C4" s="24"/>
      <x:c r="D4" s="24"/>
      <x:c r="E4" s="24"/>
      <x:c r="F4" s="24"/>
      <x:c r="G4" s="24"/>
    </x:row>
    <x:row r="5">
      <x:c r="A5" s="28" t="str">
        <x:v>Усього</x:v>
      </x:c>
      <x:c r="B5" s="28" t="str">
        <x:v>Тендерний сигнал</x:v>
      </x:c>
      <x:c r="C5" s="28" t="str">
        <x:v>Поточний строк</x:v>
      </x:c>
      <x:c r="D5" s="28" t="str">
        <x:v>High confidence</x:v>
      </x:c>
      <x:c r="E5" s="28" t="str">
        <x:v>Pilot now</x:v>
      </x:c>
      <x:c r="F5" s="28" t="str">
        <x:v>Expansion</x:v>
      </x:c>
      <x:c r="G5" s="28" t="str">
        <x:v>Intent I1</x:v>
      </x:c>
    </x:row>
    <x:row r="6">
      <x:c r="A6" s="31" t="n">
        <x:f>COUNTA('Leads 815'!$C$5:$C$819)</x:f>
        <x:v>815</x:v>
      </x:c>
      <x:c r="B6" s="31" t="n">
        <x:f>COUNTIF('Leads 815'!$AH$5:$AH$819,"&gt;0")</x:f>
        <x:v>549</x:v>
      </x:c>
      <x:c r="C6" s="31" t="n">
        <x:f>COUNTIF('Leads 815'!$AI$5:$AI$819,"&gt;0")</x:f>
        <x:v>400</x:v>
      </x:c>
      <x:c r="D6" s="31" t="n">
        <x:f>COUNTIF('Leads 815'!$R$5:$R$819,"high")</x:f>
        <x:v>749</x:v>
      </x:c>
      <x:c r="E6" s="31" t="n">
        <x:f>COUNTIF('Leads 815'!$E$5:$E$819,"Pilot now")</x:f>
        <x:v>215</x:v>
      </x:c>
      <x:c r="F6" s="31" t="n">
        <x:f>COUNTIF('Leads 815'!$E$5:$E$819,"Expansion discovery")</x:f>
        <x:v>564</x:v>
      </x:c>
      <x:c r="G6" s="31" t="n">
        <x:f>COUNTIF('Leads 815'!$AG$5:$AG$819,"I1")</x:f>
        <x:v>28</x:v>
      </x:c>
    </x:row>
    <x:row r="7">
      <x:c r="A7" s="34" t="str">
        <x:v>Унікальні компанії</x:v>
      </x:c>
      <x:c r="B7" s="34" t="str">
        <x:v>Офіційна перемога Prozorro</x:v>
      </x:c>
      <x:c r="C7" s="34" t="str">
        <x:v>Строк виконання ≥ 24.08.2026</x:v>
      </x:c>
      <x:c r="D7" s="34" t="str">
        <x:v>Офіційний або індексований доказ</x:v>
      </x:c>
      <x:c r="E7" s="34" t="str">
        <x:v>Поточне Н.14/Н.15</x:v>
      </x:c>
      <x:c r="F7" s="34" t="str">
        <x:v>Сильний workflow, потрібні вимоги</x:v>
      </x:c>
      <x:c r="G7" s="34" t="str">
        <x:v>Найсильніший проектний намір</x:v>
      </x:c>
    </x:row>
    <x:row r="10">
      <x:c r="A10" s="24" t="str">
        <x:v>База за маршрутом</x:v>
      </x:c>
      <x:c r="B10" s="24"/>
      <x:c r="C10" s="24"/>
      <x:c r="D10" s="24"/>
      <x:c r="E10" s="24"/>
      <x:c r="F10" s="24"/>
    </x:row>
    <x:row r="11">
      <x:c r="A11" s="36" t="str">
        <x:v>Lane</x:v>
      </x:c>
      <x:c r="B11" s="36" t="str">
        <x:v>Акаунти</x:v>
      </x:c>
      <x:c r="C11" s="36" t="str">
        <x:v>Top priority</x:v>
      </x:c>
      <x:c r="D11" s="36" t="str">
        <x:v>High confidence</x:v>
      </x:c>
    </x:row>
    <x:row r="12">
      <x:c r="A12" s="37" t="str">
        <x:v>Pilot now</x:v>
      </x:c>
      <x:c r="B12" s="39" t="n">
        <x:f>COUNTIF('Leads 815'!$E$5:$E$819,A12)</x:f>
        <x:v>215</x:v>
      </x:c>
      <x:c r="C12" s="39" t="n">
        <x:f>COUNTIF('Leads 815'!$F$5:$F$819,"P1")</x:f>
        <x:v>214</x:v>
      </x:c>
      <x:c r="D12" s="39" t="n">
        <x:f>COUNTIFS('Leads 815'!$E$5:$E$819,A12,'Leads 815'!$R$5:$R$819,"high")</x:f>
        <x:v>205</x:v>
      </x:c>
    </x:row>
    <x:row r="13">
      <x:c r="A13" s="37" t="str">
        <x:v>Expansion discovery</x:v>
      </x:c>
      <x:c r="B13" s="39" t="n">
        <x:f>COUNTIF('Leads 815'!$E$5:$E$819,A13)</x:f>
        <x:v>564</x:v>
      </x:c>
      <x:c r="C13" s="39" t="n">
        <x:f>COUNTIF('Leads 815'!$F$5:$F$819,"D1")</x:f>
        <x:v>266</x:v>
      </x:c>
      <x:c r="D13" s="39" t="n">
        <x:f>COUNTIFS('Leads 815'!$E$5:$E$819,A13,'Leads 815'!$R$5:$R$819,"high")</x:f>
        <x:v>542</x:v>
      </x:c>
    </x:row>
    <x:row r="14">
      <x:c r="A14" s="37" t="str">
        <x:v>Later / requirements</x:v>
      </x:c>
      <x:c r="B14" s="39" t="n">
        <x:f>COUNTIF('Leads 815'!$E$5:$E$819,A14)</x:f>
        <x:v>8</x:v>
      </x:c>
      <x:c r="C14" s="39" t="n">
        <x:v>0</x:v>
      </x:c>
      <x:c r="D14" s="39" t="n">
        <x:f>COUNTIFS('Leads 815'!$E$5:$E$819,A14,'Leads 815'!$R$5:$R$819,"high")</x:f>
        <x:v>2</x:v>
      </x:c>
    </x:row>
    <x:row r="15">
      <x:c r="A15" s="38" t="str">
        <x:v>Requalify</x:v>
      </x:c>
      <x:c r="B15" s="40" t="n">
        <x:f>COUNTIF('Leads 815'!$E$5:$E$819,A15)</x:f>
        <x:v>28</x:v>
      </x:c>
      <x:c r="C15" s="40" t="n">
        <x:v>0</x:v>
      </x:c>
      <x:c r="D15" s="40" t="n">
        <x:f>COUNTIFS('Leads 815'!$E$5:$E$819,A15,'Leads 815'!$R$5:$R$819,"high")</x:f>
        <x:v>0</x:v>
      </x:c>
    </x:row>
    <x:row r="19">
      <x:c r="A19" s="24" t="str">
        <x:v>Що змінилося після тендерного розширення</x:v>
      </x:c>
      <x:c r="B19" s="24"/>
      <x:c r="C19" s="24"/>
      <x:c r="D19" s="24"/>
      <x:c r="E19" s="24"/>
      <x:c r="F19" s="24"/>
      <x:c r="G19" s="24"/>
      <x:c r="H19" s="24"/>
      <x:c r="I19" s="24"/>
      <x:c r="J19" s="24"/>
      <x:c r="K19" s="24"/>
      <x:c r="L19" s="24"/>
      <x:c r="M19" s="24"/>
      <x:c r="N19" s="24"/>
    </x:row>
    <x:row r="20" ht="38" customHeight="1">
      <x:c r="A20" s="43" t="str">
        <x:v>1</x:v>
      </x:c>
      <x:c r="B20" s="45" t="str">
        <x:v>Розмір бази</x:v>
      </x:c>
      <x:c r="C20" s="48" t="str">
        <x:v>База зросла з 268 до 815 компаній: додано 547 унікальних постачальників після перевірки 919 тендерів і дедуплікації за ЄДРПОУ та назвою.</x:v>
      </x:c>
      <x:c r="D20" s="48"/>
      <x:c r="E20" s="48"/>
      <x:c r="F20" s="48"/>
      <x:c r="G20" s="48"/>
      <x:c r="H20" s="48"/>
      <x:c r="I20" s="48"/>
      <x:c r="J20" s="48"/>
      <x:c r="K20" s="48"/>
      <x:c r="L20" s="48"/>
      <x:c r="M20" s="48"/>
      <x:c r="N20" s="48"/>
    </x:row>
    <x:row r="21" ht="38" customHeight="1">
      <x:c r="A21" s="43" t="str">
        <x:v>2</x:v>
      </x:c>
      <x:c r="B21" s="45" t="str">
        <x:v>Сильніший тригер</x:v>
      </x:c>
      <x:c r="C21" s="48" t="str">
        <x:v>У 549 компаній є офіційний тендерний слід; у 400 опублікований строк виконання не раніше 24.08.2026. Це конкретний привід для персоналізованого контакту.</x:v>
      </x:c>
      <x:c r="D21" s="48"/>
      <x:c r="E21" s="48"/>
      <x:c r="F21" s="48"/>
      <x:c r="G21" s="48"/>
      <x:c r="H21" s="48"/>
      <x:c r="I21" s="48"/>
      <x:c r="J21" s="48"/>
      <x:c r="K21" s="48"/>
      <x:c r="L21" s="48"/>
      <x:c r="M21" s="48"/>
      <x:c r="N21" s="48"/>
    </x:row>
    <x:row r="22" ht="38" customHeight="1">
      <x:c r="A22" s="43" t="str">
        <x:v>3</x:v>
      </x:c>
      <x:c r="B22" s="45" t="str">
        <x:v>Ширше за Н.14/Н.15</x:v>
      </x:c>
      <x:c r="C22" s="48" t="str">
        <x:v>Пошук охопив електромонтаж, внутрішню сантехніку, HVAC, зовнішні й теплові мережі, насосні станції, ГНБ, водоочищення, ВОЛЗ, SCADA, СЕС та інші доказоємні роботи.</x:v>
      </x:c>
      <x:c r="D22" s="48"/>
      <x:c r="E22" s="48"/>
      <x:c r="F22" s="48"/>
      <x:c r="G22" s="48"/>
      <x:c r="H22" s="48"/>
      <x:c r="I22" s="48"/>
      <x:c r="J22" s="48"/>
      <x:c r="K22" s="48"/>
      <x:c r="L22" s="48"/>
      <x:c r="M22" s="48"/>
      <x:c r="N22" s="48"/>
    </x:row>
    <x:row r="23" ht="38" customHeight="1">
      <x:c r="A23" s="43" t="str">
        <x:v>4</x:v>
      </x:c>
      <x:c r="B23" s="45" t="str">
        <x:v>Два офери</x:v>
      </x:c>
      <x:c r="C23" s="48" t="str">
        <x:v>Pilot now — 30–45 днів на Н.14/Н.15. Expansion — 2-тижневий workflow discovery на одному реальному пакеті без обіцянки готового нормативного покриття.</x:v>
      </x:c>
      <x:c r="D23" s="48"/>
      <x:c r="E23" s="48"/>
      <x:c r="F23" s="48"/>
      <x:c r="G23" s="48"/>
      <x:c r="H23" s="48"/>
      <x:c r="I23" s="48"/>
      <x:c r="J23" s="48"/>
      <x:c r="K23" s="48"/>
      <x:c r="L23" s="48"/>
      <x:c r="M23" s="48"/>
      <x:c r="N23" s="48"/>
    </x:row>
    <x:row r="24" ht="38" customHeight="1">
      <x:c r="A24" s="43" t="str">
        <x:v>5</x:v>
      </x:c>
      <x:c r="B24" s="45" t="str">
        <x:v>Правило довіри</x:v>
      </x:c>
      <x:c r="C24" s="49" t="str">
        <x:v>Тендерна перемога доводить проєктну активність, але не біль і не інтерес до GoProceed. Наступний доказ: відповідь → артефакт → інтерв’ю → спонсор і активний проєкт.</x:v>
      </x:c>
      <x:c r="D24" s="49"/>
      <x:c r="E24" s="49"/>
      <x:c r="F24" s="49"/>
      <x:c r="G24" s="49"/>
      <x:c r="H24" s="49"/>
      <x:c r="I24" s="49"/>
      <x:c r="J24" s="49"/>
      <x:c r="K24" s="49"/>
      <x:c r="L24" s="49"/>
      <x:c r="M24" s="49"/>
      <x:c r="N24" s="49"/>
    </x:row>
  </x:sheetData>
  <x:mergeCells>
    <x:mergeCell ref="A1:N1"/>
    <x:mergeCell ref="A2:N2"/>
    <x:mergeCell ref="A4:G4"/>
    <x:mergeCell ref="A10:F10"/>
    <x:mergeCell ref="A19:N19"/>
    <x:mergeCell ref="C20:N20"/>
    <x:mergeCell ref="C21:N21"/>
    <x:mergeCell ref="C22:N22"/>
    <x:mergeCell ref="C23:N23"/>
    <x:mergeCell ref="C24:N24"/>
  </x:mergeCells>
  <x:pageMargins left="0.7" right="0.7" top="0.75" bottom="0.75" header="0.3" footer="0.3"/>
  <x:drawing xmlns:r="http://schemas.openxmlformats.org/officeDocument/2006/relationships" r:id="Ra821b18efaf64d32"/>
</x:worksheet>
</file>

<file path=xl/worksheets/sheet2.xml><?xml version="1.0" encoding="utf-8"?>
<x:worksheet xmlns:x="http://schemas.openxmlformats.org/spreadsheetml/2006/main">
  <x:sheetFormatPr defaultRowHeight="15"/>
  <x:cols>
    <x:col min="1" max="1" width="11" hidden="0" customWidth="1"/>
    <x:col min="2" max="2" width="22" hidden="0" customWidth="1"/>
    <x:col min="3" max="3" width="28" hidden="0" customWidth="1"/>
    <x:col min="4" max="4" width="27" hidden="0" customWidth="1"/>
    <x:col min="5" max="5" width="20" hidden="0" customWidth="1"/>
    <x:col min="6" max="6" width="10" hidden="0" customWidth="1"/>
    <x:col min="7" max="7" width="23" hidden="0" customWidth="1"/>
    <x:col min="8" max="8" width="38" hidden="0" customWidth="1"/>
    <x:col min="9" max="9" width="11" hidden="0" customWidth="1"/>
    <x:col min="10" max="10" width="10" hidden="0" customWidth="1"/>
    <x:col min="11" max="11" width="12" hidden="0" customWidth="1"/>
    <x:col min="12" max="12" width="9" hidden="0" customWidth="1"/>
    <x:col min="13" max="13" width="11" hidden="0" customWidth="1"/>
    <x:col min="14" max="14" width="9" hidden="0" customWidth="1"/>
    <x:col min="15" max="15" width="10" hidden="0" customWidth="1"/>
    <x:col min="16" max="16" width="11" hidden="0" customWidth="1"/>
    <x:col min="17" max="17" width="11" hidden="0" customWidth="1"/>
    <x:col min="18" max="18" width="12" hidden="0" customWidth="1"/>
    <x:col min="19" max="19" width="30" hidden="0" customWidth="1"/>
    <x:col min="20" max="20" width="32" hidden="0" customWidth="1"/>
    <x:col min="21" max="21" width="24" hidden="0" customWidth="1"/>
    <x:col min="22" max="22" width="38" hidden="0" customWidth="1"/>
    <x:col min="23" max="23" width="30" hidden="0" customWidth="1"/>
    <x:col min="24" max="24" width="48" hidden="0" customWidth="1"/>
    <x:col min="25" max="25" width="48" hidden="0" customWidth="1"/>
    <x:col min="26" max="26" width="38" hidden="0" customWidth="1"/>
    <x:col min="27" max="27" width="12" hidden="0" customWidth="1"/>
    <x:col min="28" max="28" width="13" hidden="0" customWidth="1"/>
    <x:col min="29" max="29" width="14" hidden="0" customWidth="1"/>
    <x:col min="30" max="30" width="14" hidden="0" customWidth="1"/>
    <x:col min="31" max="31" width="32" hidden="0" customWidth="1"/>
    <x:col min="32" max="32" width="11" hidden="0" customWidth="1"/>
    <x:col min="33" max="33" width="12" hidden="0" customWidth="1"/>
    <x:col min="34" max="34" width="9" hidden="0" customWidth="1"/>
    <x:col min="35" max="35" width="12" hidden="0" customWidth="1"/>
    <x:col min="36" max="36" width="18" hidden="0" customWidth="1"/>
    <x:col min="37" max="37" width="38" hidden="0" customWidth="1"/>
    <x:col min="38" max="38" width="14" hidden="0" customWidth="1"/>
    <x:col min="39" max="39" width="14" hidden="0" customWidth="1"/>
    <x:col min="40" max="40" width="28" hidden="0" customWidth="1"/>
    <x:col min="41" max="41" width="26" hidden="0" customWidth="1"/>
  </x:cols>
  <x:sheetData>
    <x:row r="1" ht="34" customHeight="1">
      <x:c r="A1" s="3" t="str">
        <x:v>GoProceed — перевірена база потенційних клієнтів</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c r="AO1" s="3"/>
    </x:row>
    <x:row r="2" ht="22" customHeight="1">
      <x:c r="A2" s="5" t="str">
        <x:v>815 компаній • 547 нових у хвилі тендерних сигналів • 549 компаній з офіційним проєктним слідом • 60 сегментних міток</x:v>
      </x:c>
      <x:c r="B2" s="5"/>
      <x:c r="C2" s="5"/>
      <x:c r="D2" s="5"/>
      <x:c r="E2" s="5"/>
      <x:c r="F2" s="5"/>
      <x:c r="G2" s="5"/>
      <x:c r="H2" s="5"/>
      <x:c r="I2" s="5"/>
      <x:c r="J2" s="5"/>
      <x:c r="K2" s="5"/>
      <x:c r="L2" s="5"/>
      <x:c r="M2" s="5"/>
      <x:c r="N2" s="5"/>
      <x:c r="O2" s="5"/>
      <x:c r="P2" s="5"/>
      <x:c r="Q2" s="5"/>
      <x:c r="R2" s="5"/>
      <x:c r="S2" s="5"/>
      <x:c r="T2" s="5"/>
      <x:c r="U2" s="5"/>
      <x:c r="V2" s="5"/>
      <x:c r="W2" s="5"/>
      <x:c r="X2" s="5"/>
      <x:c r="Y2" s="5"/>
      <x:c r="Z2" s="5"/>
      <x:c r="AA2" s="5"/>
      <x:c r="AB2" s="5"/>
      <x:c r="AC2" s="5"/>
      <x:c r="AD2" s="5"/>
      <x:c r="AE2" s="5"/>
      <x:c r="AF2" s="5"/>
      <x:c r="AG2" s="5"/>
      <x:c r="AH2" s="5"/>
      <x:c r="AI2" s="5"/>
      <x:c r="AJ2" s="5"/>
      <x:c r="AK2" s="5"/>
      <x:c r="AL2" s="5"/>
      <x:c r="AM2" s="5"/>
      <x:c r="AN2" s="5"/>
      <x:c r="AO2" s="5"/>
    </x:row>
    <x:row r="3" ht="34" customHeight="1">
      <x:c r="A3" s="8" t="str">
        <x:v>P1/P2 — fit для пілоту. D1/D2 — discovery fit. I1/I2 — найсильніший тендерний намір. Публічна перемога підтверджує активність, але не інтерес до GoProceed.</x:v>
      </x:c>
      <x:c r="B3" s="8"/>
      <x:c r="C3" s="8"/>
      <x:c r="D3" s="8"/>
      <x:c r="E3" s="8"/>
      <x:c r="F3" s="8"/>
      <x:c r="G3" s="8"/>
      <x:c r="H3" s="8"/>
      <x:c r="I3" s="8"/>
      <x:c r="J3" s="8"/>
      <x:c r="K3" s="8"/>
      <x:c r="L3" s="8"/>
      <x:c r="M3" s="8"/>
      <x:c r="N3" s="8"/>
      <x:c r="O3" s="8"/>
      <x:c r="P3" s="8"/>
      <x:c r="Q3" s="8"/>
      <x:c r="R3" s="8"/>
      <x:c r="S3" s="8"/>
      <x:c r="T3" s="8"/>
      <x:c r="U3" s="8"/>
      <x:c r="V3" s="8"/>
      <x:c r="W3" s="8"/>
      <x:c r="X3" s="8"/>
      <x:c r="Y3" s="8"/>
      <x:c r="Z3" s="8"/>
      <x:c r="AA3" s="8"/>
      <x:c r="AB3" s="8"/>
      <x:c r="AC3" s="8"/>
      <x:c r="AD3" s="8"/>
      <x:c r="AE3" s="8"/>
      <x:c r="AF3" s="8"/>
      <x:c r="AG3" s="8"/>
      <x:c r="AH3" s="8"/>
      <x:c r="AI3" s="8"/>
      <x:c r="AJ3" s="8"/>
      <x:c r="AK3" s="8"/>
      <x:c r="AL3" s="8"/>
      <x:c r="AM3" s="8"/>
      <x:c r="AN3" s="8"/>
      <x:c r="AO3" s="8"/>
    </x:row>
    <x:row r="4" ht="34" customHeight="1">
      <x:c r="A4" s="12" t="str">
        <x:v>Lead ID</x:v>
      </x:c>
      <x:c r="B4" s="12" t="str">
        <x:v>Хвиля</x:v>
      </x:c>
      <x:c r="C4" s="12" t="str">
        <x:v>Компанія</x:v>
      </x:c>
      <x:c r="D4" s="12" t="str">
        <x:v>Сегмент</x:v>
      </x:c>
      <x:c r="E4" s="12" t="str">
        <x:v>Lane</x:v>
      </x:c>
      <x:c r="F4" s="12" t="str">
        <x:v>Пріоритет</x:v>
      </x:c>
      <x:c r="G4" s="12" t="str">
        <x:v>Домен</x:v>
      </x:c>
      <x:c r="H4" s="12" t="str">
        <x:v>Маршрут</x:v>
      </x:c>
      <x:c r="I4" s="12" t="str">
        <x:v>Покриття вимог</x:v>
      </x:c>
      <x:c r="J4" s="12" t="str">
        <x:v>Workflow fit</x:v>
      </x:c>
      <x:c r="K4" s="12" t="str">
        <x:v>Приховані роботи</x:v>
      </x:c>
      <x:c r="L4" s="12" t="str">
        <x:v>Масштаб</x:v>
      </x:c>
      <x:c r="M4" s="12" t="str">
        <x:v>Документація</x:v>
      </x:c>
      <x:c r="N4" s="12" t="str">
        <x:v>Buyer fit</x:v>
      </x:c>
      <x:c r="O4" s="12" t="str">
        <x:v>Досяжність</x:v>
      </x:c>
      <x:c r="P4" s="12" t="str">
        <x:v>Pilot-now score</x:v>
      </x:c>
      <x:c r="Q4" s="12" t="str">
        <x:v>Expansion score</x:v>
      </x:c>
      <x:c r="R4" s="12" t="str">
        <x:v>Впевненість доказу</x:v>
      </x:c>
      <x:c r="S4" s="12" t="str">
        <x:v>Статус перевірки</x:v>
      </x:c>
      <x:c r="T4" s="12" t="str">
        <x:v>Доступ до джерела</x:v>
      </x:c>
      <x:c r="U4" s="12" t="str">
        <x:v>Статус контакту</x:v>
      </x:c>
      <x:c r="V4" s="12" t="str">
        <x:v>Наступна дія</x:v>
      </x:c>
      <x:c r="W4" s="12" t="str">
        <x:v>Цільова роль</x:v>
      </x:c>
      <x:c r="X4" s="12" t="str">
        <x:v>Доказ відповідності</x:v>
      </x:c>
      <x:c r="Y4" s="12" t="str">
        <x:v>Тригер</x:v>
      </x:c>
      <x:c r="Z4" s="12" t="str">
        <x:v>Джерело</x:v>
      </x:c>
      <x:c r="AA4" s="12" t="str">
        <x:v>ЄДРПОУ</x:v>
      </x:c>
      <x:c r="AB4" s="12" t="str">
        <x:v>Дата дослідження</x:v>
      </x:c>
      <x:c r="AC4" s="12" t="str">
        <x:v>Власник</x:v>
      </x:c>
      <x:c r="AD4" s="12" t="str">
        <x:v>Наступний контакт</x:v>
      </x:c>
      <x:c r="AE4" s="12" t="str">
        <x:v>Нотатки</x:v>
      </x:c>
      <x:c r="AF4" s="12" t="str">
        <x:v>Intent score</x:v>
      </x:c>
      <x:c r="AG4" s="12" t="str">
        <x:v>Intent priority</x:v>
      </x:c>
      <x:c r="AH4" s="12" t="str">
        <x:v>Тендерів</x:v>
      </x:c>
      <x:c r="AI4" s="12" t="str">
        <x:v>Поточних проєктів</x:v>
      </x:c>
      <x:c r="AJ4" s="12" t="str">
        <x:v>Сума перемог, грн</x:v>
      </x:c>
      <x:c r="AK4" s="12" t="str">
        <x:v>Останній тендер</x:v>
      </x:c>
      <x:c r="AL4" s="12" t="str">
        <x:v>Дата перемоги</x:v>
      </x:c>
      <x:c r="AM4" s="12" t="str">
        <x:v>Строк виконання</x:v>
      </x:c>
      <x:c r="AN4" s="12" t="str">
        <x:v>Тендерні сегменти</x:v>
      </x:c>
      <x:c r="AO4" s="12" t="str">
        <x:v>Статус сайту</x:v>
      </x:c>
    </x:row>
    <x:row r="5">
      <x:c r="A5" s="14" t="str">
        <x:v>V3-030</x:v>
      </x:c>
      <x:c r="B5" s="14" t="str">
        <x:v>Досліджено 28.07</x:v>
      </x:c>
      <x:c r="C5" s="14" t="str">
        <x:v>ТОВ «ЕДС-ІНЖИНІРИНГ»</x:v>
      </x:c>
      <x:c r="D5" s="14" t="str">
        <x:v>Електромонтаж</x:v>
      </x:c>
      <x:c r="E5" s="14" t="str">
        <x:v>Pilot now</x:v>
      </x:c>
      <x:c r="F5" s="17" t="str">
        <x:f>IF(E5="Pilot now",IF(P5&gt;=84,"P1",IF(P5&gt;=72,"P2","P3")),IF(E5="Expansion discovery",IF(Q5&gt;=88,"D1",IF(Q5&gt;=78,"D2","D3")),IF(E5="Later / requirements","L","Legacy")))</x:f>
        <x:v>P1</x:v>
      </x:c>
      <x:c r="G5" s="14" t="str">
        <x:v>eds-ukraine.com</x:v>
      </x:c>
      <x:c r="H5" s="14" t="str">
        <x:v>Пілот зараз — Н.15</x:v>
      </x:c>
      <x:c r="I5" s="16" t="n">
        <x:v>5</x:v>
      </x:c>
      <x:c r="J5" s="16" t="n">
        <x:v>5</x:v>
      </x:c>
      <x:c r="K5" s="16" t="n">
        <x:v>5</x:v>
      </x:c>
      <x:c r="L5" s="16" t="n">
        <x:v>5</x:v>
      </x:c>
      <x:c r="M5" s="16" t="n">
        <x:v>5</x:v>
      </x:c>
      <x:c r="N5" s="16" t="n">
        <x:v>5</x:v>
      </x:c>
      <x:c r="O5" s="16" t="n">
        <x:v>5</x:v>
      </x:c>
      <x:c r="P5" s="16" t="n">
        <x:f>IF(COUNT(I5:O5)&lt;7,"",I5*8+J5*3+K5*2+L5*2+M5*2+N5*2+O5)</x:f>
        <x:v>100</x:v>
      </x:c>
      <x:c r="Q5" s="16" t="n">
        <x:f>IF(COUNT(J5:O5)&lt;6,"",J5*5+K5*4+M5*4+L5*3+N5*2+O5*2)</x:f>
        <x:v>100</x:v>
      </x:c>
      <x:c r="R5" s="14" t="str">
        <x:v>medium</x:v>
      </x:c>
      <x:c r="S5" s="14" t="str">
        <x:v>historical_research_2026-07-28</x:v>
      </x:c>
      <x:c r="T5" s="14" t="str">
        <x:v>historical_official_research</x:v>
      </x:c>
      <x:c r="U5" s="14" t="str">
        <x:v>Надіслано 28.07 — follow-up</x:v>
      </x:c>
      <x:c r="V5" s="15" t="str">
        <x:v>Follow-up з review-link; далі попросити 1 анонімізований артефакт</x:v>
      </x:c>
      <x:c r="W5" s="15" t="str">
        <x:v>Власник / директор; керівник ПТО</x:v>
      </x:c>
      <x:c r="X5" s="15" t="str">
        <x:v>EPC/інжиніринг енергетичних об’єктів; будівництво кабельних ліній 0,4–35 кВ, електромонтажні та пусконалагоджувальні роботи.</x:v>
      </x:c>
      <x:c r="Y5" s="15" t="str">
        <x:v>Траншеї, кабельні траси, муфти, заземлення та випробування потребують фотофіксації й доказів до засипання/закриття.</x:v>
      </x:c>
      <x:c r="Z5" s="15" t="str">
        <x:v>https://eds-ukraine.com/en/</x:v>
      </x:c>
      <x:c r="AA5" s="14" t="str">
        <x:v>38114069</x:v>
      </x:c>
      <x:c r="AB5" s="14" t="str">
        <x:v>2026-07-28</x:v>
      </x:c>
      <x:c r="AC5" s="14" t="str">
        <x:v>Олександр</x:v>
      </x:c>
      <x:c r="AD5" s="20" t="str"/>
      <x:c r="AE5" s="14" t="str"/>
      <x:c r="AF5" s="14" t="n">
        <x:v>0</x:v>
      </x:c>
      <x:c r="AG5" s="14" t="str">
        <x:v>—</x:v>
      </x:c>
      <x:c r="AH5" s="14" t="n">
        <x:v>0</x:v>
      </x:c>
      <x:c r="AI5" s="14" t="n">
        <x:v>0</x:v>
      </x:c>
      <x:c r="AJ5" s="18" t="n">
        <x:v>0</x:v>
      </x:c>
      <x:c r="AK5" s="14" t="str"/>
      <x:c r="AL5" s="19" t="str"/>
      <x:c r="AM5" s="19" t="str"/>
      <x:c r="AN5" s="15" t="str"/>
      <x:c r="AO5" s="15" t="str">
        <x:v>historical_research_2026-07-28</x:v>
      </x:c>
    </x:row>
    <x:row r="6">
      <x:c r="A6" s="14" t="str">
        <x:v>V3-031</x:v>
      </x:c>
      <x:c r="B6" s="14" t="str">
        <x:v>Досліджено 28.07</x:v>
      </x:c>
      <x:c r="C6" s="14" t="str">
        <x:v>ТОВ «ЕЛЕКТРОПОЛЮС-ІФ»</x:v>
      </x:c>
      <x:c r="D6" s="14" t="str">
        <x:v>Електромонтаж</x:v>
      </x:c>
      <x:c r="E6" s="14" t="str">
        <x:v>Pilot now</x:v>
      </x:c>
      <x:c r="F6" s="17" t="str">
        <x:f>IF(E6="Pilot now",IF(P6&gt;=84,"P1",IF(P6&gt;=72,"P2","P3")),IF(E6="Expansion discovery",IF(Q6&gt;=88,"D1",IF(Q6&gt;=78,"D2","D3")),IF(E6="Later / requirements","L","Legacy")))</x:f>
        <x:v>P1</x:v>
      </x:c>
      <x:c r="G6" s="14" t="str">
        <x:v>elektropolus-if.com</x:v>
      </x:c>
      <x:c r="H6" s="14" t="str">
        <x:v>Пілот зараз — Н.15</x:v>
      </x:c>
      <x:c r="I6" s="16" t="n">
        <x:v>5</x:v>
      </x:c>
      <x:c r="J6" s="16" t="n">
        <x:v>5</x:v>
      </x:c>
      <x:c r="K6" s="16" t="n">
        <x:v>5</x:v>
      </x:c>
      <x:c r="L6" s="16" t="n">
        <x:v>5</x:v>
      </x:c>
      <x:c r="M6" s="16" t="n">
        <x:v>5</x:v>
      </x:c>
      <x:c r="N6" s="16" t="n">
        <x:v>5</x:v>
      </x:c>
      <x:c r="O6" s="16" t="n">
        <x:v>5</x:v>
      </x:c>
      <x:c r="P6" s="16" t="n">
        <x:f>IF(COUNT(I6:O6)&lt;7,"",I6*8+J6*3+K6*2+L6*2+M6*2+N6*2+O6)</x:f>
        <x:v>100</x:v>
      </x:c>
      <x:c r="Q6" s="16" t="n">
        <x:f>IF(COUNT(J6:O6)&lt;6,"",J6*5+K6*4+M6*4+L6*3+N6*2+O6*2)</x:f>
        <x:v>100</x:v>
      </x:c>
      <x:c r="R6" s="14" t="str">
        <x:v>medium</x:v>
      </x:c>
      <x:c r="S6" s="14" t="str">
        <x:v>historical_research_2026-07-28</x:v>
      </x:c>
      <x:c r="T6" s="14" t="str">
        <x:v>historical_official_research</x:v>
      </x:c>
      <x:c r="U6" s="14" t="str">
        <x:v>Надіслано 28.07 — follow-up</x:v>
      </x:c>
      <x:c r="V6" s="15" t="str">
        <x:v>Повторне звернення з посиланням на UA-2026-02-02-012243-a; попросити 1 пакет здачі з поточного workflow</x:v>
      </x:c>
      <x:c r="W6" s="15" t="str">
        <x:v>Власник / директор; керівник ПТО</x:v>
      </x:c>
      <x:c r="X6" s="15" t="str">
        <x:v>65 фахівців, 530 проєктів в Україні та до 7 проєктів одночасно; проєктування, монтаж, випробування й сервіс.</x:v>
      </x:c>
      <x:c r="Y6" s="15" t="str">
        <x:v>Внутрішні/зовнішні електромережі, кабельні лінії й підстанції створюють багато контрольних точок перед закриттям.</x:v>
      </x:c>
      <x:c r="Z6" s="15" t="str">
        <x:v>https://elektropolus-if.com/en</x:v>
      </x:c>
      <x:c r="AA6" s="14" t="str">
        <x:v>34084649</x:v>
      </x:c>
      <x:c r="AB6" s="14" t="str">
        <x:v>2026-07-28</x:v>
      </x:c>
      <x:c r="AC6" s="14" t="str">
        <x:v>Олександр</x:v>
      </x:c>
      <x:c r="AD6" s="20" t="str"/>
      <x:c r="AE6" s="14" t="str"/>
      <x:c r="AF6" s="14" t="n">
        <x:v>75</x:v>
      </x:c>
      <x:c r="AG6" s="14" t="str">
        <x:v>I1</x:v>
      </x:c>
      <x:c r="AH6" s="14" t="n">
        <x:v>6</x:v>
      </x:c>
      <x:c r="AI6" s="14" t="n">
        <x:v>6</x:v>
      </x:c>
      <x:c r="AJ6" s="18" t="n">
        <x:v>4826112</x:v>
      </x:c>
      <x:c r="AK6" s="14" t="str">
        <x:v>https://prozorro.gov.ua/tender/UA-2026-02-02-012243-a</x:v>
      </x:c>
      <x:c r="AL6" s="19" t="n">
        <x:v>46055.59493230324</x:v>
      </x:c>
      <x:c r="AM6" s="19" t="n">
        <x:v>46387.59721064815</x:v>
      </x:c>
      <x:c r="AN6" s="15" t="str">
        <x:v>ВОЛЗ / телеком</x:v>
      </x:c>
      <x:c r="AO6" s="15" t="str">
        <x:v>historical_research_2026-07-28</x:v>
      </x:c>
    </x:row>
    <x:row r="7">
      <x:c r="A7" s="14" t="str">
        <x:v>V3-029</x:v>
      </x:c>
      <x:c r="B7" s="14" t="str">
        <x:v>Досліджено 28.07</x:v>
      </x:c>
      <x:c r="C7" s="14" t="str">
        <x:v>ТОВ «ЕНЕРДЖІ ГРУП»</x:v>
      </x:c>
      <x:c r="D7" s="14" t="str">
        <x:v>Електромонтаж</x:v>
      </x:c>
      <x:c r="E7" s="14" t="str">
        <x:v>Pilot now</x:v>
      </x:c>
      <x:c r="F7" s="17" t="str">
        <x:f>IF(E7="Pilot now",IF(P7&gt;=84,"P1",IF(P7&gt;=72,"P2","P3")),IF(E7="Expansion discovery",IF(Q7&gt;=88,"D1",IF(Q7&gt;=78,"D2","D3")),IF(E7="Later / requirements","L","Legacy")))</x:f>
        <x:v>P1</x:v>
      </x:c>
      <x:c r="G7" s="14" t="str">
        <x:v>eg-ltd.com.ua</x:v>
      </x:c>
      <x:c r="H7" s="14" t="str">
        <x:v>Пілот зараз — Н.15</x:v>
      </x:c>
      <x:c r="I7" s="16" t="n">
        <x:v>5</x:v>
      </x:c>
      <x:c r="J7" s="16" t="n">
        <x:v>5</x:v>
      </x:c>
      <x:c r="K7" s="16" t="n">
        <x:v>5</x:v>
      </x:c>
      <x:c r="L7" s="16" t="n">
        <x:v>5</x:v>
      </x:c>
      <x:c r="M7" s="16" t="n">
        <x:v>5</x:v>
      </x:c>
      <x:c r="N7" s="16" t="n">
        <x:v>5</x:v>
      </x:c>
      <x:c r="O7" s="16" t="n">
        <x:v>5</x:v>
      </x:c>
      <x:c r="P7" s="16" t="n">
        <x:f>IF(COUNT(I7:O7)&lt;7,"",I7*8+J7*3+K7*2+L7*2+M7*2+N7*2+O7)</x:f>
        <x:v>100</x:v>
      </x:c>
      <x:c r="Q7" s="16" t="n">
        <x:f>IF(COUNT(J7:O7)&lt;6,"",J7*5+K7*4+M7*4+L7*3+N7*2+O7*2)</x:f>
        <x:v>100</x:v>
      </x:c>
      <x:c r="R7" s="14" t="str">
        <x:v>medium</x:v>
      </x:c>
      <x:c r="S7" s="14" t="str">
        <x:v>historical_research_2026-07-28</x:v>
      </x:c>
      <x:c r="T7" s="14" t="str">
        <x:v>historical_official_research</x:v>
      </x:c>
      <x:c r="U7" s="14" t="str">
        <x:v>Надіслано 28.07 — follow-up</x:v>
      </x:c>
      <x:c r="V7" s="15" t="str">
        <x:v>Follow-up з review-link; далі попросити 1 анонімізований артефакт</x:v>
      </x:c>
      <x:c r="W7" s="15" t="str">
        <x:v>Власник / директор; керівник ПТО</x:v>
      </x:c>
      <x:c r="X7" s="15" t="str">
        <x:v>8 мобільних монтажних бригад; 116 реалізованих проєктів; проєктування, монтаж, пусконалагодження, випробування та введення в експлуатацію.</x:v>
      </x:c>
      <x:c r="Y7" s="15" t="str">
        <x:v>Кабельні лінії до 110 кВ, внутрішні мережі, ГНБ і щитове обладнання мають критичні приховані етапи та акти до закриття.</x:v>
      </x:c>
      <x:c r="Z7" s="15" t="str">
        <x:v>https://eg-ltd.com.ua/electric-works-uk/</x:v>
      </x:c>
      <x:c r="AA7" s="14" t="str">
        <x:v>40169080</x:v>
      </x:c>
      <x:c r="AB7" s="14" t="str">
        <x:v>2026-07-28</x:v>
      </x:c>
      <x:c r="AC7" s="14" t="str">
        <x:v>Олександр</x:v>
      </x:c>
      <x:c r="AD7" s="20" t="str"/>
      <x:c r="AE7" s="14" t="str"/>
      <x:c r="AF7" s="14" t="n">
        <x:v>0</x:v>
      </x:c>
      <x:c r="AG7" s="14" t="str">
        <x:v>—</x:v>
      </x:c>
      <x:c r="AH7" s="14" t="n">
        <x:v>0</x:v>
      </x:c>
      <x:c r="AI7" s="14" t="n">
        <x:v>0</x:v>
      </x:c>
      <x:c r="AJ7" s="18" t="n">
        <x:v>0</x:v>
      </x:c>
      <x:c r="AK7" s="14" t="str"/>
      <x:c r="AL7" s="19" t="str"/>
      <x:c r="AM7" s="19" t="str"/>
      <x:c r="AN7" s="15" t="str"/>
      <x:c r="AO7" s="15" t="str">
        <x:v>historical_research_2026-07-28</x:v>
      </x:c>
    </x:row>
    <x:row r="8">
      <x:c r="A8" s="14" t="str">
        <x:v>AUG-034</x:v>
      </x:c>
      <x:c r="B8" s="14" t="str">
        <x:v>Перевірено 51 — 24.08</x:v>
      </x:c>
      <x:c r="C8" s="14" t="str">
        <x:v>Intech Energy Group</x:v>
      </x:c>
      <x:c r="D8" s="14" t="str">
        <x:v>Промислова електрика</x:v>
      </x:c>
      <x:c r="E8" s="14" t="str">
        <x:v>Pilot now</x:v>
      </x:c>
      <x:c r="F8" s="17" t="str">
        <x:f>IF(E8="Pilot now",IF(P8&gt;=84,"P1",IF(P8&gt;=72,"P2","P3")),IF(E8="Expansion discovery",IF(Q8&gt;=88,"D1",IF(Q8&gt;=78,"D2","D3")),IF(E8="Later / requirements","L","Legacy")))</x:f>
        <x:v>P1</x:v>
      </x:c>
      <x:c r="G8" s="14" t="str">
        <x:v>ukrenergygroup.com</x:v>
      </x:c>
      <x:c r="H8" s="14" t="str">
        <x:v>Пілот зараз — Н.15</x:v>
      </x:c>
      <x:c r="I8" s="16" t="n">
        <x:v>5</x:v>
      </x:c>
      <x:c r="J8" s="16" t="n">
        <x:v>5</x:v>
      </x:c>
      <x:c r="K8" s="16" t="n">
        <x:v>5</x:v>
      </x:c>
      <x:c r="L8" s="16" t="n">
        <x:v>5</x:v>
      </x:c>
      <x:c r="M8" s="16" t="n">
        <x:v>5</x:v>
      </x:c>
      <x:c r="N8" s="16" t="n">
        <x:v>5</x:v>
      </x:c>
      <x:c r="O8" s="16" t="n">
        <x:v>5</x:v>
      </x:c>
      <x:c r="P8" s="16" t="n">
        <x:f>IF(COUNT(I8:O8)&lt;7,"",I8*8+J8*3+K8*2+L8*2+M8*2+N8*2+O8)</x:f>
        <x:v>100</x:v>
      </x:c>
      <x:c r="Q8" s="16" t="n">
        <x:f>IF(COUNT(J8:O8)&lt;6,"",J8*5+K8*4+M8*4+L8*3+N8*2+O8*2)</x:f>
        <x:v>100</x:v>
      </x:c>
      <x:c r="R8" s="14" t="str">
        <x:v>high</x:v>
      </x:c>
      <x:c r="S8" s="14" t="str">
        <x:v>official_source_reverified</x:v>
      </x:c>
      <x:c r="T8" s="14" t="str">
        <x:v>official_source_reachable</x:v>
      </x:c>
      <x:c r="U8" s="14" t="str">
        <x:v>Новий — не контактували</x:v>
      </x:c>
      <x:c r="V8" s="15" t="str">
        <x:v>Персоналізувати review-flow за доказом; попросити 1 артефакт</x:v>
      </x:c>
      <x:c r="W8" s="15" t="str">
        <x:v>Коммерческий директор; руководитель ПТО / строительства</x:v>
      </x:c>
      <x:c r="X8" s="15" t="str">
        <x:v>Кабельные линии и ЛЭП до 110 кВ, подстанции, релейная защита, внутренние сети, заземление и АСУ ТП.</x:v>
      </x:c>
      <x:c r="Y8" s="15" t="str">
        <x:v>Практически идеальное покрытие Н.15 и высокая документальная сложность.</x:v>
      </x:c>
      <x:c r="Z8" s="15" t="str">
        <x:v>https://www.ukrenergygroup.com/</x:v>
      </x:c>
      <x:c r="AA8" s="14" t="str"/>
      <x:c r="AB8" s="14" t="str">
        <x:v>2026-08-24</x:v>
      </x:c>
      <x:c r="AC8" s="14" t="str">
        <x:v>Олександр</x:v>
      </x:c>
      <x:c r="AD8" s="20" t="str"/>
      <x:c r="AE8" s="14" t="str"/>
      <x:c r="AF8" s="14" t="n">
        <x:v>0</x:v>
      </x:c>
      <x:c r="AG8" s="14" t="str">
        <x:v>—</x:v>
      </x:c>
      <x:c r="AH8" s="14" t="n">
        <x:v>0</x:v>
      </x:c>
      <x:c r="AI8" s="14" t="n">
        <x:v>0</x:v>
      </x:c>
      <x:c r="AJ8" s="18" t="n">
        <x:v>0</x:v>
      </x:c>
      <x:c r="AK8" s="14" t="str"/>
      <x:c r="AL8" s="19" t="str"/>
      <x:c r="AM8" s="19" t="str"/>
      <x:c r="AN8" s="15" t="str"/>
      <x:c r="AO8" s="15" t="str">
        <x:v>official_source_reverified</x:v>
      </x:c>
    </x:row>
    <x:row r="9">
      <x:c r="A9" s="14" t="str">
        <x:v>AUG-024</x:v>
      </x:c>
      <x:c r="B9" s="14" t="str">
        <x:v>Перевірено 51 — 24.08</x:v>
      </x:c>
      <x:c r="C9" s="14" t="str">
        <x:v>Прогрес Електрик</x:v>
      </x:c>
      <x:c r="D9" s="14" t="str">
        <x:v>Промислова електрика + СЕС</x:v>
      </x:c>
      <x:c r="E9" s="14" t="str">
        <x:v>Pilot now</x:v>
      </x:c>
      <x:c r="F9" s="17" t="str">
        <x:f>IF(E9="Pilot now",IF(P9&gt;=84,"P1",IF(P9&gt;=72,"P2","P3")),IF(E9="Expansion discovery",IF(Q9&gt;=88,"D1",IF(Q9&gt;=78,"D2","D3")),IF(E9="Later / requirements","L","Legacy")))</x:f>
        <x:v>P1</x:v>
      </x:c>
      <x:c r="G9" s="14" t="str">
        <x:v>proelectric.com.ua</x:v>
      </x:c>
      <x:c r="H9" s="14" t="str">
        <x:v>Пілот зараз — Н.15</x:v>
      </x:c>
      <x:c r="I9" s="16" t="n">
        <x:v>5</x:v>
      </x:c>
      <x:c r="J9" s="16" t="n">
        <x:v>5</x:v>
      </x:c>
      <x:c r="K9" s="16" t="n">
        <x:v>5</x:v>
      </x:c>
      <x:c r="L9" s="16" t="n">
        <x:v>5</x:v>
      </x:c>
      <x:c r="M9" s="16" t="n">
        <x:v>4</x:v>
      </x:c>
      <x:c r="N9" s="16" t="n">
        <x:v>5</x:v>
      </x:c>
      <x:c r="O9" s="16" t="n">
        <x:v>5</x:v>
      </x:c>
      <x:c r="P9" s="16" t="n">
        <x:f>IF(COUNT(I9:O9)&lt;7,"",I9*8+J9*3+K9*2+L9*2+M9*2+N9*2+O9)</x:f>
        <x:v>98</x:v>
      </x:c>
      <x:c r="Q9" s="16" t="n">
        <x:f>IF(COUNT(J9:O9)&lt;6,"",J9*5+K9*4+M9*4+L9*3+N9*2+O9*2)</x:f>
        <x:v>96</x:v>
      </x:c>
      <x:c r="R9" s="14" t="str">
        <x:v>high</x:v>
      </x:c>
      <x:c r="S9" s="14" t="str">
        <x:v>official_source_reverified</x:v>
      </x:c>
      <x:c r="T9" s="14" t="str">
        <x:v>official_source_reachable</x:v>
      </x:c>
      <x:c r="U9" s="14" t="str">
        <x:v>Новий — не контактували</x:v>
      </x:c>
      <x:c r="V9" s="15" t="str">
        <x:v>Персоналізувати review-flow за доказом; попросити 1 артефакт</x:v>
      </x:c>
      <x:c r="W9" s="15" t="str">
        <x:v>Директор; руководитель энергетических проектов / ПТО</x:v>
      </x:c>
      <x:c r="X9" s="15" t="str">
        <x:v>100+ объектов, промышленные СЭС до 40 МВт, кабельные линии и подстанции; проекты для крупных украинских брендов.</x:v>
      </x:c>
      <x:c r="Y9" s="15" t="str">
        <x:v>Кабельные линии и заземление соответствуют Н.15 и дают измеримый цикл до технадзора.</x:v>
      </x:c>
      <x:c r="Z9" s="15" t="str">
        <x:v>https://proelectric.com.ua/proyekty/</x:v>
      </x:c>
      <x:c r="AA9" s="14" t="str"/>
      <x:c r="AB9" s="14" t="str">
        <x:v>2026-08-24</x:v>
      </x:c>
      <x:c r="AC9" s="14" t="str">
        <x:v>Олександр</x:v>
      </x:c>
      <x:c r="AD9" s="20" t="str"/>
      <x:c r="AE9" s="14" t="str"/>
      <x:c r="AF9" s="14" t="n">
        <x:v>0</x:v>
      </x:c>
      <x:c r="AG9" s="14" t="str">
        <x:v>—</x:v>
      </x:c>
      <x:c r="AH9" s="14" t="n">
        <x:v>0</x:v>
      </x:c>
      <x:c r="AI9" s="14" t="n">
        <x:v>0</x:v>
      </x:c>
      <x:c r="AJ9" s="18" t="n">
        <x:v>0</x:v>
      </x:c>
      <x:c r="AK9" s="14" t="str"/>
      <x:c r="AL9" s="19" t="str"/>
      <x:c r="AM9" s="19" t="str"/>
      <x:c r="AN9" s="15" t="str"/>
      <x:c r="AO9" s="15" t="str">
        <x:v>official_source_reverified</x:v>
      </x:c>
    </x:row>
    <x:row r="10">
      <x:c r="A10" s="14" t="str">
        <x:v>AUG-037</x:v>
      </x:c>
      <x:c r="B10" s="14" t="str">
        <x:v>Перевірено 51 — 24.08</x:v>
      </x:c>
      <x:c r="C10" s="14" t="str">
        <x:v>СМІТ ІНЖИНІРИНГ</x:v>
      </x:c>
      <x:c r="D10" s="14" t="str">
        <x:v>Електрика + слаботочка</x:v>
      </x:c>
      <x:c r="E10" s="14" t="str">
        <x:v>Pilot now</x:v>
      </x:c>
      <x:c r="F10" s="17" t="str">
        <x:f>IF(E10="Pilot now",IF(P10&gt;=84,"P1",IF(P10&gt;=72,"P2","P3")),IF(E10="Expansion discovery",IF(Q10&gt;=88,"D1",IF(Q10&gt;=78,"D2","D3")),IF(E10="Later / requirements","L","Legacy")))</x:f>
        <x:v>P1</x:v>
      </x:c>
      <x:c r="G10" s="14" t="str">
        <x:v>smit.ua</x:v>
      </x:c>
      <x:c r="H10" s="14" t="str">
        <x:v>Пілот зараз — Н.15</x:v>
      </x:c>
      <x:c r="I10" s="16" t="n">
        <x:v>5</x:v>
      </x:c>
      <x:c r="J10" s="16" t="n">
        <x:v>5</x:v>
      </x:c>
      <x:c r="K10" s="16" t="n">
        <x:v>5</x:v>
      </x:c>
      <x:c r="L10" s="16" t="n">
        <x:v>4</x:v>
      </x:c>
      <x:c r="M10" s="16" t="n">
        <x:v>5</x:v>
      </x:c>
      <x:c r="N10" s="16" t="n">
        <x:v>5</x:v>
      </x:c>
      <x:c r="O10" s="16" t="n">
        <x:v>5</x:v>
      </x:c>
      <x:c r="P10" s="16" t="n">
        <x:f>IF(COUNT(I10:O10)&lt;7,"",I10*8+J10*3+K10*2+L10*2+M10*2+N10*2+O10)</x:f>
        <x:v>98</x:v>
      </x:c>
      <x:c r="Q10" s="16" t="n">
        <x:f>IF(COUNT(J10:O10)&lt;6,"",J10*5+K10*4+M10*4+L10*3+N10*2+O10*2)</x:f>
        <x:v>97</x:v>
      </x:c>
      <x:c r="R10" s="14" t="str">
        <x:v>high</x:v>
      </x:c>
      <x:c r="S10" s="14" t="str">
        <x:v>official_source_reverified</x:v>
      </x:c>
      <x:c r="T10" s="14" t="str">
        <x:v>official_source_reachable</x:v>
      </x:c>
      <x:c r="U10" s="14" t="str">
        <x:v>Новий — не контактували</x:v>
      </x:c>
      <x:c r="V10" s="15" t="str">
        <x:v>Персоналізувати review-flow за доказом; попросити 1 артефакт</x:v>
      </x:c>
      <x:c r="W10" s="15" t="str">
        <x:v>Директор; руководитель проектов / ПТО</x:v>
      </x:c>
      <x:c r="X10" s="15" t="str">
        <x:v>Полный цикл проектирования, кабельных линий, электроосвещения, автоматизации и слабострумных систем.</x:v>
      </x:c>
      <x:c r="Y10" s="15" t="str">
        <x:v>Поддержанные скрытые кабельные работы можно связать с проектом и пусконаладкой.</x:v>
      </x:c>
      <x:c r="Z10" s="15" t="str">
        <x:v>https://smit.ua/</x:v>
      </x:c>
      <x:c r="AA10" s="14" t="str"/>
      <x:c r="AB10" s="14" t="str">
        <x:v>2026-08-24</x:v>
      </x:c>
      <x:c r="AC10" s="14" t="str">
        <x:v>Олександр</x:v>
      </x:c>
      <x:c r="AD10" s="20" t="str"/>
      <x:c r="AE10" s="14" t="str"/>
      <x:c r="AF10" s="14" t="n">
        <x:v>0</x:v>
      </x:c>
      <x:c r="AG10" s="14" t="str">
        <x:v>—</x:v>
      </x:c>
      <x:c r="AH10" s="14" t="n">
        <x:v>0</x:v>
      </x:c>
      <x:c r="AI10" s="14" t="n">
        <x:v>0</x:v>
      </x:c>
      <x:c r="AJ10" s="18" t="n">
        <x:v>0</x:v>
      </x:c>
      <x:c r="AK10" s="14" t="str"/>
      <x:c r="AL10" s="19" t="str"/>
      <x:c r="AM10" s="19" t="str"/>
      <x:c r="AN10" s="15" t="str"/>
      <x:c r="AO10" s="15" t="str">
        <x:v>official_source_reverified</x:v>
      </x:c>
    </x:row>
    <x:row r="11">
      <x:c r="A11" s="14" t="str">
        <x:v>AUG-025</x:v>
      </x:c>
      <x:c r="B11" s="14" t="str">
        <x:v>Перевірено 51 — 24.08</x:v>
      </x:c>
      <x:c r="C11" s="14" t="str">
        <x:v>Спецбудмонтаж-Україна</x:v>
      </x:c>
      <x:c r="D11" s="14" t="str">
        <x:v>Промисловий MEP</x:v>
      </x:c>
      <x:c r="E11" s="14" t="str">
        <x:v>Pilot now</x:v>
      </x:c>
      <x:c r="F11" s="17" t="str">
        <x:f>IF(E11="Pilot now",IF(P11&gt;=84,"P1",IF(P11&gt;=72,"P2","P3")),IF(E11="Expansion discovery",IF(Q11&gt;=88,"D1",IF(Q11&gt;=78,"D2","D3")),IF(E11="Later / requirements","L","Legacy")))</x:f>
        <x:v>P1</x:v>
      </x:c>
      <x:c r="G11" s="14" t="str">
        <x:v>specstrojmontazh.ua</x:v>
      </x:c>
      <x:c r="H11" s="14" t="str">
        <x:v>Пілот зараз — Н.14 + Н.15</x:v>
      </x:c>
      <x:c r="I11" s="16" t="n">
        <x:v>5</x:v>
      </x:c>
      <x:c r="J11" s="16" t="n">
        <x:v>5</x:v>
      </x:c>
      <x:c r="K11" s="16" t="n">
        <x:v>5</x:v>
      </x:c>
      <x:c r="L11" s="16" t="n">
        <x:v>4</x:v>
      </x:c>
      <x:c r="M11" s="16" t="n">
        <x:v>5</x:v>
      </x:c>
      <x:c r="N11" s="16" t="n">
        <x:v>5</x:v>
      </x:c>
      <x:c r="O11" s="16" t="n">
        <x:v>5</x:v>
      </x:c>
      <x:c r="P11" s="16" t="n">
        <x:f>IF(COUNT(I11:O11)&lt;7,"",I11*8+J11*3+K11*2+L11*2+M11*2+N11*2+O11)</x:f>
        <x:v>98</x:v>
      </x:c>
      <x:c r="Q11" s="16" t="n">
        <x:f>IF(COUNT(J11:O11)&lt;6,"",J11*5+K11*4+M11*4+L11*3+N11*2+O11*2)</x:f>
        <x:v>97</x:v>
      </x:c>
      <x:c r="R11" s="14" t="str">
        <x:v>high</x:v>
      </x:c>
      <x:c r="S11" s="14" t="str">
        <x:v>official_source_reverified</x:v>
      </x:c>
      <x:c r="T11" s="14" t="str">
        <x:v>official_source_reachable</x:v>
      </x:c>
      <x:c r="U11" s="14" t="str">
        <x:v>Новий — не контактували</x:v>
      </x:c>
      <x:c r="V11" s="15" t="str">
        <x:v>Персоналізувати review-flow за доказом; попросити 1 артефакт</x:v>
      </x:c>
      <x:c r="W11" s="15" t="str">
        <x:v>Коммерческий директор; руководитель ПТО</x:v>
      </x:c>
      <x:c r="X11" s="15" t="str">
        <x:v>Промышленные инженерные сети и технологическое оборудование для переработки, горной, химической и агропромышленности.</x:v>
      </x:c>
      <x:c r="Y11" s="15" t="str">
        <x:v>Внутренние санитарные системы и электроснабжение можно пилотировать без охвата всего генподряда.</x:v>
      </x:c>
      <x:c r="Z11" s="15" t="str">
        <x:v>https://specstrojmontazh.ua/services/seti.html</x:v>
      </x:c>
      <x:c r="AA11" s="14" t="str"/>
      <x:c r="AB11" s="14" t="str">
        <x:v>2026-08-24</x:v>
      </x:c>
      <x:c r="AC11" s="14" t="str">
        <x:v>Олександр</x:v>
      </x:c>
      <x:c r="AD11" s="20" t="str"/>
      <x:c r="AE11" s="14" t="str"/>
      <x:c r="AF11" s="14" t="n">
        <x:v>0</x:v>
      </x:c>
      <x:c r="AG11" s="14" t="str">
        <x:v>—</x:v>
      </x:c>
      <x:c r="AH11" s="14" t="n">
        <x:v>0</x:v>
      </x:c>
      <x:c r="AI11" s="14" t="n">
        <x:v>0</x:v>
      </x:c>
      <x:c r="AJ11" s="18" t="n">
        <x:v>0</x:v>
      </x:c>
      <x:c r="AK11" s="14" t="str"/>
      <x:c r="AL11" s="19" t="str"/>
      <x:c r="AM11" s="19" t="str"/>
      <x:c r="AN11" s="15" t="str"/>
      <x:c r="AO11" s="15" t="str">
        <x:v>official_source_reverified</x:v>
      </x:c>
    </x:row>
    <x:row r="12">
      <x:c r="A12" s="14" t="str">
        <x:v>AUG-031</x:v>
      </x:c>
      <x:c r="B12" s="14" t="str">
        <x:v>Перевірено 51 — 24.08</x:v>
      </x:c>
      <x:c r="C12" s="14" t="str">
        <x:v>ТД Роял Груп</x:v>
      </x:c>
      <x:c r="D12" s="14" t="str">
        <x:v>Промислова електрика</x:v>
      </x:c>
      <x:c r="E12" s="14" t="str">
        <x:v>Pilot now</x:v>
      </x:c>
      <x:c r="F12" s="17" t="str">
        <x:f>IF(E12="Pilot now",IF(P12&gt;=84,"P1",IF(P12&gt;=72,"P2","P3")),IF(E12="Expansion discovery",IF(Q12&gt;=88,"D1",IF(Q12&gt;=78,"D2","D3")),IF(E12="Later / requirements","L","Legacy")))</x:f>
        <x:v>P1</x:v>
      </x:c>
      <x:c r="G12" s="14" t="str">
        <x:v>royal-group.com.ua</x:v>
      </x:c>
      <x:c r="H12" s="14" t="str">
        <x:v>Пілот зараз — Н.15</x:v>
      </x:c>
      <x:c r="I12" s="16" t="n">
        <x:v>5</x:v>
      </x:c>
      <x:c r="J12" s="16" t="n">
        <x:v>5</x:v>
      </x:c>
      <x:c r="K12" s="16" t="n">
        <x:v>5</x:v>
      </x:c>
      <x:c r="L12" s="16" t="n">
        <x:v>4</x:v>
      </x:c>
      <x:c r="M12" s="16" t="n">
        <x:v>5</x:v>
      </x:c>
      <x:c r="N12" s="16" t="n">
        <x:v>5</x:v>
      </x:c>
      <x:c r="O12" s="16" t="n">
        <x:v>5</x:v>
      </x:c>
      <x:c r="P12" s="16" t="n">
        <x:f>IF(COUNT(I12:O12)&lt;7,"",I12*8+J12*3+K12*2+L12*2+M12*2+N12*2+O12)</x:f>
        <x:v>98</x:v>
      </x:c>
      <x:c r="Q12" s="16" t="n">
        <x:f>IF(COUNT(J12:O12)&lt;6,"",J12*5+K12*4+M12*4+L12*3+N12*2+O12*2)</x:f>
        <x:v>97</x:v>
      </x:c>
      <x:c r="R12" s="14" t="str">
        <x:v>high</x:v>
      </x:c>
      <x:c r="S12" s="14" t="str">
        <x:v>official_source_reverified</x:v>
      </x:c>
      <x:c r="T12" s="14" t="str">
        <x:v>official_source_reachable</x:v>
      </x:c>
      <x:c r="U12" s="14" t="str">
        <x:v>Новий — не контактували</x:v>
      </x:c>
      <x:c r="V12" s="15" t="str">
        <x:v>Персоналізувати review-flow за доказом; попросити 1 артефакт</x:v>
      </x:c>
      <x:c r="W12" s="15" t="str">
        <x:v>Коммерческий директор; руководитель ПТО</x:v>
      </x:c>
      <x:c r="X12" s="15" t="str">
        <x:v>Электромонтаж до 110 кВ, КТП/БКТП, кабельные линии, пусконаладка и приёмочные испытания; опыт с 2014 года.</x:v>
      </x:c>
      <x:c r="Y12" s="15" t="str">
        <x:v>Полностью поддержанный Н.15-контур с явными протоколами и сдачей.</x:v>
      </x:c>
      <x:c r="Z12" s="15" t="str">
        <x:v>https://royal-group.com.ua/uk</x:v>
      </x:c>
      <x:c r="AA12" s="14" t="str"/>
      <x:c r="AB12" s="14" t="str">
        <x:v>2026-08-24</x:v>
      </x:c>
      <x:c r="AC12" s="14" t="str">
        <x:v>Олександр</x:v>
      </x:c>
      <x:c r="AD12" s="20" t="str"/>
      <x:c r="AE12" s="14" t="str"/>
      <x:c r="AF12" s="14" t="n">
        <x:v>0</x:v>
      </x:c>
      <x:c r="AG12" s="14" t="str">
        <x:v>—</x:v>
      </x:c>
      <x:c r="AH12" s="14" t="n">
        <x:v>0</x:v>
      </x:c>
      <x:c r="AI12" s="14" t="n">
        <x:v>0</x:v>
      </x:c>
      <x:c r="AJ12" s="18" t="n">
        <x:v>0</x:v>
      </x:c>
      <x:c r="AK12" s="14" t="str"/>
      <x:c r="AL12" s="19" t="str"/>
      <x:c r="AM12" s="19" t="str"/>
      <x:c r="AN12" s="15" t="str"/>
      <x:c r="AO12" s="15" t="str">
        <x:v>official_source_reverified</x:v>
      </x:c>
    </x:row>
    <x:row r="13">
      <x:c r="A13" s="14" t="str">
        <x:v>V3-032</x:v>
      </x:c>
      <x:c r="B13" s="14" t="str">
        <x:v>Досліджено 28.07</x:v>
      </x:c>
      <x:c r="C13" s="14" t="str">
        <x:v>ТОВ «ВЕМА ЗАХІД»</x:v>
      </x:c>
      <x:c r="D13" s="14" t="str">
        <x:v>Електромонтаж</x:v>
      </x:c>
      <x:c r="E13" s="14" t="str">
        <x:v>Pilot now</x:v>
      </x:c>
      <x:c r="F13" s="17" t="str">
        <x:f>IF(E13="Pilot now",IF(P13&gt;=84,"P1",IF(P13&gt;=72,"P2","P3")),IF(E13="Expansion discovery",IF(Q13&gt;=88,"D1",IF(Q13&gt;=78,"D2","D3")),IF(E13="Later / requirements","L","Legacy")))</x:f>
        <x:v>P1</x:v>
      </x:c>
      <x:c r="G13" s="14" t="str">
        <x:v>vemazahid.com</x:v>
      </x:c>
      <x:c r="H13" s="14" t="str">
        <x:v>Пілот зараз — Н.15</x:v>
      </x:c>
      <x:c r="I13" s="16" t="n">
        <x:v>5</x:v>
      </x:c>
      <x:c r="J13" s="16" t="n">
        <x:v>5</x:v>
      </x:c>
      <x:c r="K13" s="16" t="n">
        <x:v>5</x:v>
      </x:c>
      <x:c r="L13" s="16" t="n">
        <x:v>4</x:v>
      </x:c>
      <x:c r="M13" s="16" t="n">
        <x:v>5</x:v>
      </x:c>
      <x:c r="N13" s="16" t="n">
        <x:v>5</x:v>
      </x:c>
      <x:c r="O13" s="16" t="n">
        <x:v>5</x:v>
      </x:c>
      <x:c r="P13" s="16" t="n">
        <x:f>IF(COUNT(I13:O13)&lt;7,"",I13*8+J13*3+K13*2+L13*2+M13*2+N13*2+O13)</x:f>
        <x:v>98</x:v>
      </x:c>
      <x:c r="Q13" s="16" t="n">
        <x:f>IF(COUNT(J13:O13)&lt;6,"",J13*5+K13*4+M13*4+L13*3+N13*2+O13*2)</x:f>
        <x:v>97</x:v>
      </x:c>
      <x:c r="R13" s="14" t="str">
        <x:v>medium</x:v>
      </x:c>
      <x:c r="S13" s="14" t="str">
        <x:v>historical_research_2026-07-28</x:v>
      </x:c>
      <x:c r="T13" s="14" t="str">
        <x:v>historical_official_research</x:v>
      </x:c>
      <x:c r="U13" s="14" t="str">
        <x:v>Надіслано 28.07 — follow-up</x:v>
      </x:c>
      <x:c r="V13" s="15" t="str">
        <x:v>Follow-up з review-link; далі попросити 1 анонімізований артефакт</x:v>
      </x:c>
      <x:c r="W13" s="15" t="str">
        <x:v>Власник / директор; керівник ПТО</x:v>
      </x:c>
      <x:c r="X13" s="15" t="str">
        <x:v>Повний цикл електропостачання: проєкт, приєднання, кабельні/повітряні лінії, підстанції, налагодження й техобслуговування.</x:v>
      </x:c>
      <x:c r="Y13" s="15" t="str">
        <x:v>Закриття кабельних трас, фундаментів і заземлення до приймання; потрібна доказова виконавча документація.</x:v>
      </x:c>
      <x:c r="Z13" s="15" t="str">
        <x:v>https://vemazahid.com/pro-kompaniyu/</x:v>
      </x:c>
      <x:c r="AA13" s="14" t="str">
        <x:v>31659280</x:v>
      </x:c>
      <x:c r="AB13" s="14" t="str">
        <x:v>2026-07-28</x:v>
      </x:c>
      <x:c r="AC13" s="14" t="str">
        <x:v>Олександр</x:v>
      </x:c>
      <x:c r="AD13" s="20" t="str"/>
      <x:c r="AE13" s="14" t="str"/>
      <x:c r="AF13" s="14" t="n">
        <x:v>0</x:v>
      </x:c>
      <x:c r="AG13" s="14" t="str">
        <x:v>—</x:v>
      </x:c>
      <x:c r="AH13" s="14" t="n">
        <x:v>0</x:v>
      </x:c>
      <x:c r="AI13" s="14" t="n">
        <x:v>0</x:v>
      </x:c>
      <x:c r="AJ13" s="18" t="n">
        <x:v>0</x:v>
      </x:c>
      <x:c r="AK13" s="14" t="str"/>
      <x:c r="AL13" s="19" t="str"/>
      <x:c r="AM13" s="19" t="str"/>
      <x:c r="AN13" s="15" t="str"/>
      <x:c r="AO13" s="15" t="str">
        <x:v>historical_research_2026-07-28</x:v>
      </x:c>
    </x:row>
    <x:row r="14">
      <x:c r="A14" s="14" t="str">
        <x:v>V3-033</x:v>
      </x:c>
      <x:c r="B14" s="14" t="str">
        <x:v>Досліджено 28.07</x:v>
      </x:c>
      <x:c r="C14" s="14" t="str">
        <x:v>ТОВ «ЕМБУД»</x:v>
      </x:c>
      <x:c r="D14" s="14" t="str">
        <x:v>Електромонтаж</x:v>
      </x:c>
      <x:c r="E14" s="14" t="str">
        <x:v>Pilot now</x:v>
      </x:c>
      <x:c r="F14" s="17" t="str">
        <x:f>IF(E14="Pilot now",IF(P14&gt;=84,"P1",IF(P14&gt;=72,"P2","P3")),IF(E14="Expansion discovery",IF(Q14&gt;=88,"D1",IF(Q14&gt;=78,"D2","D3")),IF(E14="Later / requirements","L","Legacy")))</x:f>
        <x:v>P1</x:v>
      </x:c>
      <x:c r="G14" s="14" t="str">
        <x:v>embud.com.ua</x:v>
      </x:c>
      <x:c r="H14" s="14" t="str">
        <x:v>Пілот зараз — Н.15</x:v>
      </x:c>
      <x:c r="I14" s="16" t="n">
        <x:v>5</x:v>
      </x:c>
      <x:c r="J14" s="16" t="n">
        <x:v>5</x:v>
      </x:c>
      <x:c r="K14" s="16" t="n">
        <x:v>5</x:v>
      </x:c>
      <x:c r="L14" s="16" t="n">
        <x:v>4</x:v>
      </x:c>
      <x:c r="M14" s="16" t="n">
        <x:v>5</x:v>
      </x:c>
      <x:c r="N14" s="16" t="n">
        <x:v>5</x:v>
      </x:c>
      <x:c r="O14" s="16" t="n">
        <x:v>5</x:v>
      </x:c>
      <x:c r="P14" s="16" t="n">
        <x:f>IF(COUNT(I14:O14)&lt;7,"",I14*8+J14*3+K14*2+L14*2+M14*2+N14*2+O14)</x:f>
        <x:v>98</x:v>
      </x:c>
      <x:c r="Q14" s="16" t="n">
        <x:f>IF(COUNT(J14:O14)&lt;6,"",J14*5+K14*4+M14*4+L14*3+N14*2+O14*2)</x:f>
        <x:v>97</x:v>
      </x:c>
      <x:c r="R14" s="14" t="str">
        <x:v>medium</x:v>
      </x:c>
      <x:c r="S14" s="14" t="str">
        <x:v>historical_research_2026-07-28</x:v>
      </x:c>
      <x:c r="T14" s="14" t="str">
        <x:v>historical_official_research</x:v>
      </x:c>
      <x:c r="U14" s="14" t="str">
        <x:v>Надіслано 28.07 — follow-up</x:v>
      </x:c>
      <x:c r="V14" s="15" t="str">
        <x:v>Follow-up з review-link; далі попросити 1 анонімізований артефакт</x:v>
      </x:c>
      <x:c r="W14" s="15" t="str">
        <x:v>Власник / директор; керівник ПТО</x:v>
      </x:c>
      <x:c r="X14" s="15" t="str">
        <x:v>Електромонтаж, автоматизація та BMS; виконує інженерні системи для комерційних і промислових об’єктів.</x:v>
      </x:c>
      <x:c r="Y14" s="15" t="str">
        <x:v>Кабельні мережі, датчики та автоматика часто закриваються оздобленням; приймання залежить від протоколів і маркування.</x:v>
      </x:c>
      <x:c r="Z14" s="15" t="str">
        <x:v>https://embud.com.ua/</x:v>
      </x:c>
      <x:c r="AA14" s="14" t="str">
        <x:v>40349760</x:v>
      </x:c>
      <x:c r="AB14" s="14" t="str">
        <x:v>2026-07-28</x:v>
      </x:c>
      <x:c r="AC14" s="14" t="str">
        <x:v>Олександр</x:v>
      </x:c>
      <x:c r="AD14" s="20" t="str"/>
      <x:c r="AE14" s="14" t="str"/>
      <x:c r="AF14" s="14" t="n">
        <x:v>0</x:v>
      </x:c>
      <x:c r="AG14" s="14" t="str">
        <x:v>—</x:v>
      </x:c>
      <x:c r="AH14" s="14" t="n">
        <x:v>0</x:v>
      </x:c>
      <x:c r="AI14" s="14" t="n">
        <x:v>0</x:v>
      </x:c>
      <x:c r="AJ14" s="18" t="n">
        <x:v>0</x:v>
      </x:c>
      <x:c r="AK14" s="14" t="str"/>
      <x:c r="AL14" s="19" t="str"/>
      <x:c r="AM14" s="19" t="str"/>
      <x:c r="AN14" s="15" t="str"/>
      <x:c r="AO14" s="15" t="str">
        <x:v>historical_research_2026-07-28</x:v>
      </x:c>
    </x:row>
    <x:row r="15">
      <x:c r="A15" s="14" t="str">
        <x:v>V3-034</x:v>
      </x:c>
      <x:c r="B15" s="14" t="str">
        <x:v>Досліджено 28.07</x:v>
      </x:c>
      <x:c r="C15" s="14" t="str">
        <x:v>ТОВ «КОМУНІКАЦІЇ ТА ІНЖЕНЕРНІ МЕРЕЖІ»</x:v>
      </x:c>
      <x:c r="D15" s="14" t="str">
        <x:v>Електромонтаж</x:v>
      </x:c>
      <x:c r="E15" s="14" t="str">
        <x:v>Pilot now</x:v>
      </x:c>
      <x:c r="F15" s="17" t="str">
        <x:f>IF(E15="Pilot now",IF(P15&gt;=84,"P1",IF(P15&gt;=72,"P2","P3")),IF(E15="Expansion discovery",IF(Q15&gt;=88,"D1",IF(Q15&gt;=78,"D2","D3")),IF(E15="Later / requirements","L","Legacy")))</x:f>
        <x:v>P1</x:v>
      </x:c>
      <x:c r="G15" s="14" t="str">
        <x:v>kimelectro.com</x:v>
      </x:c>
      <x:c r="H15" s="14" t="str">
        <x:v>Пілот зараз — Н.15</x:v>
      </x:c>
      <x:c r="I15" s="16" t="n">
        <x:v>5</x:v>
      </x:c>
      <x:c r="J15" s="16" t="n">
        <x:v>5</x:v>
      </x:c>
      <x:c r="K15" s="16" t="n">
        <x:v>5</x:v>
      </x:c>
      <x:c r="L15" s="16" t="n">
        <x:v>4</x:v>
      </x:c>
      <x:c r="M15" s="16" t="n">
        <x:v>5</x:v>
      </x:c>
      <x:c r="N15" s="16" t="n">
        <x:v>5</x:v>
      </x:c>
      <x:c r="O15" s="16" t="n">
        <x:v>5</x:v>
      </x:c>
      <x:c r="P15" s="16" t="n">
        <x:f>IF(COUNT(I15:O15)&lt;7,"",I15*8+J15*3+K15*2+L15*2+M15*2+N15*2+O15)</x:f>
        <x:v>98</x:v>
      </x:c>
      <x:c r="Q15" s="16" t="n">
        <x:f>IF(COUNT(J15:O15)&lt;6,"",J15*5+K15*4+M15*4+L15*3+N15*2+O15*2)</x:f>
        <x:v>97</x:v>
      </x:c>
      <x:c r="R15" s="14" t="str">
        <x:v>medium</x:v>
      </x:c>
      <x:c r="S15" s="14" t="str">
        <x:v>historical_research_2026-07-28</x:v>
      </x:c>
      <x:c r="T15" s="14" t="str">
        <x:v>historical_official_research</x:v>
      </x:c>
      <x:c r="U15" s="14" t="str">
        <x:v>Надіслано 28.07 — follow-up</x:v>
      </x:c>
      <x:c r="V15" s="15" t="str">
        <x:v>Follow-up з review-link; далі попросити 1 анонімізований артефакт</x:v>
      </x:c>
      <x:c r="W15" s="15" t="str">
        <x:v>Власник / директор; керівник ПТО</x:v>
      </x:c>
      <x:c r="X15" s="15" t="str">
        <x:v>Проєктування, виробництво щитів, електромонтаж і будівельні роботи; у реєстрі є сертифіковані виконавці.</x:v>
      </x:c>
      <x:c r="Y15" s="15" t="str">
        <x:v>Кабельні траси, заземлення, щити та приєднання потребують поетапного контролю, протоколів і комплектності документів.</x:v>
      </x:c>
      <x:c r="Z15" s="15" t="str">
        <x:v>https://kimelectro.com/</x:v>
      </x:c>
      <x:c r="AA15" s="14" t="str">
        <x:v>37280567</x:v>
      </x:c>
      <x:c r="AB15" s="14" t="str">
        <x:v>2026-07-28</x:v>
      </x:c>
      <x:c r="AC15" s="14" t="str">
        <x:v>Олександр</x:v>
      </x:c>
      <x:c r="AD15" s="20" t="str"/>
      <x:c r="AE15" s="14" t="str"/>
      <x:c r="AF15" s="14" t="n">
        <x:v>0</x:v>
      </x:c>
      <x:c r="AG15" s="14" t="str">
        <x:v>—</x:v>
      </x:c>
      <x:c r="AH15" s="14" t="n">
        <x:v>0</x:v>
      </x:c>
      <x:c r="AI15" s="14" t="n">
        <x:v>0</x:v>
      </x:c>
      <x:c r="AJ15" s="18" t="n">
        <x:v>0</x:v>
      </x:c>
      <x:c r="AK15" s="14" t="str"/>
      <x:c r="AL15" s="19" t="str"/>
      <x:c r="AM15" s="19" t="str"/>
      <x:c r="AN15" s="15" t="str"/>
      <x:c r="AO15" s="15" t="str">
        <x:v>historical_research_2026-07-28</x:v>
      </x:c>
    </x:row>
    <x:row r="16">
      <x:c r="A16" s="14" t="str">
        <x:v>V3-035</x:v>
      </x:c>
      <x:c r="B16" s="14" t="str">
        <x:v>Досліджено 28.07</x:v>
      </x:c>
      <x:c r="C16" s="14" t="str">
        <x:v>ТОВ «НЕТЛАЙН»</x:v>
      </x:c>
      <x:c r="D16" s="14" t="str">
        <x:v>Електромонтаж</x:v>
      </x:c>
      <x:c r="E16" s="14" t="str">
        <x:v>Pilot now</x:v>
      </x:c>
      <x:c r="F16" s="17" t="str">
        <x:f>IF(E16="Pilot now",IF(P16&gt;=84,"P1",IF(P16&gt;=72,"P2","P3")),IF(E16="Expansion discovery",IF(Q16&gt;=88,"D1",IF(Q16&gt;=78,"D2","D3")),IF(E16="Later / requirements","L","Legacy")))</x:f>
        <x:v>P1</x:v>
      </x:c>
      <x:c r="G16" s="14" t="str">
        <x:v>netline.top</x:v>
      </x:c>
      <x:c r="H16" s="14" t="str">
        <x:v>Пілот зараз — Н.15</x:v>
      </x:c>
      <x:c r="I16" s="16" t="n">
        <x:v>5</x:v>
      </x:c>
      <x:c r="J16" s="16" t="n">
        <x:v>5</x:v>
      </x:c>
      <x:c r="K16" s="16" t="n">
        <x:v>5</x:v>
      </x:c>
      <x:c r="L16" s="16" t="n">
        <x:v>4</x:v>
      </x:c>
      <x:c r="M16" s="16" t="n">
        <x:v>5</x:v>
      </x:c>
      <x:c r="N16" s="16" t="n">
        <x:v>5</x:v>
      </x:c>
      <x:c r="O16" s="16" t="n">
        <x:v>5</x:v>
      </x:c>
      <x:c r="P16" s="16" t="n">
        <x:f>IF(COUNT(I16:O16)&lt;7,"",I16*8+J16*3+K16*2+L16*2+M16*2+N16*2+O16)</x:f>
        <x:v>98</x:v>
      </x:c>
      <x:c r="Q16" s="16" t="n">
        <x:f>IF(COUNT(J16:O16)&lt;6,"",J16*5+K16*4+M16*4+L16*3+N16*2+O16*2)</x:f>
        <x:v>97</x:v>
      </x:c>
      <x:c r="R16" s="14" t="str">
        <x:v>medium</x:v>
      </x:c>
      <x:c r="S16" s="14" t="str">
        <x:v>historical_research_2026-07-28</x:v>
      </x:c>
      <x:c r="T16" s="14" t="str">
        <x:v>historical_official_research</x:v>
      </x:c>
      <x:c r="U16" s="14" t="str">
        <x:v>Надіслано 28.07 — follow-up</x:v>
      </x:c>
      <x:c r="V16" s="15" t="str">
        <x:v>Follow-up з review-link; далі попросити 1 анонімізований артефакт</x:v>
      </x:c>
      <x:c r="W16" s="15" t="str">
        <x:v>Власник / директор; керівник ПТО</x:v>
      </x:c>
      <x:c r="X16" s="15" t="str">
        <x:v>Зовнішнє освітлення, кабельні й лоткові траси, щитове обладнання, блискавкозахист та проєктні роботи.</x:v>
      </x:c>
      <x:c r="Y16" s="15" t="str">
        <x:v>Підземні кабелі, закладні й контур заземлення мають бути зафіксовані до засипання та оздоблення.</x:v>
      </x:c>
      <x:c r="Z16" s="15" t="str">
        <x:v>https://www.netline.top/en/%D0%B3%D0%BE%D0%BB%D0%BE%D0%B2%D0%BD%D0%B0-english/</x:v>
      </x:c>
      <x:c r="AA16" s="14" t="str">
        <x:v>40547614</x:v>
      </x:c>
      <x:c r="AB16" s="14" t="str">
        <x:v>2026-07-28</x:v>
      </x:c>
      <x:c r="AC16" s="14" t="str">
        <x:v>Олександр</x:v>
      </x:c>
      <x:c r="AD16" s="20" t="str"/>
      <x:c r="AE16" s="14" t="str"/>
      <x:c r="AF16" s="14" t="n">
        <x:v>0</x:v>
      </x:c>
      <x:c r="AG16" s="14" t="str">
        <x:v>—</x:v>
      </x:c>
      <x:c r="AH16" s="14" t="n">
        <x:v>0</x:v>
      </x:c>
      <x:c r="AI16" s="14" t="n">
        <x:v>0</x:v>
      </x:c>
      <x:c r="AJ16" s="18" t="n">
        <x:v>0</x:v>
      </x:c>
      <x:c r="AK16" s="14" t="str"/>
      <x:c r="AL16" s="19" t="str"/>
      <x:c r="AM16" s="19" t="str"/>
      <x:c r="AN16" s="15" t="str"/>
      <x:c r="AO16" s="15" t="str">
        <x:v>historical_research_2026-07-28</x:v>
      </x:c>
    </x:row>
    <x:row r="17">
      <x:c r="A17" s="14" t="str">
        <x:v>AUG-015</x:v>
      </x:c>
      <x:c r="B17" s="14" t="str">
        <x:v>Перевірено 51 — 24.08</x:v>
      </x:c>
      <x:c r="C17" s="14" t="str">
        <x:v>Українська компанія ПРОМСИЛА</x:v>
      </x:c>
      <x:c r="D17" s="14" t="str">
        <x:v>Промислова електрика + пожежні системи</x:v>
      </x:c>
      <x:c r="E17" s="14" t="str">
        <x:v>Pilot now</x:v>
      </x:c>
      <x:c r="F17" s="17" t="str">
        <x:f>IF(E17="Pilot now",IF(P17&gt;=84,"P1",IF(P17&gt;=72,"P2","P3")),IF(E17="Expansion discovery",IF(Q17&gt;=88,"D1",IF(Q17&gt;=78,"D2","D3")),IF(E17="Later / requirements","L","Legacy")))</x:f>
        <x:v>P1</x:v>
      </x:c>
      <x:c r="G17" s="14" t="str">
        <x:v>mc-promsila.com.ua</x:v>
      </x:c>
      <x:c r="H17" s="14" t="str">
        <x:v>Пілот зараз — Н.15</x:v>
      </x:c>
      <x:c r="I17" s="16" t="n">
        <x:v>5</x:v>
      </x:c>
      <x:c r="J17" s="16" t="n">
        <x:v>5</x:v>
      </x:c>
      <x:c r="K17" s="16" t="n">
        <x:v>5</x:v>
      </x:c>
      <x:c r="L17" s="16" t="n">
        <x:v>4</x:v>
      </x:c>
      <x:c r="M17" s="16" t="n">
        <x:v>5</x:v>
      </x:c>
      <x:c r="N17" s="16" t="n">
        <x:v>5</x:v>
      </x:c>
      <x:c r="O17" s="16" t="n">
        <x:v>5</x:v>
      </x:c>
      <x:c r="P17" s="16" t="n">
        <x:f>IF(COUNT(I17:O17)&lt;7,"",I17*8+J17*3+K17*2+L17*2+M17*2+N17*2+O17)</x:f>
        <x:v>98</x:v>
      </x:c>
      <x:c r="Q17" s="16" t="n">
        <x:f>IF(COUNT(J17:O17)&lt;6,"",J17*5+K17*4+M17*4+L17*3+N17*2+O17*2)</x:f>
        <x:v>97</x:v>
      </x:c>
      <x:c r="R17" s="14" t="str">
        <x:v>high</x:v>
      </x:c>
      <x:c r="S17" s="14" t="str">
        <x:v>official_source_reverified</x:v>
      </x:c>
      <x:c r="T17" s="14" t="str">
        <x:v>official_source_reachable</x:v>
      </x:c>
      <x:c r="U17" s="14" t="str">
        <x:v>Новий — не контактували</x:v>
      </x:c>
      <x:c r="V17" s="15" t="str">
        <x:v>Персоналізувати review-flow за доказом; попросити 1 артефакт</x:v>
      </x:c>
      <x:c r="W17" s="15" t="str">
        <x:v>Директор; руководитель ПТО / энергетических проектов</x:v>
      </x:c>
      <x:c r="X17" s="15" t="str">
        <x:v>Полный комплекс энергоснабжения промышленных объектов, электромонтаж, пусконаладка и противопожарные системы.</x:v>
      </x:c>
      <x:c r="Y17" s="15" t="str">
        <x:v>Можно начать с кабельных линий/заземления и не включать неподдержанные требования пожаротушения.</x:v>
      </x:c>
      <x:c r="Z17" s="15" t="str">
        <x:v>https://mc-promsila.com.ua/</x:v>
      </x:c>
      <x:c r="AA17" s="14" t="str"/>
      <x:c r="AB17" s="14" t="str">
        <x:v>2026-08-24</x:v>
      </x:c>
      <x:c r="AC17" s="14" t="str">
        <x:v>Олександр</x:v>
      </x:c>
      <x:c r="AD17" s="20" t="str"/>
      <x:c r="AE17" s="14" t="str"/>
      <x:c r="AF17" s="14" t="n">
        <x:v>0</x:v>
      </x:c>
      <x:c r="AG17" s="14" t="str">
        <x:v>—</x:v>
      </x:c>
      <x:c r="AH17" s="14" t="n">
        <x:v>0</x:v>
      </x:c>
      <x:c r="AI17" s="14" t="n">
        <x:v>0</x:v>
      </x:c>
      <x:c r="AJ17" s="18" t="n">
        <x:v>0</x:v>
      </x:c>
      <x:c r="AK17" s="14" t="str"/>
      <x:c r="AL17" s="19" t="str"/>
      <x:c r="AM17" s="19" t="str"/>
      <x:c r="AN17" s="15" t="str"/>
      <x:c r="AO17" s="15" t="str">
        <x:v>official_source_reverified</x:v>
      </x:c>
    </x:row>
    <x:row r="18">
      <x:c r="A18" s="14" t="str">
        <x:v>AUG-041</x:v>
      </x:c>
      <x:c r="B18" s="14" t="str">
        <x:v>Перевірено 51 — 24.08</x:v>
      </x:c>
      <x:c r="C18" s="14" t="str">
        <x:v>DOWBUSH energo</x:v>
      </x:c>
      <x:c r="D18" s="14" t="str">
        <x:v>Промислова електрика</x:v>
      </x:c>
      <x:c r="E18" s="14" t="str">
        <x:v>Pilot now</x:v>
      </x:c>
      <x:c r="F18" s="17" t="str">
        <x:f>IF(E18="Pilot now",IF(P18&gt;=84,"P1",IF(P18&gt;=72,"P2","P3")),IF(E18="Expansion discovery",IF(Q18&gt;=88,"D1",IF(Q18&gt;=78,"D2","D3")),IF(E18="Later / requirements","L","Legacy")))</x:f>
        <x:v>P1</x:v>
      </x:c>
      <x:c r="G18" s="14" t="str">
        <x:v>energo.dowbush.com</x:v>
      </x:c>
      <x:c r="H18" s="14" t="str">
        <x:v>Пілот зараз — Н.15</x:v>
      </x:c>
      <x:c r="I18" s="16" t="n">
        <x:v>5</x:v>
      </x:c>
      <x:c r="J18" s="16" t="n">
        <x:v>5</x:v>
      </x:c>
      <x:c r="K18" s="16" t="n">
        <x:v>5</x:v>
      </x:c>
      <x:c r="L18" s="16" t="n">
        <x:v>4</x:v>
      </x:c>
      <x:c r="M18" s="16" t="n">
        <x:v>5</x:v>
      </x:c>
      <x:c r="N18" s="16" t="n">
        <x:v>5</x:v>
      </x:c>
      <x:c r="O18" s="16" t="n">
        <x:v>5</x:v>
      </x:c>
      <x:c r="P18" s="16" t="n">
        <x:f>IF(COUNT(I18:O18)&lt;7,"",I18*8+J18*3+K18*2+L18*2+M18*2+N18*2+O18)</x:f>
        <x:v>98</x:v>
      </x:c>
      <x:c r="Q18" s="16" t="n">
        <x:f>IF(COUNT(J18:O18)&lt;6,"",J18*5+K18*4+M18*4+L18*3+N18*2+O18*2)</x:f>
        <x:v>97</x:v>
      </x:c>
      <x:c r="R18" s="14" t="str">
        <x:v>high</x:v>
      </x:c>
      <x:c r="S18" s="14" t="str">
        <x:v>official_source_reverified</x:v>
      </x:c>
      <x:c r="T18" s="14" t="str">
        <x:v>official_source_reachable</x:v>
      </x:c>
      <x:c r="U18" s="14" t="str">
        <x:v>Новий — не контактували</x:v>
      </x:c>
      <x:c r="V18" s="15" t="str">
        <x:v>Персоналізувати review-flow за доказом; попросити 1 артефакт</x:v>
      </x:c>
      <x:c r="W18" s="15" t="str">
        <x:v>Коммерческий директор; руководитель ПТО</x:v>
      </x:c>
      <x:c r="X18" s="15" t="str">
        <x:v>Подстанции КТП/РП/ЗТП, кабельные линии, монтаж, пусконаладка и протоколы испытаний в единой ответственности.</x:v>
      </x:c>
      <x:c r="Y18" s="15" t="str">
        <x:v>Явная связка работ, испытаний и протоколов идеально подходит для Н.15-пилота.</x:v>
      </x:c>
      <x:c r="Z18" s="15" t="str">
        <x:v>https://energo.dowbush.com/uk/services</x:v>
      </x:c>
      <x:c r="AA18" s="14" t="str"/>
      <x:c r="AB18" s="14" t="str">
        <x:v>2026-08-24</x:v>
      </x:c>
      <x:c r="AC18" s="14" t="str">
        <x:v>Олександр</x:v>
      </x:c>
      <x:c r="AD18" s="20" t="str"/>
      <x:c r="AE18" s="14" t="str"/>
      <x:c r="AF18" s="14" t="n">
        <x:v>0</x:v>
      </x:c>
      <x:c r="AG18" s="14" t="str">
        <x:v>—</x:v>
      </x:c>
      <x:c r="AH18" s="14" t="n">
        <x:v>0</x:v>
      </x:c>
      <x:c r="AI18" s="14" t="n">
        <x:v>0</x:v>
      </x:c>
      <x:c r="AJ18" s="18" t="n">
        <x:v>0</x:v>
      </x:c>
      <x:c r="AK18" s="14" t="str"/>
      <x:c r="AL18" s="19" t="str"/>
      <x:c r="AM18" s="19" t="str"/>
      <x:c r="AN18" s="15" t="str"/>
      <x:c r="AO18" s="15" t="str">
        <x:v>official_source_reverified</x:v>
      </x:c>
    </x:row>
    <x:row r="19">
      <x:c r="A19" s="14" t="str">
        <x:v>AUG-023</x:v>
      </x:c>
      <x:c r="B19" s="14" t="str">
        <x:v>Перевірено 51 — 24.08</x:v>
      </x:c>
      <x:c r="C19" s="14" t="str">
        <x:v>RUDNIK</x:v>
      </x:c>
      <x:c r="D19" s="14" t="str">
        <x:v>СЕС + електрика</x:v>
      </x:c>
      <x:c r="E19" s="14" t="str">
        <x:v>Pilot now</x:v>
      </x:c>
      <x:c r="F19" s="17" t="str">
        <x:f>IF(E19="Pilot now",IF(P19&gt;=84,"P1",IF(P19&gt;=72,"P2","P3")),IF(E19="Expansion discovery",IF(Q19&gt;=88,"D1",IF(Q19&gt;=78,"D2","D3")),IF(E19="Later / requirements","L","Legacy")))</x:f>
        <x:v>P1</x:v>
      </x:c>
      <x:c r="G19" s="14" t="str">
        <x:v>rudnik.ua</x:v>
      </x:c>
      <x:c r="H19" s="14" t="str">
        <x:v>Пілот зараз — Н.15</x:v>
      </x:c>
      <x:c r="I19" s="16" t="n">
        <x:v>5</x:v>
      </x:c>
      <x:c r="J19" s="16" t="n">
        <x:v>5</x:v>
      </x:c>
      <x:c r="K19" s="16" t="n">
        <x:v>5</x:v>
      </x:c>
      <x:c r="L19" s="16" t="n">
        <x:v>5</x:v>
      </x:c>
      <x:c r="M19" s="16" t="n">
        <x:v>4</x:v>
      </x:c>
      <x:c r="N19" s="16" t="n">
        <x:v>5</x:v>
      </x:c>
      <x:c r="O19" s="16" t="n">
        <x:v>5</x:v>
      </x:c>
      <x:c r="P19" s="16" t="n">
        <x:f>IF(COUNT(I19:O19)&lt;7,"",I19*8+J19*3+K19*2+L19*2+M19*2+N19*2+O19)</x:f>
        <x:v>98</x:v>
      </x:c>
      <x:c r="Q19" s="16" t="n">
        <x:f>IF(COUNT(J19:O19)&lt;6,"",J19*5+K19*4+M19*4+L19*3+N19*2+O19*2)</x:f>
        <x:v>96</x:v>
      </x:c>
      <x:c r="R19" s="14" t="str">
        <x:v>high</x:v>
      </x:c>
      <x:c r="S19" s="14" t="str">
        <x:v>official_source_reverified</x:v>
      </x:c>
      <x:c r="T19" s="14" t="str">
        <x:v>official_source_reachable</x:v>
      </x:c>
      <x:c r="U19" s="14" t="str">
        <x:v>Новий — не контактували</x:v>
      </x:c>
      <x:c r="V19" s="15" t="str">
        <x:v>Персоналізувати review-flow за доказом; попросити 1 артефакт</x:v>
      </x:c>
      <x:c r="W19" s="15" t="str">
        <x:v>Коммерческий директор; руководитель строительства / ПТО</x:v>
      </x:c>
      <x:c r="X19" s="15" t="str">
        <x:v>Проектирование и монтаж промышленных СЭС; 1000+ солнечных станций, производственные мощности 120 МВт/год.</x:v>
      </x:c>
      <x:c r="Y19" s="15" t="str">
        <x:v>Кабели, заземление и приёмка электроустановок дают большой повторяемый массив доказательств.</x:v>
      </x:c>
      <x:c r="Z19" s="15" t="str">
        <x:v>https://www.rudnik.ua/</x:v>
      </x:c>
      <x:c r="AA19" s="14" t="str"/>
      <x:c r="AB19" s="14" t="str">
        <x:v>2026-08-24</x:v>
      </x:c>
      <x:c r="AC19" s="14" t="str">
        <x:v>Олександр</x:v>
      </x:c>
      <x:c r="AD19" s="20" t="str"/>
      <x:c r="AE19" s="14" t="str"/>
      <x:c r="AF19" s="14" t="n">
        <x:v>0</x:v>
      </x:c>
      <x:c r="AG19" s="14" t="str">
        <x:v>—</x:v>
      </x:c>
      <x:c r="AH19" s="14" t="n">
        <x:v>0</x:v>
      </x:c>
      <x:c r="AI19" s="14" t="n">
        <x:v>0</x:v>
      </x:c>
      <x:c r="AJ19" s="18" t="n">
        <x:v>0</x:v>
      </x:c>
      <x:c r="AK19" s="14" t="str"/>
      <x:c r="AL19" s="19" t="str"/>
      <x:c r="AM19" s="19" t="str"/>
      <x:c r="AN19" s="15" t="str"/>
      <x:c r="AO19" s="15" t="str">
        <x:v>official_source_reverified</x:v>
      </x:c>
    </x:row>
    <x:row r="20">
      <x:c r="A20" s="14" t="str">
        <x:v>AUG-028</x:v>
      </x:c>
      <x:c r="B20" s="14" t="str">
        <x:v>Перевірено 51 — 24.08</x:v>
      </x:c>
      <x:c r="C20" s="14" t="str">
        <x:v>Авангард Солар</x:v>
      </x:c>
      <x:c r="D20" s="14" t="str">
        <x:v>СЕС + електрика</x:v>
      </x:c>
      <x:c r="E20" s="14" t="str">
        <x:v>Pilot now</x:v>
      </x:c>
      <x:c r="F20" s="17" t="str">
        <x:f>IF(E20="Pilot now",IF(P20&gt;=84,"P1",IF(P20&gt;=72,"P2","P3")),IF(E20="Expansion discovery",IF(Q20&gt;=88,"D1",IF(Q20&gt;=78,"D2","D3")),IF(E20="Later / requirements","L","Legacy")))</x:f>
        <x:v>P1</x:v>
      </x:c>
      <x:c r="G20" s="14" t="str">
        <x:v>avangard-solar.com.ua</x:v>
      </x:c>
      <x:c r="H20" s="14" t="str">
        <x:v>Пілот зараз — Н.15</x:v>
      </x:c>
      <x:c r="I20" s="16" t="n">
        <x:v>5</x:v>
      </x:c>
      <x:c r="J20" s="16" t="n">
        <x:v>5</x:v>
      </x:c>
      <x:c r="K20" s="16" t="n">
        <x:v>5</x:v>
      </x:c>
      <x:c r="L20" s="16" t="n">
        <x:v>4</x:v>
      </x:c>
      <x:c r="M20" s="16" t="n">
        <x:v>4</x:v>
      </x:c>
      <x:c r="N20" s="16" t="n">
        <x:v>5</x:v>
      </x:c>
      <x:c r="O20" s="16" t="n">
        <x:v>5</x:v>
      </x:c>
      <x:c r="P20" s="16" t="n">
        <x:f>IF(COUNT(I20:O20)&lt;7,"",I20*8+J20*3+K20*2+L20*2+M20*2+N20*2+O20)</x:f>
        <x:v>96</x:v>
      </x:c>
      <x:c r="Q20" s="16" t="n">
        <x:f>IF(COUNT(J20:O20)&lt;6,"",J20*5+K20*4+M20*4+L20*3+N20*2+O20*2)</x:f>
        <x:v>93</x:v>
      </x:c>
      <x:c r="R20" s="14" t="str">
        <x:v>high</x:v>
      </x:c>
      <x:c r="S20" s="14" t="str">
        <x:v>official_source_reverified</x:v>
      </x:c>
      <x:c r="T20" s="14" t="str">
        <x:v>official_source_reachable</x:v>
      </x:c>
      <x:c r="U20" s="14" t="str">
        <x:v>Новий — не контактували</x:v>
      </x:c>
      <x:c r="V20" s="15" t="str">
        <x:v>Персоналізувати review-flow за доказом; попросити 1 артефакт</x:v>
      </x:c>
      <x:c r="W20" s="15" t="str">
        <x:v>Владелец; руководитель монтажных проектов</x:v>
      </x:c>
      <x:c r="X20" s="15" t="str">
        <x:v>Промышленные и коммерческие СЭС; портфолио заводов, клиник, агро- и бизнес-объектов по Украине.</x:v>
      </x:c>
      <x:c r="Y20" s="15" t="str">
        <x:v>Фото кабельных трасс и заземления до закрытия можно связать с приёмкой электроустановки.</x:v>
      </x:c>
      <x:c r="Z20" s="15" t="str">
        <x:v>https://www.avangard-solar.com.ua/</x:v>
      </x:c>
      <x:c r="AA20" s="14" t="str"/>
      <x:c r="AB20" s="14" t="str">
        <x:v>2026-08-24</x:v>
      </x:c>
      <x:c r="AC20" s="14" t="str">
        <x:v>Олександр</x:v>
      </x:c>
      <x:c r="AD20" s="20" t="str"/>
      <x:c r="AE20" s="14" t="str"/>
      <x:c r="AF20" s="14" t="n">
        <x:v>0</x:v>
      </x:c>
      <x:c r="AG20" s="14" t="str">
        <x:v>—</x:v>
      </x:c>
      <x:c r="AH20" s="14" t="n">
        <x:v>0</x:v>
      </x:c>
      <x:c r="AI20" s="14" t="n">
        <x:v>0</x:v>
      </x:c>
      <x:c r="AJ20" s="18" t="n">
        <x:v>0</x:v>
      </x:c>
      <x:c r="AK20" s="14" t="str"/>
      <x:c r="AL20" s="19" t="str"/>
      <x:c r="AM20" s="19" t="str"/>
      <x:c r="AN20" s="15" t="str"/>
      <x:c r="AO20" s="15" t="str">
        <x:v>official_source_reverified</x:v>
      </x:c>
    </x:row>
    <x:row r="21">
      <x:c r="A21" s="14" t="str">
        <x:v>AUG-013</x:v>
      </x:c>
      <x:c r="B21" s="14" t="str">
        <x:v>Перевірено 51 — 24.08</x:v>
      </x:c>
      <x:c r="C21" s="14" t="str">
        <x:v>Електрощит</x:v>
      </x:c>
      <x:c r="D21" s="14" t="str">
        <x:v>Промислова електрика</x:v>
      </x:c>
      <x:c r="E21" s="14" t="str">
        <x:v>Pilot now</x:v>
      </x:c>
      <x:c r="F21" s="17" t="str">
        <x:f>IF(E21="Pilot now",IF(P21&gt;=84,"P1",IF(P21&gt;=72,"P2","P3")),IF(E21="Expansion discovery",IF(Q21&gt;=88,"D1",IF(Q21&gt;=78,"D2","D3")),IF(E21="Later / requirements","L","Legacy")))</x:f>
        <x:v>P1</x:v>
      </x:c>
      <x:c r="G21" s="14" t="str">
        <x:v>elektroschit.com.ua</x:v>
      </x:c>
      <x:c r="H21" s="14" t="str">
        <x:v>Пілот зараз — Н.15</x:v>
      </x:c>
      <x:c r="I21" s="16" t="n">
        <x:v>5</x:v>
      </x:c>
      <x:c r="J21" s="16" t="n">
        <x:v>5</x:v>
      </x:c>
      <x:c r="K21" s="16" t="n">
        <x:v>5</x:v>
      </x:c>
      <x:c r="L21" s="16" t="n">
        <x:v>4</x:v>
      </x:c>
      <x:c r="M21" s="16" t="n">
        <x:v>4</x:v>
      </x:c>
      <x:c r="N21" s="16" t="n">
        <x:v>5</x:v>
      </x:c>
      <x:c r="O21" s="16" t="n">
        <x:v>5</x:v>
      </x:c>
      <x:c r="P21" s="16" t="n">
        <x:f>IF(COUNT(I21:O21)&lt;7,"",I21*8+J21*3+K21*2+L21*2+M21*2+N21*2+O21)</x:f>
        <x:v>96</x:v>
      </x:c>
      <x:c r="Q21" s="16" t="n">
        <x:f>IF(COUNT(J21:O21)&lt;6,"",J21*5+K21*4+M21*4+L21*3+N21*2+O21*2)</x:f>
        <x:v>93</x:v>
      </x:c>
      <x:c r="R21" s="14" t="str">
        <x:v>high</x:v>
      </x:c>
      <x:c r="S21" s="14" t="str">
        <x:v>official_source_reverified</x:v>
      </x:c>
      <x:c r="T21" s="14" t="str">
        <x:v>official_source_reachable</x:v>
      </x:c>
      <x:c r="U21" s="14" t="str">
        <x:v>Новий — не контактували</x:v>
      </x:c>
      <x:c r="V21" s="15" t="str">
        <x:v>Персоналізувати review-flow за доказом; попросити 1 артефакт</x:v>
      </x:c>
      <x:c r="W21" s="15" t="str">
        <x:v>Директор; руководитель проектов / ПТО</x:v>
      </x:c>
      <x:c r="X21" s="15" t="str">
        <x:v>25 лет опыта, полный цикл от ТЗ до пусконаладки на промышленных, складских и агрообъектах по Украине.</x:v>
      </x:c>
      <x:c r="Y21" s="15" t="str">
        <x:v>Кабельные трассы, маркировка, автоматика и пусконаладка формируют измеримый доказательный пакет.</x:v>
      </x:c>
      <x:c r="Z21" s="15" t="str">
        <x:v>https://elektroschit.com.ua/posluhy-ta-produktsiia/elektromontazh/</x:v>
      </x:c>
      <x:c r="AA21" s="14" t="str"/>
      <x:c r="AB21" s="14" t="str">
        <x:v>2026-08-24</x:v>
      </x:c>
      <x:c r="AC21" s="14" t="str">
        <x:v>Олександр</x:v>
      </x:c>
      <x:c r="AD21" s="20" t="str"/>
      <x:c r="AE21" s="14" t="str"/>
      <x:c r="AF21" s="14" t="n">
        <x:v>0</x:v>
      </x:c>
      <x:c r="AG21" s="14" t="str">
        <x:v>—</x:v>
      </x:c>
      <x:c r="AH21" s="14" t="n">
        <x:v>0</x:v>
      </x:c>
      <x:c r="AI21" s="14" t="n">
        <x:v>0</x:v>
      </x:c>
      <x:c r="AJ21" s="18" t="n">
        <x:v>0</x:v>
      </x:c>
      <x:c r="AK21" s="14" t="str"/>
      <x:c r="AL21" s="19" t="str"/>
      <x:c r="AM21" s="19" t="str"/>
      <x:c r="AN21" s="15" t="str"/>
      <x:c r="AO21" s="15" t="str">
        <x:v>official_source_reverified</x:v>
      </x:c>
    </x:row>
    <x:row r="22">
      <x:c r="A22" s="14" t="str">
        <x:v>AUG-010</x:v>
      </x:c>
      <x:c r="B22" s="14" t="str">
        <x:v>Перевірено 51 — 24.08</x:v>
      </x:c>
      <x:c r="C22" s="14" t="str">
        <x:v>Мега Watt</x:v>
      </x:c>
      <x:c r="D22" s="14" t="str">
        <x:v>Електромонтаж</x:v>
      </x:c>
      <x:c r="E22" s="14" t="str">
        <x:v>Pilot now</x:v>
      </x:c>
      <x:c r="F22" s="17" t="str">
        <x:f>IF(E22="Pilot now",IF(P22&gt;=84,"P1",IF(P22&gt;=72,"P2","P3")),IF(E22="Expansion discovery",IF(Q22&gt;=88,"D1",IF(Q22&gt;=78,"D2","D3")),IF(E22="Later / requirements","L","Legacy")))</x:f>
        <x:v>P1</x:v>
      </x:c>
      <x:c r="G22" s="14" t="str">
        <x:v>megawatt.ua</x:v>
      </x:c>
      <x:c r="H22" s="14" t="str">
        <x:v>Пілот зараз — Н.15</x:v>
      </x:c>
      <x:c r="I22" s="16" t="n">
        <x:v>5</x:v>
      </x:c>
      <x:c r="J22" s="16" t="n">
        <x:v>5</x:v>
      </x:c>
      <x:c r="K22" s="16" t="n">
        <x:v>5</x:v>
      </x:c>
      <x:c r="L22" s="16" t="n">
        <x:v>4</x:v>
      </x:c>
      <x:c r="M22" s="16" t="n">
        <x:v>4</x:v>
      </x:c>
      <x:c r="N22" s="16" t="n">
        <x:v>5</x:v>
      </x:c>
      <x:c r="O22" s="16" t="n">
        <x:v>5</x:v>
      </x:c>
      <x:c r="P22" s="16" t="n">
        <x:f>IF(COUNT(I22:O22)&lt;7,"",I22*8+J22*3+K22*2+L22*2+M22*2+N22*2+O22)</x:f>
        <x:v>96</x:v>
      </x:c>
      <x:c r="Q22" s="16" t="n">
        <x:f>IF(COUNT(J22:O22)&lt;6,"",J22*5+K22*4+M22*4+L22*3+N22*2+O22*2)</x:f>
        <x:v>93</x:v>
      </x:c>
      <x:c r="R22" s="14" t="str">
        <x:v>high</x:v>
      </x:c>
      <x:c r="S22" s="14" t="str">
        <x:v>official_source_reverified</x:v>
      </x:c>
      <x:c r="T22" s="14" t="str">
        <x:v>official_source_reachable</x:v>
      </x:c>
      <x:c r="U22" s="14" t="str">
        <x:v>Новий — не контактували</x:v>
      </x:c>
      <x:c r="V22" s="15" t="str">
        <x:v>Персоналізувати review-flow за доказом; попросити 1 артефакт</x:v>
      </x:c>
      <x:c r="W22" s="15" t="str">
        <x:v>Владелец; руководитель промышленных проектов</x:v>
      </x:c>
      <x:c r="X22" s="15" t="str">
        <x:v>Полный электромонтаж промышленных объектов; компания заявляет сотни реализованных проектов.</x:v>
      </x:c>
      <x:c r="Y22" s="15" t="str">
        <x:v>Прокладка кабелей, щиты, испытания и сдача объекта образуют готовый Н.15-пилот.</x:v>
      </x:c>
      <x:c r="Z22" s="15" t="str">
        <x:v>https://megawatt.ua/na-obektah-promyshlennogo-naznacheniya</x:v>
      </x:c>
      <x:c r="AA22" s="14" t="str"/>
      <x:c r="AB22" s="14" t="str">
        <x:v>2026-08-24</x:v>
      </x:c>
      <x:c r="AC22" s="14" t="str">
        <x:v>Олександр</x:v>
      </x:c>
      <x:c r="AD22" s="20" t="str"/>
      <x:c r="AE22" s="14" t="str"/>
      <x:c r="AF22" s="14" t="n">
        <x:v>0</x:v>
      </x:c>
      <x:c r="AG22" s="14" t="str">
        <x:v>—</x:v>
      </x:c>
      <x:c r="AH22" s="14" t="n">
        <x:v>0</x:v>
      </x:c>
      <x:c r="AI22" s="14" t="n">
        <x:v>0</x:v>
      </x:c>
      <x:c r="AJ22" s="18" t="n">
        <x:v>0</x:v>
      </x:c>
      <x:c r="AK22" s="14" t="str"/>
      <x:c r="AL22" s="19" t="str"/>
      <x:c r="AM22" s="19" t="str"/>
      <x:c r="AN22" s="15" t="str"/>
      <x:c r="AO22" s="15" t="str">
        <x:v>official_source_reverified</x:v>
      </x:c>
    </x:row>
    <x:row r="23">
      <x:c r="A23" s="14" t="str">
        <x:v>AUG-027</x:v>
      </x:c>
      <x:c r="B23" s="14" t="str">
        <x:v>Перевірено 51 — 24.08</x:v>
      </x:c>
      <x:c r="C23" s="14" t="str">
        <x:v>Оазис Комфорт</x:v>
      </x:c>
      <x:c r="D23" s="14" t="str">
        <x:v>MEP / інженерні системи</x:v>
      </x:c>
      <x:c r="E23" s="14" t="str">
        <x:v>Pilot now</x:v>
      </x:c>
      <x:c r="F23" s="17" t="str">
        <x:f>IF(E23="Pilot now",IF(P23&gt;=84,"P1",IF(P23&gt;=72,"P2","P3")),IF(E23="Expansion discovery",IF(Q23&gt;=88,"D1",IF(Q23&gt;=78,"D2","D3")),IF(E23="Later / requirements","L","Legacy")))</x:f>
        <x:v>P1</x:v>
      </x:c>
      <x:c r="G23" s="14" t="str">
        <x:v>oasiscomfort.com.ua</x:v>
      </x:c>
      <x:c r="H23" s="14" t="str">
        <x:v>Пілот зараз — Н.14 + Н.15</x:v>
      </x:c>
      <x:c r="I23" s="16" t="n">
        <x:v>5</x:v>
      </x:c>
      <x:c r="J23" s="16" t="n">
        <x:v>5</x:v>
      </x:c>
      <x:c r="K23" s="16" t="n">
        <x:v>4</x:v>
      </x:c>
      <x:c r="L23" s="16" t="n">
        <x:v>4</x:v>
      </x:c>
      <x:c r="M23" s="16" t="n">
        <x:v>5</x:v>
      </x:c>
      <x:c r="N23" s="16" t="n">
        <x:v>5</x:v>
      </x:c>
      <x:c r="O23" s="16" t="n">
        <x:v>5</x:v>
      </x:c>
      <x:c r="P23" s="16" t="n">
        <x:f>IF(COUNT(I23:O23)&lt;7,"",I23*8+J23*3+K23*2+L23*2+M23*2+N23*2+O23)</x:f>
        <x:v>96</x:v>
      </x:c>
      <x:c r="Q23" s="16" t="n">
        <x:f>IF(COUNT(J23:O23)&lt;6,"",J23*5+K23*4+M23*4+L23*3+N23*2+O23*2)</x:f>
        <x:v>93</x:v>
      </x:c>
      <x:c r="R23" s="14" t="str">
        <x:v>high</x:v>
      </x:c>
      <x:c r="S23" s="14" t="str">
        <x:v>official_source_reverified</x:v>
      </x:c>
      <x:c r="T23" s="14" t="str">
        <x:v>official_source_reachable</x:v>
      </x:c>
      <x:c r="U23" s="14" t="str">
        <x:v>Новий — не контактували</x:v>
      </x:c>
      <x:c r="V23" s="15" t="str">
        <x:v>Персоналізувати review-flow за доказом; попросити 1 артефакт</x:v>
      </x:c>
      <x:c r="W23" s="15" t="str">
        <x:v>Коммерческий директор; руководитель проектов / ПТО</x:v>
      </x:c>
      <x:c r="X23" s="15" t="str">
        <x:v>Инженерные системы полного цикла для логистических центров, индустриальных парков, бизнеса и ЖК по Украине.</x:v>
      </x:c>
      <x:c r="Y23" s="15" t="str">
        <x:v>Водоснабжение/отопление и электрические точки можно взять одним поддержанным subset на действующем объекте.</x:v>
      </x:c>
      <x:c r="Z23" s="15" t="str">
        <x:v>https://oasiscomfort.com.ua/</x:v>
      </x:c>
      <x:c r="AA23" s="14" t="str"/>
      <x:c r="AB23" s="14" t="str">
        <x:v>2026-08-24</x:v>
      </x:c>
      <x:c r="AC23" s="14" t="str">
        <x:v>Олександр</x:v>
      </x:c>
      <x:c r="AD23" s="20" t="str"/>
      <x:c r="AE23" s="14" t="str"/>
      <x:c r="AF23" s="14" t="n">
        <x:v>0</x:v>
      </x:c>
      <x:c r="AG23" s="14" t="str">
        <x:v>—</x:v>
      </x:c>
      <x:c r="AH23" s="14" t="n">
        <x:v>0</x:v>
      </x:c>
      <x:c r="AI23" s="14" t="n">
        <x:v>0</x:v>
      </x:c>
      <x:c r="AJ23" s="18" t="n">
        <x:v>0</x:v>
      </x:c>
      <x:c r="AK23" s="14" t="str"/>
      <x:c r="AL23" s="19" t="str"/>
      <x:c r="AM23" s="19" t="str"/>
      <x:c r="AN23" s="15" t="str"/>
      <x:c r="AO23" s="15" t="str">
        <x:v>official_source_reverified</x:v>
      </x:c>
    </x:row>
    <x:row r="24">
      <x:c r="A24" s="14" t="str">
        <x:v>AUG-029</x:v>
      </x:c>
      <x:c r="B24" s="14" t="str">
        <x:v>Перевірено 51 — 24.08</x:v>
      </x:c>
      <x:c r="C24" s="14" t="str">
        <x:v>ONG Solar</x:v>
      </x:c>
      <x:c r="D24" s="14" t="str">
        <x:v>СЕС + електрика</x:v>
      </x:c>
      <x:c r="E24" s="14" t="str">
        <x:v>Pilot now</x:v>
      </x:c>
      <x:c r="F24" s="17" t="str">
        <x:f>IF(E24="Pilot now",IF(P24&gt;=84,"P1",IF(P24&gt;=72,"P2","P3")),IF(E24="Expansion discovery",IF(Q24&gt;=88,"D1",IF(Q24&gt;=78,"D2","D3")),IF(E24="Later / requirements","L","Legacy")))</x:f>
        <x:v>P1</x:v>
      </x:c>
      <x:c r="G24" s="14" t="str">
        <x:v>ongsolar.com.ua</x:v>
      </x:c>
      <x:c r="H24" s="14" t="str">
        <x:v>Пілот зараз — Н.15</x:v>
      </x:c>
      <x:c r="I24" s="16" t="n">
        <x:v>5</x:v>
      </x:c>
      <x:c r="J24" s="16" t="n">
        <x:v>5</x:v>
      </x:c>
      <x:c r="K24" s="16" t="n">
        <x:v>5</x:v>
      </x:c>
      <x:c r="L24" s="16" t="n">
        <x:v>3</x:v>
      </x:c>
      <x:c r="M24" s="16" t="n">
        <x:v>5</x:v>
      </x:c>
      <x:c r="N24" s="16" t="n">
        <x:v>5</x:v>
      </x:c>
      <x:c r="O24" s="16" t="n">
        <x:v>5</x:v>
      </x:c>
      <x:c r="P24" s="16" t="n">
        <x:f>IF(COUNT(I24:O24)&lt;7,"",I24*8+J24*3+K24*2+L24*2+M24*2+N24*2+O24)</x:f>
        <x:v>96</x:v>
      </x:c>
      <x:c r="Q24" s="16" t="n">
        <x:f>IF(COUNT(J24:O24)&lt;6,"",J24*5+K24*4+M24*4+L24*3+N24*2+O24*2)</x:f>
        <x:v>94</x:v>
      </x:c>
      <x:c r="R24" s="14" t="str">
        <x:v>high</x:v>
      </x:c>
      <x:c r="S24" s="14" t="str">
        <x:v>official_source_reverified</x:v>
      </x:c>
      <x:c r="T24" s="14" t="str">
        <x:v>official_source_reachable</x:v>
      </x:c>
      <x:c r="U24" s="14" t="str">
        <x:v>Новий — не контактували</x:v>
      </x:c>
      <x:c r="V24" s="15" t="str">
        <x:v>Персоналізувати review-flow за доказом; попросити 1 артефакт</x:v>
      </x:c>
      <x:c r="W24" s="15" t="str">
        <x:v>Директор; руководитель строительства / ПТО</x:v>
      </x:c>
      <x:c r="X24" s="15" t="str">
        <x:v>17+ проектов в пяти областях, полный цикл СЭС и оформление всей документации при запуске.</x:v>
      </x:c>
      <x:c r="Y24" s="15" t="str">
        <x:v>Документационное обещание и повторяемый электромонтаж делают компанию сильным design-partner кандидатом.</x:v>
      </x:c>
      <x:c r="Z24" s="15" t="str">
        <x:v>https://ongsolar.com.ua/</x:v>
      </x:c>
      <x:c r="AA24" s="14" t="str"/>
      <x:c r="AB24" s="14" t="str">
        <x:v>2026-08-24</x:v>
      </x:c>
      <x:c r="AC24" s="14" t="str">
        <x:v>Олександр</x:v>
      </x:c>
      <x:c r="AD24" s="20" t="str"/>
      <x:c r="AE24" s="14" t="str"/>
      <x:c r="AF24" s="14" t="n">
        <x:v>0</x:v>
      </x:c>
      <x:c r="AG24" s="14" t="str">
        <x:v>—</x:v>
      </x:c>
      <x:c r="AH24" s="14" t="n">
        <x:v>0</x:v>
      </x:c>
      <x:c r="AI24" s="14" t="n">
        <x:v>0</x:v>
      </x:c>
      <x:c r="AJ24" s="18" t="n">
        <x:v>0</x:v>
      </x:c>
      <x:c r="AK24" s="14" t="str"/>
      <x:c r="AL24" s="19" t="str"/>
      <x:c r="AM24" s="19" t="str"/>
      <x:c r="AN24" s="15" t="str"/>
      <x:c r="AO24" s="15" t="str">
        <x:v>official_source_reverified</x:v>
      </x:c>
    </x:row>
    <x:row r="25">
      <x:c r="A25" s="14" t="str">
        <x:v>AUG-042</x:v>
      </x:c>
      <x:c r="B25" s="14" t="str">
        <x:v>Перевірено 51 — 24.08</x:v>
      </x:c>
      <x:c r="C25" s="14" t="str">
        <x:v>ВК Тепло</x:v>
      </x:c>
      <x:c r="D25" s="14" t="str">
        <x:v>Внутрішня сантехніка + HVAC</x:v>
      </x:c>
      <x:c r="E25" s="14" t="str">
        <x:v>Pilot now</x:v>
      </x:c>
      <x:c r="F25" s="17" t="str">
        <x:f>IF(E25="Pilot now",IF(P25&gt;=84,"P1",IF(P25&gt;=72,"P2","P3")),IF(E25="Expansion discovery",IF(Q25&gt;=88,"D1",IF(Q25&gt;=78,"D2","D3")),IF(E25="Later / requirements","L","Legacy")))</x:f>
        <x:v>P1</x:v>
      </x:c>
      <x:c r="G25" s="14" t="str">
        <x:v>vk-teplo.com.ua</x:v>
      </x:c>
      <x:c r="H25" s="14" t="str">
        <x:v>Пілот зараз — Н.14</x:v>
      </x:c>
      <x:c r="I25" s="16" t="n">
        <x:v>5</x:v>
      </x:c>
      <x:c r="J25" s="16" t="n">
        <x:v>5</x:v>
      </x:c>
      <x:c r="K25" s="16" t="n">
        <x:v>4</x:v>
      </x:c>
      <x:c r="L25" s="16" t="n">
        <x:v>4</x:v>
      </x:c>
      <x:c r="M25" s="16" t="n">
        <x:v>4</x:v>
      </x:c>
      <x:c r="N25" s="16" t="n">
        <x:v>5</x:v>
      </x:c>
      <x:c r="O25" s="16" t="n">
        <x:v>5</x:v>
      </x:c>
      <x:c r="P25" s="16" t="n">
        <x:f>IF(COUNT(I25:O25)&lt;7,"",I25*8+J25*3+K25*2+L25*2+M25*2+N25*2+O25)</x:f>
        <x:v>94</x:v>
      </x:c>
      <x:c r="Q25" s="16" t="n">
        <x:f>IF(COUNT(J25:O25)&lt;6,"",J25*5+K25*4+M25*4+L25*3+N25*2+O25*2)</x:f>
        <x:v>89</x:v>
      </x:c>
      <x:c r="R25" s="14" t="str">
        <x:v>high</x:v>
      </x:c>
      <x:c r="S25" s="14" t="str">
        <x:v>official_source_reverified</x:v>
      </x:c>
      <x:c r="T25" s="14" t="str">
        <x:v>official_source_reachable</x:v>
      </x:c>
      <x:c r="U25" s="14" t="str">
        <x:v>Новий — не контактували</x:v>
      </x:c>
      <x:c r="V25" s="15" t="str">
        <x:v>Персоналізувати review-flow за доказом; попросити 1 артефакт</x:v>
      </x:c>
      <x:c r="W25" s="15" t="str">
        <x:v>Директор; руководитель проектно-монтажного подразделения</x:v>
      </x:c>
      <x:c r="X25" s="15" t="str">
        <x:v>15 лет, 200+ спроектированных объектов: отопление, водоснабжение, канализация и вентиляция, включая промышленные предприятия и ТРЦ.</x:v>
      </x:c>
      <x:c r="Y25" s="15" t="str">
        <x:v>Трубы, уклоны, сварные соединения, арматура и автоматика прямо входят в Н.14.</x:v>
      </x:c>
      <x:c r="Z25" s="15" t="str">
        <x:v>https://vk-teplo.com.ua/</x:v>
      </x:c>
      <x:c r="AA25" s="14" t="str"/>
      <x:c r="AB25" s="14" t="str">
        <x:v>2026-08-24</x:v>
      </x:c>
      <x:c r="AC25" s="14" t="str">
        <x:v>Олександр</x:v>
      </x:c>
      <x:c r="AD25" s="20" t="str"/>
      <x:c r="AE25" s="14" t="str"/>
      <x:c r="AF25" s="14" t="n">
        <x:v>0</x:v>
      </x:c>
      <x:c r="AG25" s="14" t="str">
        <x:v>—</x:v>
      </x:c>
      <x:c r="AH25" s="14" t="n">
        <x:v>0</x:v>
      </x:c>
      <x:c r="AI25" s="14" t="n">
        <x:v>0</x:v>
      </x:c>
      <x:c r="AJ25" s="18" t="n">
        <x:v>0</x:v>
      </x:c>
      <x:c r="AK25" s="14" t="str"/>
      <x:c r="AL25" s="19" t="str"/>
      <x:c r="AM25" s="19" t="str"/>
      <x:c r="AN25" s="15" t="str"/>
      <x:c r="AO25" s="15" t="str">
        <x:v>official_source_reverified</x:v>
      </x:c>
    </x:row>
    <x:row r="26">
      <x:c r="A26" s="14" t="str">
        <x:v>AUG-008</x:v>
      </x:c>
      <x:c r="B26" s="14" t="str">
        <x:v>Перевірено 51 — 24.08</x:v>
      </x:c>
      <x:c r="C26" s="14" t="str">
        <x:v>Максвел</x:v>
      </x:c>
      <x:c r="D26" s="14" t="str">
        <x:v>Електромонтаж</x:v>
      </x:c>
      <x:c r="E26" s="14" t="str">
        <x:v>Pilot now</x:v>
      </x:c>
      <x:c r="F26" s="17" t="str">
        <x:f>IF(E26="Pilot now",IF(P26&gt;=84,"P1",IF(P26&gt;=72,"P2","P3")),IF(E26="Expansion discovery",IF(Q26&gt;=88,"D1",IF(Q26&gt;=78,"D2","D3")),IF(E26="Later / requirements","L","Legacy")))</x:f>
        <x:v>P1</x:v>
      </x:c>
      <x:c r="G26" s="14" t="str">
        <x:v>maksvel.com.ua</x:v>
      </x:c>
      <x:c r="H26" s="14" t="str">
        <x:v>Пілот зараз — Н.15</x:v>
      </x:c>
      <x:c r="I26" s="16" t="n">
        <x:v>5</x:v>
      </x:c>
      <x:c r="J26" s="16" t="n">
        <x:v>5</x:v>
      </x:c>
      <x:c r="K26" s="16" t="n">
        <x:v>5</x:v>
      </x:c>
      <x:c r="L26" s="16" t="n">
        <x:v>3</x:v>
      </x:c>
      <x:c r="M26" s="16" t="n">
        <x:v>4</x:v>
      </x:c>
      <x:c r="N26" s="16" t="n">
        <x:v>5</x:v>
      </x:c>
      <x:c r="O26" s="16" t="n">
        <x:v>5</x:v>
      </x:c>
      <x:c r="P26" s="16" t="n">
        <x:f>IF(COUNT(I26:O26)&lt;7,"",I26*8+J26*3+K26*2+L26*2+M26*2+N26*2+O26)</x:f>
        <x:v>94</x:v>
      </x:c>
      <x:c r="Q26" s="16" t="n">
        <x:f>IF(COUNT(J26:O26)&lt;6,"",J26*5+K26*4+M26*4+L26*3+N26*2+O26*2)</x:f>
        <x:v>90</x:v>
      </x:c>
      <x:c r="R26" s="14" t="str">
        <x:v>high</x:v>
      </x:c>
      <x:c r="S26" s="14" t="str">
        <x:v>official_source_reverified</x:v>
      </x:c>
      <x:c r="T26" s="14" t="str">
        <x:v>official_source_reachable</x:v>
      </x:c>
      <x:c r="U26" s="14" t="str">
        <x:v>Новий — не контактували</x:v>
      </x:c>
      <x:c r="V26" s="15" t="str">
        <x:v>Персоналізувати review-flow за доказом; попросити 1 артефакт</x:v>
      </x:c>
      <x:c r="W26" s="15" t="str">
        <x:v>Владелец; главный инженер / ПТО</x:v>
      </x:c>
      <x:c r="X26" s="15" t="str">
        <x:v>Специализированное проектирование и монтаж электрических систем для коммерческих и промышленных объектов.</x:v>
      </x:c>
      <x:c r="Y26" s="15" t="str">
        <x:v>Кабельные трассы, штробы, заземление и приёмка электроустановок прямо входят в Н.15.</x:v>
      </x:c>
      <x:c r="Z26" s="15" t="str">
        <x:v>http://www.maksvel.com.ua/</x:v>
      </x:c>
      <x:c r="AA26" s="14" t="str"/>
      <x:c r="AB26" s="14" t="str">
        <x:v>2026-08-24</x:v>
      </x:c>
      <x:c r="AC26" s="14" t="str">
        <x:v>Олександр</x:v>
      </x:c>
      <x:c r="AD26" s="20" t="str"/>
      <x:c r="AE26" s="14" t="str"/>
      <x:c r="AF26" s="14" t="n">
        <x:v>0</x:v>
      </x:c>
      <x:c r="AG26" s="14" t="str">
        <x:v>—</x:v>
      </x:c>
      <x:c r="AH26" s="14" t="n">
        <x:v>0</x:v>
      </x:c>
      <x:c r="AI26" s="14" t="n">
        <x:v>0</x:v>
      </x:c>
      <x:c r="AJ26" s="18" t="n">
        <x:v>0</x:v>
      </x:c>
      <x:c r="AK26" s="14" t="str"/>
      <x:c r="AL26" s="19" t="str"/>
      <x:c r="AM26" s="19" t="str"/>
      <x:c r="AN26" s="15" t="str"/>
      <x:c r="AO26" s="15" t="str">
        <x:v>official_source_reverified</x:v>
      </x:c>
    </x:row>
    <x:row r="27">
      <x:c r="A27" s="14" t="str">
        <x:v>AUG-012</x:v>
      </x:c>
      <x:c r="B27" s="14" t="str">
        <x:v>Перевірено 51 — 24.08</x:v>
      </x:c>
      <x:c r="C27" s="14" t="str">
        <x:v>Укртакелаж</x:v>
      </x:c>
      <x:c r="D27" s="14" t="str">
        <x:v>Промислова електрика</x:v>
      </x:c>
      <x:c r="E27" s="14" t="str">
        <x:v>Pilot now</x:v>
      </x:c>
      <x:c r="F27" s="17" t="str">
        <x:f>IF(E27="Pilot now",IF(P27&gt;=84,"P1",IF(P27&gt;=72,"P2","P3")),IF(E27="Expansion discovery",IF(Q27&gt;=88,"D1",IF(Q27&gt;=78,"D2","D3")),IF(E27="Later / requirements","L","Legacy")))</x:f>
        <x:v>P1</x:v>
      </x:c>
      <x:c r="G27" s="14" t="str">
        <x:v>ukrtakelage.com</x:v>
      </x:c>
      <x:c r="H27" s="14" t="str">
        <x:v>Пілот зараз — Н.15</x:v>
      </x:c>
      <x:c r="I27" s="16" t="n">
        <x:v>5</x:v>
      </x:c>
      <x:c r="J27" s="16" t="n">
        <x:v>5</x:v>
      </x:c>
      <x:c r="K27" s="16" t="n">
        <x:v>5</x:v>
      </x:c>
      <x:c r="L27" s="16" t="n">
        <x:v>4</x:v>
      </x:c>
      <x:c r="M27" s="16" t="n">
        <x:v>3</x:v>
      </x:c>
      <x:c r="N27" s="16" t="n">
        <x:v>5</x:v>
      </x:c>
      <x:c r="O27" s="16" t="n">
        <x:v>5</x:v>
      </x:c>
      <x:c r="P27" s="16" t="n">
        <x:f>IF(COUNT(I27:O27)&lt;7,"",I27*8+J27*3+K27*2+L27*2+M27*2+N27*2+O27)</x:f>
        <x:v>94</x:v>
      </x:c>
      <x:c r="Q27" s="16" t="n">
        <x:f>IF(COUNT(J27:O27)&lt;6,"",J27*5+K27*4+M27*4+L27*3+N27*2+O27*2)</x:f>
        <x:v>89</x:v>
      </x:c>
      <x:c r="R27" s="14" t="str">
        <x:v>high</x:v>
      </x:c>
      <x:c r="S27" s="14" t="str">
        <x:v>official_source_reverified</x:v>
      </x:c>
      <x:c r="T27" s="14" t="str">
        <x:v>official_source_reachable</x:v>
      </x:c>
      <x:c r="U27" s="14" t="str">
        <x:v>Новий — не контактували</x:v>
      </x:c>
      <x:c r="V27" s="15" t="str">
        <x:v>Персоналізувати review-flow за доказом; попросити 1 артефакт</x:v>
      </x:c>
      <x:c r="W27" s="15" t="str">
        <x:v>Коммерческий директор; руководитель электромонтажа</x:v>
      </x:c>
      <x:c r="X27" s="15" t="str">
        <x:v>Промышленный электромонтаж по всей Украине, включая оценку объекта и реализацию работ.</x:v>
      </x:c>
      <x:c r="Y27" s="15" t="str">
        <x:v>Полевые доказательства по кабельным линиям и заземлению легко отделить как пилотный контур.</x:v>
      </x:c>
      <x:c r="Z27" s="15" t="str">
        <x:v>https://ukrtakelage.com/promyshlennyy-elektromontazh</x:v>
      </x:c>
      <x:c r="AA27" s="14" t="str"/>
      <x:c r="AB27" s="14" t="str">
        <x:v>2026-08-24</x:v>
      </x:c>
      <x:c r="AC27" s="14" t="str">
        <x:v>Олександр</x:v>
      </x:c>
      <x:c r="AD27" s="20" t="str"/>
      <x:c r="AE27" s="14" t="str"/>
      <x:c r="AF27" s="14" t="n">
        <x:v>0</x:v>
      </x:c>
      <x:c r="AG27" s="14" t="str">
        <x:v>—</x:v>
      </x:c>
      <x:c r="AH27" s="14" t="n">
        <x:v>0</x:v>
      </x:c>
      <x:c r="AI27" s="14" t="n">
        <x:v>0</x:v>
      </x:c>
      <x:c r="AJ27" s="18" t="n">
        <x:v>0</x:v>
      </x:c>
      <x:c r="AK27" s="14" t="str"/>
      <x:c r="AL27" s="19" t="str"/>
      <x:c r="AM27" s="19" t="str"/>
      <x:c r="AN27" s="15" t="str"/>
      <x:c r="AO27" s="15" t="str">
        <x:v>official_source_reverified</x:v>
      </x:c>
    </x:row>
    <x:row r="28">
      <x:c r="A28" s="14" t="str">
        <x:v>AUG-005</x:v>
      </x:c>
      <x:c r="B28" s="14" t="str">
        <x:v>Перевірено 51 — 24.08</x:v>
      </x:c>
      <x:c r="C28" s="14" t="str">
        <x:v>Airvent</x:v>
      </x:c>
      <x:c r="D28" s="14" t="str">
        <x:v>MEP / інженерні системи</x:v>
      </x:c>
      <x:c r="E28" s="14" t="str">
        <x:v>Pilot now</x:v>
      </x:c>
      <x:c r="F28" s="17" t="str">
        <x:f>IF(E28="Pilot now",IF(P28&gt;=84,"P1",IF(P28&gt;=72,"P2","P3")),IF(E28="Expansion discovery",IF(Q28&gt;=88,"D1",IF(Q28&gt;=78,"D2","D3")),IF(E28="Later / requirements","L","Legacy")))</x:f>
        <x:v>P1</x:v>
      </x:c>
      <x:c r="G28" s="14" t="str">
        <x:v>airvent.com.ua</x:v>
      </x:c>
      <x:c r="H28" s="14" t="str">
        <x:v>Пілот зараз — Н.14 + Н.15</x:v>
      </x:c>
      <x:c r="I28" s="16" t="n">
        <x:v>5</x:v>
      </x:c>
      <x:c r="J28" s="16" t="n">
        <x:v>5</x:v>
      </x:c>
      <x:c r="K28" s="16" t="n">
        <x:v>4</x:v>
      </x:c>
      <x:c r="L28" s="16" t="n">
        <x:v>4</x:v>
      </x:c>
      <x:c r="M28" s="16" t="n">
        <x:v>4</x:v>
      </x:c>
      <x:c r="N28" s="16" t="n">
        <x:v>5</x:v>
      </x:c>
      <x:c r="O28" s="16" t="n">
        <x:v>5</x:v>
      </x:c>
      <x:c r="P28" s="16" t="n">
        <x:f>IF(COUNT(I28:O28)&lt;7,"",I28*8+J28*3+K28*2+L28*2+M28*2+N28*2+O28)</x:f>
        <x:v>94</x:v>
      </x:c>
      <x:c r="Q28" s="16" t="n">
        <x:f>IF(COUNT(J28:O28)&lt;6,"",J28*5+K28*4+M28*4+L28*3+N28*2+O28*2)</x:f>
        <x:v>89</x:v>
      </x:c>
      <x:c r="R28" s="14" t="str">
        <x:v>high</x:v>
      </x:c>
      <x:c r="S28" s="14" t="str">
        <x:v>official_source_reverified</x:v>
      </x:c>
      <x:c r="T28" s="14" t="str">
        <x:v>official_source_reachable</x:v>
      </x:c>
      <x:c r="U28" s="14" t="str">
        <x:v>Новий — не контактували</x:v>
      </x:c>
      <x:c r="V28" s="15" t="str">
        <x:v>Персоналізувати review-flow за доказом; попросити 1 артефакт</x:v>
      </x:c>
      <x:c r="W28" s="15" t="str">
        <x:v>Директор; руководитель проектов / ПТО</x:v>
      </x:c>
      <x:c r="X28" s="15" t="str">
        <x:v>Промышленная вентиляция, отопление, водоснабжение, водоотведение и полный электромонтаж в одной компании.</x:v>
      </x:c>
      <x:c r="Y28" s="15" t="str">
        <x:v>Одновременные санитарно-технические и электрические скрытые работы подходят под обе доступные категории пилота.</x:v>
      </x:c>
      <x:c r="Z28" s="15" t="str">
        <x:v>https://www.airvent.com.ua/</x:v>
      </x:c>
      <x:c r="AA28" s="14" t="str"/>
      <x:c r="AB28" s="14" t="str">
        <x:v>2026-08-24</x:v>
      </x:c>
      <x:c r="AC28" s="14" t="str">
        <x:v>Олександр</x:v>
      </x:c>
      <x:c r="AD28" s="20" t="str"/>
      <x:c r="AE28" s="14" t="str"/>
      <x:c r="AF28" s="14" t="n">
        <x:v>0</x:v>
      </x:c>
      <x:c r="AG28" s="14" t="str">
        <x:v>—</x:v>
      </x:c>
      <x:c r="AH28" s="14" t="n">
        <x:v>0</x:v>
      </x:c>
      <x:c r="AI28" s="14" t="n">
        <x:v>0</x:v>
      </x:c>
      <x:c r="AJ28" s="18" t="n">
        <x:v>0</x:v>
      </x:c>
      <x:c r="AK28" s="14" t="str"/>
      <x:c r="AL28" s="19" t="str"/>
      <x:c r="AM28" s="19" t="str"/>
      <x:c r="AN28" s="15" t="str"/>
      <x:c r="AO28" s="15" t="str">
        <x:v>official_source_reverified</x:v>
      </x:c>
    </x:row>
    <x:row r="29">
      <x:c r="A29" s="14" t="str">
        <x:v>AUG-033</x:v>
      </x:c>
      <x:c r="B29" s="14" t="str">
        <x:v>Перевірено 51 — 24.08</x:v>
      </x:c>
      <x:c r="C29" s="14" t="str">
        <x:v>EL-PRO</x:v>
      </x:c>
      <x:c r="D29" s="14" t="str">
        <x:v>Електромонтаж</x:v>
      </x:c>
      <x:c r="E29" s="14" t="str">
        <x:v>Pilot now</x:v>
      </x:c>
      <x:c r="F29" s="17" t="str">
        <x:f>IF(E29="Pilot now",IF(P29&gt;=84,"P1",IF(P29&gt;=72,"P2","P3")),IF(E29="Expansion discovery",IF(Q29&gt;=88,"D1",IF(Q29&gt;=78,"D2","D3")),IF(E29="Later / requirements","L","Legacy")))</x:f>
        <x:v>P1</x:v>
      </x:c>
      <x:c r="G29" s="14" t="str">
        <x:v>el-pro.com.ua</x:v>
      </x:c>
      <x:c r="H29" s="14" t="str">
        <x:v>Пілот зараз — Н.15</x:v>
      </x:c>
      <x:c r="I29" s="16" t="n">
        <x:v>5</x:v>
      </x:c>
      <x:c r="J29" s="16" t="n">
        <x:v>5</x:v>
      </x:c>
      <x:c r="K29" s="16" t="n">
        <x:v>5</x:v>
      </x:c>
      <x:c r="L29" s="16" t="n">
        <x:v>3</x:v>
      </x:c>
      <x:c r="M29" s="16" t="n">
        <x:v>4</x:v>
      </x:c>
      <x:c r="N29" s="16" t="n">
        <x:v>5</x:v>
      </x:c>
      <x:c r="O29" s="16" t="n">
        <x:v>5</x:v>
      </x:c>
      <x:c r="P29" s="16" t="n">
        <x:f>IF(COUNT(I29:O29)&lt;7,"",I29*8+J29*3+K29*2+L29*2+M29*2+N29*2+O29)</x:f>
        <x:v>94</x:v>
      </x:c>
      <x:c r="Q29" s="16" t="n">
        <x:f>IF(COUNT(J29:O29)&lt;6,"",J29*5+K29*4+M29*4+L29*3+N29*2+O29*2)</x:f>
        <x:v>90</x:v>
      </x:c>
      <x:c r="R29" s="14" t="str">
        <x:v>high</x:v>
      </x:c>
      <x:c r="S29" s="14" t="str">
        <x:v>official_source_reverified</x:v>
      </x:c>
      <x:c r="T29" s="14" t="str">
        <x:v>official_source_reachable</x:v>
      </x:c>
      <x:c r="U29" s="14" t="str">
        <x:v>Новий — не контактували</x:v>
      </x:c>
      <x:c r="V29" s="15" t="str">
        <x:v>Персоналізувати review-flow за доказом; попросити 1 артефакт</x:v>
      </x:c>
      <x:c r="W29" s="15" t="str">
        <x:v>Владелец; главный инженер</x:v>
      </x:c>
      <x:c r="X29" s="15" t="str">
        <x:v>Полный цикл электромонтажа 0,4–10 кВ по Украине: проект, кабельные линии, испытания, пусконаладка и сдача.</x:v>
      </x:c>
      <x:c r="Y29" s="15" t="str">
        <x:v>Траншеи, кабели и заземление прямо соответствуют Н.15.</x:v>
      </x:c>
      <x:c r="Z29" s="15" t="str">
        <x:v>https://el-pro.com.ua/</x:v>
      </x:c>
      <x:c r="AA29" s="14" t="str"/>
      <x:c r="AB29" s="14" t="str">
        <x:v>2026-08-24</x:v>
      </x:c>
      <x:c r="AC29" s="14" t="str">
        <x:v>Олександр</x:v>
      </x:c>
      <x:c r="AD29" s="20" t="str"/>
      <x:c r="AE29" s="14" t="str"/>
      <x:c r="AF29" s="14" t="n">
        <x:v>0</x:v>
      </x:c>
      <x:c r="AG29" s="14" t="str">
        <x:v>—</x:v>
      </x:c>
      <x:c r="AH29" s="14" t="n">
        <x:v>0</x:v>
      </x:c>
      <x:c r="AI29" s="14" t="n">
        <x:v>0</x:v>
      </x:c>
      <x:c r="AJ29" s="18" t="n">
        <x:v>0</x:v>
      </x:c>
      <x:c r="AK29" s="14" t="str"/>
      <x:c r="AL29" s="19" t="str"/>
      <x:c r="AM29" s="19" t="str"/>
      <x:c r="AN29" s="15" t="str"/>
      <x:c r="AO29" s="15" t="str">
        <x:v>official_source_reverified</x:v>
      </x:c>
    </x:row>
    <x:row r="30">
      <x:c r="A30" s="14" t="str">
        <x:v>AUG-026</x:v>
      </x:c>
      <x:c r="B30" s="14" t="str">
        <x:v>Перевірено 51 — 24.08</x:v>
      </x:c>
      <x:c r="C30" s="14" t="str">
        <x:v>GreenVolt Systems</x:v>
      </x:c>
      <x:c r="D30" s="14" t="str">
        <x:v>СЕС + електрика</x:v>
      </x:c>
      <x:c r="E30" s="14" t="str">
        <x:v>Pilot now</x:v>
      </x:c>
      <x:c r="F30" s="17" t="str">
        <x:f>IF(E30="Pilot now",IF(P30&gt;=84,"P1",IF(P30&gt;=72,"P2","P3")),IF(E30="Expansion discovery",IF(Q30&gt;=88,"D1",IF(Q30&gt;=78,"D2","D3")),IF(E30="Later / requirements","L","Legacy")))</x:f>
        <x:v>P1</x:v>
      </x:c>
      <x:c r="G30" s="14" t="str">
        <x:v>greenvolt.systems</x:v>
      </x:c>
      <x:c r="H30" s="14" t="str">
        <x:v>Пілот зараз — Н.15</x:v>
      </x:c>
      <x:c r="I30" s="16" t="n">
        <x:v>5</x:v>
      </x:c>
      <x:c r="J30" s="16" t="n">
        <x:v>5</x:v>
      </x:c>
      <x:c r="K30" s="16" t="n">
        <x:v>5</x:v>
      </x:c>
      <x:c r="L30" s="16" t="n">
        <x:v>3</x:v>
      </x:c>
      <x:c r="M30" s="16" t="n">
        <x:v>4</x:v>
      </x:c>
      <x:c r="N30" s="16" t="n">
        <x:v>5</x:v>
      </x:c>
      <x:c r="O30" s="16" t="n">
        <x:v>5</x:v>
      </x:c>
      <x:c r="P30" s="16" t="n">
        <x:f>IF(COUNT(I30:O30)&lt;7,"",I30*8+J30*3+K30*2+L30*2+M30*2+N30*2+O30)</x:f>
        <x:v>94</x:v>
      </x:c>
      <x:c r="Q30" s="16" t="n">
        <x:f>IF(COUNT(J30:O30)&lt;6,"",J30*5+K30*4+M30*4+L30*3+N30*2+O30*2)</x:f>
        <x:v>90</x:v>
      </x:c>
      <x:c r="R30" s="14" t="str">
        <x:v>high</x:v>
      </x:c>
      <x:c r="S30" s="14" t="str">
        <x:v>official_source_reverified</x:v>
      </x:c>
      <x:c r="T30" s="14" t="str">
        <x:v>official_source_reachable</x:v>
      </x:c>
      <x:c r="U30" s="14" t="str">
        <x:v>Новий — не контактували</x:v>
      </x:c>
      <x:c r="V30" s="15" t="str">
        <x:v>Персоналізувати review-flow за доказом; попросити 1 артефакт</x:v>
      </x:c>
      <x:c r="W30" s="15" t="str">
        <x:v>Владелец; руководитель строительства СЭС</x:v>
      </x:c>
      <x:c r="X30" s="15" t="str">
        <x:v>Полный цикл промышленных и крышных СЭС для бизнеса, агросектора и коммерческой недвижимости.</x:v>
      </x:c>
      <x:c r="Y30" s="15" t="str">
        <x:v>Кабельные линии, заземление и подключение к сети дают ясный поддержанный контур.</x:v>
      </x:c>
      <x:c r="Z30" s="15" t="str">
        <x:v>https://www.greenvolt.systems/</x:v>
      </x:c>
      <x:c r="AA30" s="14" t="str"/>
      <x:c r="AB30" s="14" t="str">
        <x:v>2026-08-24</x:v>
      </x:c>
      <x:c r="AC30" s="14" t="str">
        <x:v>Олександр</x:v>
      </x:c>
      <x:c r="AD30" s="20" t="str"/>
      <x:c r="AE30" s="14" t="str"/>
      <x:c r="AF30" s="14" t="n">
        <x:v>0</x:v>
      </x:c>
      <x:c r="AG30" s="14" t="str">
        <x:v>—</x:v>
      </x:c>
      <x:c r="AH30" s="14" t="n">
        <x:v>0</x:v>
      </x:c>
      <x:c r="AI30" s="14" t="n">
        <x:v>0</x:v>
      </x:c>
      <x:c r="AJ30" s="18" t="n">
        <x:v>0</x:v>
      </x:c>
      <x:c r="AK30" s="14" t="str"/>
      <x:c r="AL30" s="19" t="str"/>
      <x:c r="AM30" s="19" t="str"/>
      <x:c r="AN30" s="15" t="str"/>
      <x:c r="AO30" s="15" t="str">
        <x:v>official_source_reverified</x:v>
      </x:c>
    </x:row>
    <x:row r="31">
      <x:c r="A31" s="14" t="str">
        <x:v>AUG-022</x:v>
      </x:c>
      <x:c r="B31" s="14" t="str">
        <x:v>Перевірено 51 — 24.08</x:v>
      </x:c>
      <x:c r="C31" s="14" t="str">
        <x:v>MPF</x:v>
      </x:c>
      <x:c r="D31" s="14" t="str">
        <x:v>MEP / інженерні системи</x:v>
      </x:c>
      <x:c r="E31" s="14" t="str">
        <x:v>Pilot now</x:v>
      </x:c>
      <x:c r="F31" s="17" t="str">
        <x:f>IF(E31="Pilot now",IF(P31&gt;=84,"P1",IF(P31&gt;=72,"P2","P3")),IF(E31="Expansion discovery",IF(Q31&gt;=88,"D1",IF(Q31&gt;=78,"D2","D3")),IF(E31="Later / requirements","L","Legacy")))</x:f>
        <x:v>P1</x:v>
      </x:c>
      <x:c r="G31" s="14" t="str">
        <x:v>mpf.com.ua</x:v>
      </x:c>
      <x:c r="H31" s="14" t="str">
        <x:v>Пілот зараз — Н.14 + Н.15</x:v>
      </x:c>
      <x:c r="I31" s="16" t="n">
        <x:v>5</x:v>
      </x:c>
      <x:c r="J31" s="16" t="n">
        <x:v>5</x:v>
      </x:c>
      <x:c r="K31" s="16" t="n">
        <x:v>4</x:v>
      </x:c>
      <x:c r="L31" s="16" t="n">
        <x:v>4</x:v>
      </x:c>
      <x:c r="M31" s="16" t="n">
        <x:v>4</x:v>
      </x:c>
      <x:c r="N31" s="16" t="n">
        <x:v>5</x:v>
      </x:c>
      <x:c r="O31" s="16" t="n">
        <x:v>5</x:v>
      </x:c>
      <x:c r="P31" s="16" t="n">
        <x:f>IF(COUNT(I31:O31)&lt;7,"",I31*8+J31*3+K31*2+L31*2+M31*2+N31*2+O31)</x:f>
        <x:v>94</x:v>
      </x:c>
      <x:c r="Q31" s="16" t="n">
        <x:f>IF(COUNT(J31:O31)&lt;6,"",J31*5+K31*4+M31*4+L31*3+N31*2+O31*2)</x:f>
        <x:v>89</x:v>
      </x:c>
      <x:c r="R31" s="14" t="str">
        <x:v>high</x:v>
      </x:c>
      <x:c r="S31" s="14" t="str">
        <x:v>official_source_reverified</x:v>
      </x:c>
      <x:c r="T31" s="14" t="str">
        <x:v>official_source_reachable</x:v>
      </x:c>
      <x:c r="U31" s="14" t="str">
        <x:v>Новий — не контактували</x:v>
      </x:c>
      <x:c r="V31" s="15" t="str">
        <x:v>Персоналізувати review-flow за доказом; попросити 1 артефакт</x:v>
      </x:c>
      <x:c r="W31" s="15" t="str">
        <x:v>Коммерческий директор; руководитель ПТО</x:v>
      </x:c>
      <x:c r="X31" s="15" t="str">
        <x:v>Полный цикл инженерных систем для промышленных и коммерческих объектов: проект, монтаж, пусконаладка и ввод.</x:v>
      </x:c>
      <x:c r="Y31" s="15" t="str">
        <x:v>Водоснабжение, канализация, HVAC и электроснабжение позволяют выбрать полностью поддержанный пилотный участок.</x:v>
      </x:c>
      <x:c r="Z31" s="15" t="str">
        <x:v>https://mpf.com.ua/services/inzenerni-sistemi</x:v>
      </x:c>
      <x:c r="AA31" s="14" t="str"/>
      <x:c r="AB31" s="14" t="str">
        <x:v>2026-08-24</x:v>
      </x:c>
      <x:c r="AC31" s="14" t="str">
        <x:v>Олександр</x:v>
      </x:c>
      <x:c r="AD31" s="20" t="str"/>
      <x:c r="AE31" s="14" t="str"/>
      <x:c r="AF31" s="14" t="n">
        <x:v>0</x:v>
      </x:c>
      <x:c r="AG31" s="14" t="str">
        <x:v>—</x:v>
      </x:c>
      <x:c r="AH31" s="14" t="n">
        <x:v>0</x:v>
      </x:c>
      <x:c r="AI31" s="14" t="n">
        <x:v>0</x:v>
      </x:c>
      <x:c r="AJ31" s="18" t="n">
        <x:v>0</x:v>
      </x:c>
      <x:c r="AK31" s="14" t="str"/>
      <x:c r="AL31" s="19" t="str"/>
      <x:c r="AM31" s="19" t="str"/>
      <x:c r="AN31" s="15" t="str"/>
      <x:c r="AO31" s="15" t="str">
        <x:v>official_source_reverified</x:v>
      </x:c>
    </x:row>
    <x:row r="32">
      <x:c r="A32" s="14" t="str">
        <x:v>AUG-039</x:v>
      </x:c>
      <x:c r="B32" s="14" t="str">
        <x:v>Перевірено 51 — 24.08</x:v>
      </x:c>
      <x:c r="C32" s="14" t="str">
        <x:v>ВОЛЬТ ЕНЕРГО МОНТАЖ</x:v>
      </x:c>
      <x:c r="D32" s="14" t="str">
        <x:v>Електромонтаж</x:v>
      </x:c>
      <x:c r="E32" s="14" t="str">
        <x:v>Pilot now</x:v>
      </x:c>
      <x:c r="F32" s="17" t="str">
        <x:f>IF(E32="Pilot now",IF(P32&gt;=84,"P1",IF(P32&gt;=72,"P2","P3")),IF(E32="Expansion discovery",IF(Q32&gt;=88,"D1",IF(Q32&gt;=78,"D2","D3")),IF(E32="Later / requirements","L","Legacy")))</x:f>
        <x:v>P1</x:v>
      </x:c>
      <x:c r="G32" s="14" t="str">
        <x:v>voltmontage.com.ua</x:v>
      </x:c>
      <x:c r="H32" s="14" t="str">
        <x:v>Пілот зараз — Н.15</x:v>
      </x:c>
      <x:c r="I32" s="16" t="n">
        <x:v>5</x:v>
      </x:c>
      <x:c r="J32" s="16" t="n">
        <x:v>5</x:v>
      </x:c>
      <x:c r="K32" s="16" t="n">
        <x:v>5</x:v>
      </x:c>
      <x:c r="L32" s="16" t="n">
        <x:v>3</x:v>
      </x:c>
      <x:c r="M32" s="16" t="n">
        <x:v>5</x:v>
      </x:c>
      <x:c r="N32" s="16" t="n">
        <x:v>5</x:v>
      </x:c>
      <x:c r="O32" s="16" t="n">
        <x:v>2</x:v>
      </x:c>
      <x:c r="P32" s="16" t="n">
        <x:f>IF(COUNT(I32:O32)&lt;7,"",I32*8+J32*3+K32*2+L32*2+M32*2+N32*2+O32)</x:f>
        <x:v>93</x:v>
      </x:c>
      <x:c r="Q32" s="16" t="n">
        <x:f>IF(COUNT(J32:O32)&lt;6,"",J32*5+K32*4+M32*4+L32*3+N32*2+O32*2)</x:f>
        <x:v>88</x:v>
      </x:c>
      <x:c r="R32" s="14" t="str">
        <x:v>high</x:v>
      </x:c>
      <x:c r="S32" s="14" t="str">
        <x:v>official_content_reverified_via_search_index</x:v>
      </x:c>
      <x:c r="T32" s="14" t="str">
        <x:v>live_site_unreachable_in_browser</x:v>
      </x:c>
      <x:c r="U32" s="14" t="str">
        <x:v>Новий — не контактували</x:v>
      </x:c>
      <x:c r="V32" s="15" t="str">
        <x:v>Персоналізувати review-flow за доказом; попросити 1 артефакт</x:v>
      </x:c>
      <x:c r="W32" s="15" t="str">
        <x:v>Директор; руководитель электролаборатории / проектов</x:v>
      </x:c>
      <x:c r="X32" s="15" t="str">
        <x:v>Полный цикл 0,4–10 кВ: проектирование, кабельные/воздушные линии, молниезащита, пусконаладка и электролаборатория.</x:v>
      </x:c>
      <x:c r="Y32" s="15" t="str">
        <x:v>Н.15 полностью соответствует заявленным кабельным и заземляющим работам.</x:v>
      </x:c>
      <x:c r="Z32" s="15" t="str">
        <x:v>https://voltmontage.com.ua/</x:v>
      </x:c>
      <x:c r="AA32" s="14" t="str"/>
      <x:c r="AB32" s="14" t="str">
        <x:v>2026-08-24</x:v>
      </x:c>
      <x:c r="AC32" s="14" t="str">
        <x:v>Олександр</x:v>
      </x:c>
      <x:c r="AD32" s="20" t="str"/>
      <x:c r="AE32" s="14" t="str"/>
      <x:c r="AF32" s="14" t="n">
        <x:v>0</x:v>
      </x:c>
      <x:c r="AG32" s="14" t="str">
        <x:v>—</x:v>
      </x:c>
      <x:c r="AH32" s="14" t="n">
        <x:v>0</x:v>
      </x:c>
      <x:c r="AI32" s="14" t="n">
        <x:v>0</x:v>
      </x:c>
      <x:c r="AJ32" s="18" t="n">
        <x:v>0</x:v>
      </x:c>
      <x:c r="AK32" s="14" t="str"/>
      <x:c r="AL32" s="19" t="str"/>
      <x:c r="AM32" s="19" t="str"/>
      <x:c r="AN32" s="15" t="str"/>
      <x:c r="AO32" s="15" t="str">
        <x:v>official_content_reverified_via_search_index</x:v>
      </x:c>
    </x:row>
    <x:row r="33">
      <x:c r="A33" s="14" t="str">
        <x:v>AUG-050</x:v>
      </x:c>
      <x:c r="B33" s="14" t="str">
        <x:v>Перевірено 51 — 24.08</x:v>
      </x:c>
      <x:c r="C33" s="14" t="str">
        <x:v>Київська Насосна Компанія</x:v>
      </x:c>
      <x:c r="D33" s="14" t="str">
        <x:v>Внутрішня сантехніка + HVAC</x:v>
      </x:c>
      <x:c r="E33" s="14" t="str">
        <x:v>Pilot now</x:v>
      </x:c>
      <x:c r="F33" s="17" t="str">
        <x:f>IF(E33="Pilot now",IF(P33&gt;=84,"P1",IF(P33&gt;=72,"P2","P3")),IF(E33="Expansion discovery",IF(Q33&gt;=88,"D1",IF(Q33&gt;=78,"D2","D3")),IF(E33="Later / requirements","L","Legacy")))</x:f>
        <x:v>P1</x:v>
      </x:c>
      <x:c r="G33" s="14" t="str">
        <x:v>knk.ua</x:v>
      </x:c>
      <x:c r="H33" s="14" t="str">
        <x:v>Пілот зараз — Н.14</x:v>
      </x:c>
      <x:c r="I33" s="16" t="n">
        <x:v>5</x:v>
      </x:c>
      <x:c r="J33" s="16" t="n">
        <x:v>5</x:v>
      </x:c>
      <x:c r="K33" s="16" t="n">
        <x:v>4</x:v>
      </x:c>
      <x:c r="L33" s="16" t="n">
        <x:v>4</x:v>
      </x:c>
      <x:c r="M33" s="16" t="n">
        <x:v>4</x:v>
      </x:c>
      <x:c r="N33" s="16" t="n">
        <x:v>5</x:v>
      </x:c>
      <x:c r="O33" s="16" t="n">
        <x:v>4</x:v>
      </x:c>
      <x:c r="P33" s="16" t="n">
        <x:f>IF(COUNT(I33:O33)&lt;7,"",I33*8+J33*3+K33*2+L33*2+M33*2+N33*2+O33)</x:f>
        <x:v>93</x:v>
      </x:c>
      <x:c r="Q33" s="16" t="n">
        <x:f>IF(COUNT(J33:O33)&lt;6,"",J33*5+K33*4+M33*4+L33*3+N33*2+O33*2)</x:f>
        <x:v>87</x:v>
      </x:c>
      <x:c r="R33" s="14" t="str">
        <x:v>high</x:v>
      </x:c>
      <x:c r="S33" s="14" t="str">
        <x:v>official_homepage_and_pdf_reverified</x:v>
      </x:c>
      <x:c r="T33" s="14" t="str">
        <x:v>official_homepage_indexed_pdf_reachable</x:v>
      </x:c>
      <x:c r="U33" s="14" t="str">
        <x:v>Новий — не контактували</x:v>
      </x:c>
      <x:c r="V33" s="15" t="str">
        <x:v>Персоналізувати review-flow за доказом; попросити 1 артефакт</x:v>
      </x:c>
      <x:c r="W33" s="15" t="str">
        <x:v>Директор; руководитель монтажных проектов / ПТО</x:v>
      </x:c>
      <x:c r="X33" s="15" t="str">
        <x:v>Монтаж, шеф-монтаж и пусконаладка водоснабжения, отопления, канализации и вентиляции с возможностью генподряда.</x:v>
      </x:c>
      <x:c r="Y33" s="15" t="str">
        <x:v>Трубопроводы, арматура, автоматика и приёмка напрямую совпадают с Н.14.</x:v>
      </x:c>
      <x:c r="Z33" s="15" t="str">
        <x:v>https://knk.ua/data/images/pdf/2023_%D0%9A%D0%B0%D1%82%D0%B0%D0%BB%D0%BE%D0%B3_%D0%9A%D0%9D%D0%9A.pdf</x:v>
      </x:c>
      <x:c r="AA33" s="14" t="str"/>
      <x:c r="AB33" s="14" t="str">
        <x:v>2026-08-24</x:v>
      </x:c>
      <x:c r="AC33" s="14" t="str">
        <x:v>Олександр</x:v>
      </x:c>
      <x:c r="AD33" s="20" t="str"/>
      <x:c r="AE33" s="14" t="str"/>
      <x:c r="AF33" s="14" t="n">
        <x:v>0</x:v>
      </x:c>
      <x:c r="AG33" s="14" t="str">
        <x:v>—</x:v>
      </x:c>
      <x:c r="AH33" s="14" t="n">
        <x:v>0</x:v>
      </x:c>
      <x:c r="AI33" s="14" t="n">
        <x:v>0</x:v>
      </x:c>
      <x:c r="AJ33" s="18" t="n">
        <x:v>0</x:v>
      </x:c>
      <x:c r="AK33" s="14" t="str"/>
      <x:c r="AL33" s="19" t="str"/>
      <x:c r="AM33" s="19" t="str"/>
      <x:c r="AN33" s="15" t="str"/>
      <x:c r="AO33" s="15" t="str">
        <x:v>official_homepage_and_pdf_reverified</x:v>
      </x:c>
    </x:row>
    <x:row r="34">
      <x:c r="A34" s="14" t="str">
        <x:v>AUG-044</x:v>
      </x:c>
      <x:c r="B34" s="14" t="str">
        <x:v>Перевірено 51 — 24.08</x:v>
      </x:c>
      <x:c r="C34" s="14" t="str">
        <x:v>Магія Комфорту</x:v>
      </x:c>
      <x:c r="D34" s="14" t="str">
        <x:v>Внутрішня сантехніка + HVAC</x:v>
      </x:c>
      <x:c r="E34" s="14" t="str">
        <x:v>Pilot now</x:v>
      </x:c>
      <x:c r="F34" s="17" t="str">
        <x:f>IF(E34="Pilot now",IF(P34&gt;=84,"P1",IF(P34&gt;=72,"P2","P3")),IF(E34="Expansion discovery",IF(Q34&gt;=88,"D1",IF(Q34&gt;=78,"D2","D3")),IF(E34="Later / requirements","L","Legacy")))</x:f>
        <x:v>P1</x:v>
      </x:c>
      <x:c r="G34" s="14" t="str">
        <x:v>magic-comfort.com.ua</x:v>
      </x:c>
      <x:c r="H34" s="14" t="str">
        <x:v>Пілот зараз — Н.14</x:v>
      </x:c>
      <x:c r="I34" s="16" t="n">
        <x:v>5</x:v>
      </x:c>
      <x:c r="J34" s="16" t="n">
        <x:v>5</x:v>
      </x:c>
      <x:c r="K34" s="16" t="n">
        <x:v>4</x:v>
      </x:c>
      <x:c r="L34" s="16" t="n">
        <x:v>3</x:v>
      </x:c>
      <x:c r="M34" s="16" t="n">
        <x:v>4</x:v>
      </x:c>
      <x:c r="N34" s="16" t="n">
        <x:v>5</x:v>
      </x:c>
      <x:c r="O34" s="16" t="n">
        <x:v>5</x:v>
      </x:c>
      <x:c r="P34" s="16" t="n">
        <x:f>IF(COUNT(I34:O34)&lt;7,"",I34*8+J34*3+K34*2+L34*2+M34*2+N34*2+O34)</x:f>
        <x:v>92</x:v>
      </x:c>
      <x:c r="Q34" s="16" t="n">
        <x:f>IF(COUNT(J34:O34)&lt;6,"",J34*5+K34*4+M34*4+L34*3+N34*2+O34*2)</x:f>
        <x:v>86</x:v>
      </x:c>
      <x:c r="R34" s="14" t="str">
        <x:v>high</x:v>
      </x:c>
      <x:c r="S34" s="14" t="str">
        <x:v>official_source_reverified</x:v>
      </x:c>
      <x:c r="T34" s="14" t="str">
        <x:v>official_source_reachable</x:v>
      </x:c>
      <x:c r="U34" s="14" t="str">
        <x:v>Новий — не контактували</x:v>
      </x:c>
      <x:c r="V34" s="15" t="str">
        <x:v>Персоналізувати review-flow за доказом; попросити 1 артефакт</x:v>
      </x:c>
      <x:c r="W34" s="15" t="str">
        <x:v>Владелец; главный инженер / ПТО</x:v>
      </x:c>
      <x:c r="X34" s="15" t="str">
        <x:v>20+ лет, проектирование, строительно-монтажные и пусконаладочные работы на жилых, коммерческих и промышленных объектах.</x:v>
      </x:c>
      <x:c r="Y34" s="15" t="str">
        <x:v>Опаление, водоснабжение, канализация и автоматика соответствуют Н.14.</x:v>
      </x:c>
      <x:c r="Z34" s="15" t="str">
        <x:v>https://magic-comfort.com.ua/</x:v>
      </x:c>
      <x:c r="AA34" s="14" t="str"/>
      <x:c r="AB34" s="14" t="str">
        <x:v>2026-08-24</x:v>
      </x:c>
      <x:c r="AC34" s="14" t="str">
        <x:v>Олександр</x:v>
      </x:c>
      <x:c r="AD34" s="20" t="str"/>
      <x:c r="AE34" s="14" t="str"/>
      <x:c r="AF34" s="14" t="n">
        <x:v>0</x:v>
      </x:c>
      <x:c r="AG34" s="14" t="str">
        <x:v>—</x:v>
      </x:c>
      <x:c r="AH34" s="14" t="n">
        <x:v>0</x:v>
      </x:c>
      <x:c r="AI34" s="14" t="n">
        <x:v>0</x:v>
      </x:c>
      <x:c r="AJ34" s="18" t="n">
        <x:v>0</x:v>
      </x:c>
      <x:c r="AK34" s="14" t="str"/>
      <x:c r="AL34" s="19" t="str"/>
      <x:c r="AM34" s="19" t="str"/>
      <x:c r="AN34" s="15" t="str"/>
      <x:c r="AO34" s="15" t="str">
        <x:v>official_source_reverified</x:v>
      </x:c>
    </x:row>
    <x:row r="35">
      <x:c r="A35" s="14" t="str">
        <x:v>AUG-051</x:v>
      </x:c>
      <x:c r="B35" s="14" t="str">
        <x:v>Перевірено 51 — 24.08</x:v>
      </x:c>
      <x:c r="C35" s="14" t="str">
        <x:v>Office Construction</x:v>
      </x:c>
      <x:c r="D35" s="14" t="str">
        <x:v>Генпідряд / MEP fit-out</x:v>
      </x:c>
      <x:c r="E35" s="14" t="str">
        <x:v>Pilot now</x:v>
      </x:c>
      <x:c r="F35" s="17" t="str">
        <x:f>IF(E35="Pilot now",IF(P35&gt;=84,"P1",IF(P35&gt;=72,"P2","P3")),IF(E35="Expansion discovery",IF(Q35&gt;=88,"D1",IF(Q35&gt;=78,"D2","D3")),IF(E35="Later / requirements","L","Legacy")))</x:f>
        <x:v>P1</x:v>
      </x:c>
      <x:c r="G35" s="14" t="str">
        <x:v>office-construction.ua</x:v>
      </x:c>
      <x:c r="H35" s="14" t="str">
        <x:v>Пілот зараз — Н.14 + Н.15</x:v>
      </x:c>
      <x:c r="I35" s="16" t="n">
        <x:v>5</x:v>
      </x:c>
      <x:c r="J35" s="16" t="n">
        <x:v>5</x:v>
      </x:c>
      <x:c r="K35" s="16" t="n">
        <x:v>4</x:v>
      </x:c>
      <x:c r="L35" s="16" t="n">
        <x:v>5</x:v>
      </x:c>
      <x:c r="M35" s="16" t="n">
        <x:v>5</x:v>
      </x:c>
      <x:c r="N35" s="16" t="n">
        <x:v>2</x:v>
      </x:c>
      <x:c r="O35" s="16" t="n">
        <x:v>4</x:v>
      </x:c>
      <x:c r="P35" s="16" t="n">
        <x:f>IF(COUNT(I35:O35)&lt;7,"",I35*8+J35*3+K35*2+L35*2+M35*2+N35*2+O35)</x:f>
        <x:v>91</x:v>
      </x:c>
      <x:c r="Q35" s="16" t="n">
        <x:f>IF(COUNT(J35:O35)&lt;6,"",J35*5+K35*4+M35*4+L35*3+N35*2+O35*2)</x:f>
        <x:v>88</x:v>
      </x:c>
      <x:c r="R35" s="14" t="str">
        <x:v>high</x:v>
      </x:c>
      <x:c r="S35" s="14" t="str">
        <x:v>official_portfolio_pdf_reverified</x:v>
      </x:c>
      <x:c r="T35" s="14" t="str">
        <x:v>official_pdf_reachable</x:v>
      </x:c>
      <x:c r="U35" s="14" t="str">
        <x:v>Новий — не контактували</x:v>
      </x:c>
      <x:c r="V35" s="15" t="str">
        <x:v>Персоналізувати review-flow за доказом; попросити 1 артефакт</x:v>
      </x:c>
      <x:c r="W35" s="15" t="str">
        <x:v>Директор по строительству; руководитель инженерных систем / ПТО</x:v>
      </x:c>
      <x:c r="X35" s="15" t="str">
        <x:v>Портфолио крупных офисных объектов с электрикой, слаботочкой, HVAC, пожарными системами, водоснабжением и рабочей документацией.</x:v>
      </x:c>
      <x:c r="Y35" s="15" t="str">
        <x:v>Много поддержанных скрытых систем, но лучше заходить через отдельного субподрядчика или как партнёрский канал.</x:v>
      </x:c>
      <x:c r="Z35" s="15" t="str">
        <x:v>https://office-construction.ua/wp-content/uploads/2025/06/presentation-office-construction-2025-pdf-1.pdf</x:v>
      </x:c>
      <x:c r="AA35" s="14" t="str"/>
      <x:c r="AB35" s="14" t="str">
        <x:v>2026-08-24</x:v>
      </x:c>
      <x:c r="AC35" s="14" t="str">
        <x:v>Олександр</x:v>
      </x:c>
      <x:c r="AD35" s="20" t="str"/>
      <x:c r="AE35" s="14" t="str"/>
      <x:c r="AF35" s="14" t="n">
        <x:v>0</x:v>
      </x:c>
      <x:c r="AG35" s="14" t="str">
        <x:v>—</x:v>
      </x:c>
      <x:c r="AH35" s="14" t="n">
        <x:v>0</x:v>
      </x:c>
      <x:c r="AI35" s="14" t="n">
        <x:v>0</x:v>
      </x:c>
      <x:c r="AJ35" s="18" t="n">
        <x:v>0</x:v>
      </x:c>
      <x:c r="AK35" s="14" t="str"/>
      <x:c r="AL35" s="19" t="str"/>
      <x:c r="AM35" s="19" t="str"/>
      <x:c r="AN35" s="15" t="str"/>
      <x:c r="AO35" s="15" t="str">
        <x:v>official_portfolio_pdf_reverified</x:v>
      </x:c>
    </x:row>
    <x:row r="36">
      <x:c r="A36" s="14" t="str">
        <x:v>AUG-011</x:v>
      </x:c>
      <x:c r="B36" s="14" t="str">
        <x:v>Перевірено 51 — 24.08</x:v>
      </x:c>
      <x:c r="C36" s="14" t="str">
        <x:v>Де Люкс</x:v>
      </x:c>
      <x:c r="D36" s="14" t="str">
        <x:v>Електромонтаж</x:v>
      </x:c>
      <x:c r="E36" s="14" t="str">
        <x:v>Pilot now</x:v>
      </x:c>
      <x:c r="F36" s="17" t="str">
        <x:f>IF(E36="Pilot now",IF(P36&gt;=84,"P1",IF(P36&gt;=72,"P2","P3")),IF(E36="Expansion discovery",IF(Q36&gt;=88,"D1",IF(Q36&gt;=78,"D2","D3")),IF(E36="Later / requirements","L","Legacy")))</x:f>
        <x:v>P1</x:v>
      </x:c>
      <x:c r="G36" s="14" t="str">
        <x:v>businesslux.com.ua</x:v>
      </x:c>
      <x:c r="H36" s="14" t="str">
        <x:v>Пілот зараз — Н.15</x:v>
      </x:c>
      <x:c r="I36" s="16" t="n">
        <x:v>5</x:v>
      </x:c>
      <x:c r="J36" s="16" t="n">
        <x:v>5</x:v>
      </x:c>
      <x:c r="K36" s="16" t="n">
        <x:v>4</x:v>
      </x:c>
      <x:c r="L36" s="16" t="n">
        <x:v>3</x:v>
      </x:c>
      <x:c r="M36" s="16" t="n">
        <x:v>3</x:v>
      </x:c>
      <x:c r="N36" s="16" t="n">
        <x:v>5</x:v>
      </x:c>
      <x:c r="O36" s="16" t="n">
        <x:v>5</x:v>
      </x:c>
      <x:c r="P36" s="16" t="n">
        <x:f>IF(COUNT(I36:O36)&lt;7,"",I36*8+J36*3+K36*2+L36*2+M36*2+N36*2+O36)</x:f>
        <x:v>90</x:v>
      </x:c>
      <x:c r="Q36" s="16" t="n">
        <x:f>IF(COUNT(J36:O36)&lt;6,"",J36*5+K36*4+M36*4+L36*3+N36*2+O36*2)</x:f>
        <x:v>82</x:v>
      </x:c>
      <x:c r="R36" s="14" t="str">
        <x:v>high</x:v>
      </x:c>
      <x:c r="S36" s="14" t="str">
        <x:v>official_source_reverified</x:v>
      </x:c>
      <x:c r="T36" s="14" t="str">
        <x:v>official_source_reachable</x:v>
      </x:c>
      <x:c r="U36" s="14" t="str">
        <x:v>Новий — не контактували</x:v>
      </x:c>
      <x:c r="V36" s="15" t="str">
        <x:v>Персоналізувати review-flow за доказом; попросити 1 артефакт</x:v>
      </x:c>
      <x:c r="W36" s="15" t="str">
        <x:v>Директор; главный инженер</x:v>
      </x:c>
      <x:c r="X36" s="15" t="str">
        <x:v>Электромонтаж на промышленных объектах с расчётом и реализацией электротехнических проектов.</x:v>
      </x:c>
      <x:c r="Y36" s="15" t="str">
        <x:v>Скрытые кабели и электрические установки можно ограничить одним объектом и одной бригадой.</x:v>
      </x:c>
      <x:c r="Z36" s="15" t="str">
        <x:v>https://businesslux.com.ua/elektromontazhni-roboty-na-promyslovyh-obyektah/</x:v>
      </x:c>
      <x:c r="AA36" s="14" t="str"/>
      <x:c r="AB36" s="14" t="str">
        <x:v>2026-08-24</x:v>
      </x:c>
      <x:c r="AC36" s="14" t="str">
        <x:v>Олександр</x:v>
      </x:c>
      <x:c r="AD36" s="20" t="str"/>
      <x:c r="AE36" s="14" t="str"/>
      <x:c r="AF36" s="14" t="n">
        <x:v>0</x:v>
      </x:c>
      <x:c r="AG36" s="14" t="str">
        <x:v>—</x:v>
      </x:c>
      <x:c r="AH36" s="14" t="n">
        <x:v>0</x:v>
      </x:c>
      <x:c r="AI36" s="14" t="n">
        <x:v>0</x:v>
      </x:c>
      <x:c r="AJ36" s="18" t="n">
        <x:v>0</x:v>
      </x:c>
      <x:c r="AK36" s="14" t="str"/>
      <x:c r="AL36" s="19" t="str"/>
      <x:c r="AM36" s="19" t="str"/>
      <x:c r="AN36" s="15" t="str"/>
      <x:c r="AO36" s="15" t="str">
        <x:v>official_source_reverified</x:v>
      </x:c>
    </x:row>
    <x:row r="37">
      <x:c r="A37" s="14" t="str">
        <x:v>AUG-030</x:v>
      </x:c>
      <x:c r="B37" s="14" t="str">
        <x:v>Перевірено 51 — 24.08</x:v>
      </x:c>
      <x:c r="C37" s="14" t="str">
        <x:v>Промтехгруп</x:v>
      </x:c>
      <x:c r="D37" s="14" t="str">
        <x:v>Промисловий HVAC / MEP</x:v>
      </x:c>
      <x:c r="E37" s="14" t="str">
        <x:v>Pilot now</x:v>
      </x:c>
      <x:c r="F37" s="17" t="str">
        <x:f>IF(E37="Pilot now",IF(P37&gt;=84,"P1",IF(P37&gt;=72,"P2","P3")),IF(E37="Expansion discovery",IF(Q37&gt;=88,"D1",IF(Q37&gt;=78,"D2","D3")),IF(E37="Later / requirements","L","Legacy")))</x:f>
        <x:v>P1</x:v>
      </x:c>
      <x:c r="G37" s="14" t="str">
        <x:v>promtechgroup.com.ua</x:v>
      </x:c>
      <x:c r="H37" s="14" t="str">
        <x:v>Пілот зараз — Н.14</x:v>
      </x:c>
      <x:c r="I37" s="16" t="n">
        <x:v>4</x:v>
      </x:c>
      <x:c r="J37" s="16" t="n">
        <x:v>5</x:v>
      </x:c>
      <x:c r="K37" s="16" t="n">
        <x:v>4</x:v>
      </x:c>
      <x:c r="L37" s="16" t="n">
        <x:v>5</x:v>
      </x:c>
      <x:c r="M37" s="16" t="n">
        <x:v>5</x:v>
      </x:c>
      <x:c r="N37" s="16" t="n">
        <x:v>5</x:v>
      </x:c>
      <x:c r="O37" s="16" t="n">
        <x:v>5</x:v>
      </x:c>
      <x:c r="P37" s="16" t="n">
        <x:f>IF(COUNT(I37:O37)&lt;7,"",I37*8+J37*3+K37*2+L37*2+M37*2+N37*2+O37)</x:f>
        <x:v>90</x:v>
      </x:c>
      <x:c r="Q37" s="16" t="n">
        <x:f>IF(COUNT(J37:O37)&lt;6,"",J37*5+K37*4+M37*4+L37*3+N37*2+O37*2)</x:f>
        <x:v>96</x:v>
      </x:c>
      <x:c r="R37" s="14" t="str">
        <x:v>high</x:v>
      </x:c>
      <x:c r="S37" s="14" t="str">
        <x:v>official_source_reverified</x:v>
      </x:c>
      <x:c r="T37" s="14" t="str">
        <x:v>official_source_reachable</x:v>
      </x:c>
      <x:c r="U37" s="14" t="str">
        <x:v>Новий — не контактували</x:v>
      </x:c>
      <x:c r="V37" s="15" t="str">
        <x:v>Персоналізувати review-flow за доказом; попросити 1 артефакт</x:v>
      </x:c>
      <x:c r="W37" s="15" t="str">
        <x:v>Директор; руководитель проектов / ПТО</x:v>
      </x:c>
      <x:c r="X37" s="15" t="str">
        <x:v>100+ проектов с 2008 года: HVAC, холодоснабжение, водоснабжение, автоматизация и диспетчеризация для бизнеса.</x:v>
      </x:c>
      <x:c r="Y37" s="15" t="str">
        <x:v>Трубопроводы, арматура и автоматика прямо ложатся на Н.14; можно измерить сбор доказательств на одном проекте.</x:v>
      </x:c>
      <x:c r="Z37" s="15" t="str">
        <x:v>https://promtechgroup.com.ua/</x:v>
      </x:c>
      <x:c r="AA37" s="14" t="str"/>
      <x:c r="AB37" s="14" t="str">
        <x:v>2026-08-24</x:v>
      </x:c>
      <x:c r="AC37" s="14" t="str">
        <x:v>Олександр</x:v>
      </x:c>
      <x:c r="AD37" s="20" t="str"/>
      <x:c r="AE37" s="14" t="str"/>
      <x:c r="AF37" s="14" t="n">
        <x:v>0</x:v>
      </x:c>
      <x:c r="AG37" s="14" t="str">
        <x:v>—</x:v>
      </x:c>
      <x:c r="AH37" s="14" t="n">
        <x:v>0</x:v>
      </x:c>
      <x:c r="AI37" s="14" t="n">
        <x:v>0</x:v>
      </x:c>
      <x:c r="AJ37" s="18" t="n">
        <x:v>0</x:v>
      </x:c>
      <x:c r="AK37" s="14" t="str"/>
      <x:c r="AL37" s="19" t="str"/>
      <x:c r="AM37" s="19" t="str"/>
      <x:c r="AN37" s="15" t="str"/>
      <x:c r="AO37" s="15" t="str">
        <x:v>official_source_reverified</x:v>
      </x:c>
    </x:row>
    <x:row r="38">
      <x:c r="A38" s="14" t="str">
        <x:v>V3-049</x:v>
      </x:c>
      <x:c r="B38" s="14" t="str">
        <x:v>Досліджено 28.07</x:v>
      </x:c>
      <x:c r="C38" s="14" t="str">
        <x:v>ТОВ «АЛЬТЕР ЕЙР»</x:v>
      </x:c>
      <x:c r="D38" s="14" t="str">
        <x:v>HVAC / вентиляція</x:v>
      </x:c>
      <x:c r="E38" s="14" t="str">
        <x:v>Pilot now</x:v>
      </x:c>
      <x:c r="F38" s="17" t="str">
        <x:f>IF(E38="Pilot now",IF(P38&gt;=84,"P1",IF(P38&gt;=72,"P2","P3")),IF(E38="Expansion discovery",IF(Q38&gt;=88,"D1",IF(Q38&gt;=78,"D2","D3")),IF(E38="Later / requirements","L","Legacy")))</x:f>
        <x:v>P1</x:v>
      </x:c>
      <x:c r="G38" s="14" t="str">
        <x:v>alterair.ua</x:v>
      </x:c>
      <x:c r="H38" s="14" t="str">
        <x:v>Пілот зараз — Н.14</x:v>
      </x:c>
      <x:c r="I38" s="16" t="n">
        <x:v>4</x:v>
      </x:c>
      <x:c r="J38" s="16" t="n">
        <x:v>5</x:v>
      </x:c>
      <x:c r="K38" s="16" t="n">
        <x:v>4</x:v>
      </x:c>
      <x:c r="L38" s="16" t="n">
        <x:v>5</x:v>
      </x:c>
      <x:c r="M38" s="16" t="n">
        <x:v>5</x:v>
      </x:c>
      <x:c r="N38" s="16" t="n">
        <x:v>5</x:v>
      </x:c>
      <x:c r="O38" s="16" t="n">
        <x:v>5</x:v>
      </x:c>
      <x:c r="P38" s="16" t="n">
        <x:f>IF(COUNT(I38:O38)&lt;7,"",I38*8+J38*3+K38*2+L38*2+M38*2+N38*2+O38)</x:f>
        <x:v>90</x:v>
      </x:c>
      <x:c r="Q38" s="16" t="n">
        <x:f>IF(COUNT(J38:O38)&lt;6,"",J38*5+K38*4+M38*4+L38*3+N38*2+O38*2)</x:f>
        <x:v>96</x:v>
      </x:c>
      <x:c r="R38" s="14" t="str">
        <x:v>medium</x:v>
      </x:c>
      <x:c r="S38" s="14" t="str">
        <x:v>historical_research_2026-07-28</x:v>
      </x:c>
      <x:c r="T38" s="14" t="str">
        <x:v>historical_official_research</x:v>
      </x:c>
      <x:c r="U38" s="14" t="str">
        <x:v>Надіслано 28.07 — follow-up</x:v>
      </x:c>
      <x:c r="V38" s="15" t="str">
        <x:v>Follow-up з review-link; далі попросити 1 анонімізований артефакт</x:v>
      </x:c>
      <x:c r="W38" s="15" t="str">
        <x:v>Власник / директор; керівник ПТО</x:v>
      </x:c>
      <x:c r="X38" s="15" t="str">
        <x:v>Кілька досвідчених монтажних бригад; проєктування й монтаж промислової вентиляції, пусконалагодження та офіційна документація після робіт.</x:v>
      </x:c>
      <x:c r="Y38" s="15" t="str">
        <x:v>Повітроводи й інженерні підключення закриваються оздобленням; приймання залежить від комплектності фото, тестів і документів.</x:v>
      </x:c>
      <x:c r="Z38" s="15" t="str">
        <x:v>https://alterair.ua/ventilyatsiya/montazh-promyshlennoy-ventilyatsii/</x:v>
      </x:c>
      <x:c r="AA38" s="14" t="str">
        <x:v>35910459</x:v>
      </x:c>
      <x:c r="AB38" s="14" t="str">
        <x:v>2026-07-28</x:v>
      </x:c>
      <x:c r="AC38" s="14" t="str">
        <x:v>Олександр</x:v>
      </x:c>
      <x:c r="AD38" s="20" t="str"/>
      <x:c r="AE38" s="14" t="str"/>
      <x:c r="AF38" s="14" t="n">
        <x:v>0</x:v>
      </x:c>
      <x:c r="AG38" s="14" t="str">
        <x:v>—</x:v>
      </x:c>
      <x:c r="AH38" s="14" t="n">
        <x:v>0</x:v>
      </x:c>
      <x:c r="AI38" s="14" t="n">
        <x:v>0</x:v>
      </x:c>
      <x:c r="AJ38" s="18" t="n">
        <x:v>0</x:v>
      </x:c>
      <x:c r="AK38" s="14" t="str"/>
      <x:c r="AL38" s="19" t="str"/>
      <x:c r="AM38" s="19" t="str"/>
      <x:c r="AN38" s="15" t="str"/>
      <x:c r="AO38" s="15" t="str">
        <x:v>historical_research_2026-07-28</x:v>
      </x:c>
    </x:row>
    <x:row r="39">
      <x:c r="A39" s="14" t="str">
        <x:v>V3-048</x:v>
      </x:c>
      <x:c r="B39" s="14" t="str">
        <x:v>Досліджено 28.07</x:v>
      </x:c>
      <x:c r="C39" s="14" t="str">
        <x:v>Climtec</x:v>
      </x:c>
      <x:c r="D39" s="14" t="str">
        <x:v>HVAC / вентиляція</x:v>
      </x:c>
      <x:c r="E39" s="14" t="str">
        <x:v>Pilot now</x:v>
      </x:c>
      <x:c r="F39" s="17" t="str">
        <x:f>IF(E39="Pilot now",IF(P39&gt;=84,"P1",IF(P39&gt;=72,"P2","P3")),IF(E39="Expansion discovery",IF(Q39&gt;=88,"D1",IF(Q39&gt;=78,"D2","D3")),IF(E39="Later / requirements","L","Legacy")))</x:f>
        <x:v>P1</x:v>
      </x:c>
      <x:c r="G39" s="14" t="str">
        <x:v>climtec.ua</x:v>
      </x:c>
      <x:c r="H39" s="14" t="str">
        <x:v>Пілот зараз — Н.14</x:v>
      </x:c>
      <x:c r="I39" s="16" t="n">
        <x:v>4</x:v>
      </x:c>
      <x:c r="J39" s="16" t="n">
        <x:v>5</x:v>
      </x:c>
      <x:c r="K39" s="16" t="n">
        <x:v>4</x:v>
      </x:c>
      <x:c r="L39" s="16" t="n">
        <x:v>5</x:v>
      </x:c>
      <x:c r="M39" s="16" t="n">
        <x:v>5</x:v>
      </x:c>
      <x:c r="N39" s="16" t="n">
        <x:v>5</x:v>
      </x:c>
      <x:c r="O39" s="16" t="n">
        <x:v>5</x:v>
      </x:c>
      <x:c r="P39" s="16" t="n">
        <x:f>IF(COUNT(I39:O39)&lt;7,"",I39*8+J39*3+K39*2+L39*2+M39*2+N39*2+O39)</x:f>
        <x:v>90</x:v>
      </x:c>
      <x:c r="Q39" s="16" t="n">
        <x:f>IF(COUNT(J39:O39)&lt;6,"",J39*5+K39*4+M39*4+L39*3+N39*2+O39*2)</x:f>
        <x:v>96</x:v>
      </x:c>
      <x:c r="R39" s="14" t="str">
        <x:v>medium</x:v>
      </x:c>
      <x:c r="S39" s="14" t="str">
        <x:v>historical_research_2026-07-28</x:v>
      </x:c>
      <x:c r="T39" s="14" t="str">
        <x:v>historical_official_research</x:v>
      </x:c>
      <x:c r="U39" s="14" t="str">
        <x:v>Надіслано 28.07 — follow-up</x:v>
      </x:c>
      <x:c r="V39" s="15" t="str">
        <x:v>Follow-up з review-link; далі попросити 1 анонімізований артефакт</x:v>
      </x:c>
      <x:c r="W39" s="15" t="str">
        <x:v>Власник / директор; керівник ПТО</x:v>
      </x:c>
      <x:c r="X39" s="15" t="str">
        <x:v>Проєктування й монтаж вентиляції та опалення по Україні; велике портфоліо шкіл, лікарень, театрів, промислових і торгових об’єктів.</x:v>
      </x:c>
      <x:c r="Y39" s="15" t="str">
        <x:v>Повітроводи, ізоляція, автоматика й протипожежні клапани закриваються стелями; потрібні акти й пусконалагодження.</x:v>
      </x:c>
      <x:c r="Z39" s="15" t="str">
        <x:v>https://climtec.ua/portfolio/</x:v>
      </x:c>
      <x:c r="AA39" s="14" t="str"/>
      <x:c r="AB39" s="14" t="str">
        <x:v>2026-07-28</x:v>
      </x:c>
      <x:c r="AC39" s="14" t="str">
        <x:v>Олександр</x:v>
      </x:c>
      <x:c r="AD39" s="20" t="str"/>
      <x:c r="AE39" s="14" t="str"/>
      <x:c r="AF39" s="14" t="n">
        <x:v>0</x:v>
      </x:c>
      <x:c r="AG39" s="14" t="str">
        <x:v>—</x:v>
      </x:c>
      <x:c r="AH39" s="14" t="n">
        <x:v>0</x:v>
      </x:c>
      <x:c r="AI39" s="14" t="n">
        <x:v>0</x:v>
      </x:c>
      <x:c r="AJ39" s="18" t="n">
        <x:v>0</x:v>
      </x:c>
      <x:c r="AK39" s="14" t="str"/>
      <x:c r="AL39" s="19" t="str"/>
      <x:c r="AM39" s="19" t="str"/>
      <x:c r="AN39" s="15" t="str"/>
      <x:c r="AO39" s="15" t="str">
        <x:v>historical_research_2026-07-28</x:v>
      </x:c>
    </x:row>
    <x:row r="40">
      <x:c r="A40" s="14" t="str">
        <x:v>AUG-049</x:v>
      </x:c>
      <x:c r="B40" s="14" t="str">
        <x:v>Перевірено 51 — 24.08</x:v>
      </x:c>
      <x:c r="C40" s="14" t="str">
        <x:v>KEM TRADE</x:v>
      </x:c>
      <x:c r="D40" s="14" t="str">
        <x:v>Внутрішня сантехніка + HVAC</x:v>
      </x:c>
      <x:c r="E40" s="14" t="str">
        <x:v>Pilot now</x:v>
      </x:c>
      <x:c r="F40" s="17" t="str">
        <x:f>IF(E40="Pilot now",IF(P40&gt;=84,"P1",IF(P40&gt;=72,"P2","P3")),IF(E40="Expansion discovery",IF(Q40&gt;=88,"D1",IF(Q40&gt;=78,"D2","D3")),IF(E40="Later / requirements","L","Legacy")))</x:f>
        <x:v>P1</x:v>
      </x:c>
      <x:c r="G40" s="14" t="str">
        <x:v>kem-trade.com.ua</x:v>
      </x:c>
      <x:c r="H40" s="14" t="str">
        <x:v>Пілот зараз — Н.14</x:v>
      </x:c>
      <x:c r="I40" s="16" t="n">
        <x:v>5</x:v>
      </x:c>
      <x:c r="J40" s="16" t="n">
        <x:v>5</x:v>
      </x:c>
      <x:c r="K40" s="16" t="n">
        <x:v>4</x:v>
      </x:c>
      <x:c r="L40" s="16" t="n">
        <x:v>3</x:v>
      </x:c>
      <x:c r="M40" s="16" t="n">
        <x:v>3</x:v>
      </x:c>
      <x:c r="N40" s="16" t="n">
        <x:v>5</x:v>
      </x:c>
      <x:c r="O40" s="16" t="n">
        <x:v>5</x:v>
      </x:c>
      <x:c r="P40" s="16" t="n">
        <x:f>IF(COUNT(I40:O40)&lt;7,"",I40*8+J40*3+K40*2+L40*2+M40*2+N40*2+O40)</x:f>
        <x:v>90</x:v>
      </x:c>
      <x:c r="Q40" s="16" t="n">
        <x:f>IF(COUNT(J40:O40)&lt;6,"",J40*5+K40*4+M40*4+L40*3+N40*2+O40*2)</x:f>
        <x:v>82</x:v>
      </x:c>
      <x:c r="R40" s="14" t="str">
        <x:v>high</x:v>
      </x:c>
      <x:c r="S40" s="14" t="str">
        <x:v>official_source_reverified</x:v>
      </x:c>
      <x:c r="T40" s="14" t="str">
        <x:v>official_source_reachable</x:v>
      </x:c>
      <x:c r="U40" s="14" t="str">
        <x:v>Новий — не контактували</x:v>
      </x:c>
      <x:c r="V40" s="15" t="str">
        <x:v>Персоналізувати review-flow за доказом; попросити 1 артефакт</x:v>
      </x:c>
      <x:c r="W40" s="15" t="str">
        <x:v>Владелец; руководитель проектов</x:v>
      </x:c>
      <x:c r="X40" s="15" t="str">
        <x:v>Проектирование и монтаж отопления, водоснабжения и канализации для коммерческих и промышленных объектов.</x:v>
      </x:c>
      <x:c r="Y40" s="15" t="str">
        <x:v>Поддержанные санитарно-технические скрытые работы на одном объекте.</x:v>
      </x:c>
      <x:c r="Z40" s="15" t="str">
        <x:v>https://www.kem-trade.com.ua/</x:v>
      </x:c>
      <x:c r="AA40" s="14" t="str"/>
      <x:c r="AB40" s="14" t="str">
        <x:v>2026-08-24</x:v>
      </x:c>
      <x:c r="AC40" s="14" t="str">
        <x:v>Олександр</x:v>
      </x:c>
      <x:c r="AD40" s="20" t="str"/>
      <x:c r="AE40" s="14" t="str"/>
      <x:c r="AF40" s="14" t="n">
        <x:v>0</x:v>
      </x:c>
      <x:c r="AG40" s="14" t="str">
        <x:v>—</x:v>
      </x:c>
      <x:c r="AH40" s="14" t="n">
        <x:v>0</x:v>
      </x:c>
      <x:c r="AI40" s="14" t="n">
        <x:v>0</x:v>
      </x:c>
      <x:c r="AJ40" s="18" t="n">
        <x:v>0</x:v>
      </x:c>
      <x:c r="AK40" s="14" t="str"/>
      <x:c r="AL40" s="19" t="str"/>
      <x:c r="AM40" s="19" t="str"/>
      <x:c r="AN40" s="15" t="str"/>
      <x:c r="AO40" s="15" t="str">
        <x:v>official_source_reverified</x:v>
      </x:c>
    </x:row>
    <x:row r="41">
      <x:c r="A41" s="14" t="str">
        <x:v>AUG-046</x:v>
      </x:c>
      <x:c r="B41" s="14" t="str">
        <x:v>Перевірено 51 — 24.08</x:v>
      </x:c>
      <x:c r="C41" s="14" t="str">
        <x:v>KROP INSTALL</x:v>
      </x:c>
      <x:c r="D41" s="14" t="str">
        <x:v>Внутрішня сантехніка + HVAC</x:v>
      </x:c>
      <x:c r="E41" s="14" t="str">
        <x:v>Pilot now</x:v>
      </x:c>
      <x:c r="F41" s="17" t="str">
        <x:f>IF(E41="Pilot now",IF(P41&gt;=84,"P1",IF(P41&gt;=72,"P2","P3")),IF(E41="Expansion discovery",IF(Q41&gt;=88,"D1",IF(Q41&gt;=78,"D2","D3")),IF(E41="Later / requirements","L","Legacy")))</x:f>
        <x:v>P1</x:v>
      </x:c>
      <x:c r="G41" s="14" t="str">
        <x:v>krop-install.com.ua</x:v>
      </x:c>
      <x:c r="H41" s="14" t="str">
        <x:v>Пілот зараз — Н.14</x:v>
      </x:c>
      <x:c r="I41" s="16" t="n">
        <x:v>5</x:v>
      </x:c>
      <x:c r="J41" s="16" t="n">
        <x:v>5</x:v>
      </x:c>
      <x:c r="K41" s="16" t="n">
        <x:v>4</x:v>
      </x:c>
      <x:c r="L41" s="16" t="n">
        <x:v>3</x:v>
      </x:c>
      <x:c r="M41" s="16" t="n">
        <x:v>3</x:v>
      </x:c>
      <x:c r="N41" s="16" t="n">
        <x:v>5</x:v>
      </x:c>
      <x:c r="O41" s="16" t="n">
        <x:v>5</x:v>
      </x:c>
      <x:c r="P41" s="16" t="n">
        <x:f>IF(COUNT(I41:O41)&lt;7,"",I41*8+J41*3+K41*2+L41*2+M41*2+N41*2+O41)</x:f>
        <x:v>90</x:v>
      </x:c>
      <x:c r="Q41" s="16" t="n">
        <x:f>IF(COUNT(J41:O41)&lt;6,"",J41*5+K41*4+M41*4+L41*3+N41*2+O41*2)</x:f>
        <x:v>82</x:v>
      </x:c>
      <x:c r="R41" s="14" t="str">
        <x:v>high</x:v>
      </x:c>
      <x:c r="S41" s="14" t="str">
        <x:v>official_source_reverified</x:v>
      </x:c>
      <x:c r="T41" s="14" t="str">
        <x:v>official_source_reachable</x:v>
      </x:c>
      <x:c r="U41" s="14" t="str">
        <x:v>Новий — не контактували</x:v>
      </x:c>
      <x:c r="V41" s="15" t="str">
        <x:v>Персоналізувати review-flow за доказом; попросити 1 артефакт</x:v>
      </x:c>
      <x:c r="W41" s="15" t="str">
        <x:v>Владелец; руководитель монтажных работ</x:v>
      </x:c>
      <x:c r="X41" s="15" t="str">
        <x:v>16 лет на частных, коммерческих и крупных промышленных объектах; отопление, водоснабжение и канализация.</x:v>
      </x:c>
      <x:c r="Y41" s="15" t="str">
        <x:v>Поддержанные трубы, уклоны, арматура и приёмка внутренних систем.</x:v>
      </x:c>
      <x:c r="Z41" s="15" t="str">
        <x:v>https://krop-install.com.ua/</x:v>
      </x:c>
      <x:c r="AA41" s="14" t="str"/>
      <x:c r="AB41" s="14" t="str">
        <x:v>2026-08-24</x:v>
      </x:c>
      <x:c r="AC41" s="14" t="str">
        <x:v>Олександр</x:v>
      </x:c>
      <x:c r="AD41" s="20" t="str"/>
      <x:c r="AE41" s="14" t="str"/>
      <x:c r="AF41" s="14" t="n">
        <x:v>0</x:v>
      </x:c>
      <x:c r="AG41" s="14" t="str">
        <x:v>—</x:v>
      </x:c>
      <x:c r="AH41" s="14" t="n">
        <x:v>0</x:v>
      </x:c>
      <x:c r="AI41" s="14" t="n">
        <x:v>0</x:v>
      </x:c>
      <x:c r="AJ41" s="18" t="n">
        <x:v>0</x:v>
      </x:c>
      <x:c r="AK41" s="14" t="str"/>
      <x:c r="AL41" s="19" t="str"/>
      <x:c r="AM41" s="19" t="str"/>
      <x:c r="AN41" s="15" t="str"/>
      <x:c r="AO41" s="15" t="str">
        <x:v>official_source_reverified</x:v>
      </x:c>
    </x:row>
    <x:row r="42">
      <x:c r="A42" s="14" t="str">
        <x:v>AUG-047</x:v>
      </x:c>
      <x:c r="B42" s="14" t="str">
        <x:v>Перевірено 51 — 24.08</x:v>
      </x:c>
      <x:c r="C42" s="14" t="str">
        <x:v>RalcoTechnic</x:v>
      </x:c>
      <x:c r="D42" s="14" t="str">
        <x:v>Промислове холодопостачання</x:v>
      </x:c>
      <x:c r="E42" s="14" t="str">
        <x:v>Pilot now</x:v>
      </x:c>
      <x:c r="F42" s="17" t="str">
        <x:f>IF(E42="Pilot now",IF(P42&gt;=84,"P1",IF(P42&gt;=72,"P2","P3")),IF(E42="Expansion discovery",IF(Q42&gt;=88,"D1",IF(Q42&gt;=78,"D2","D3")),IF(E42="Later / requirements","L","Legacy")))</x:f>
        <x:v>P1</x:v>
      </x:c>
      <x:c r="G42" s="14" t="str">
        <x:v>ralco.com.ua</x:v>
      </x:c>
      <x:c r="H42" s="14" t="str">
        <x:v>Пілот зараз — Н.14</x:v>
      </x:c>
      <x:c r="I42" s="16" t="n">
        <x:v>4</x:v>
      </x:c>
      <x:c r="J42" s="16" t="n">
        <x:v>5</x:v>
      </x:c>
      <x:c r="K42" s="16" t="n">
        <x:v>4</x:v>
      </x:c>
      <x:c r="L42" s="16" t="n">
        <x:v>5</x:v>
      </x:c>
      <x:c r="M42" s="16" t="n">
        <x:v>5</x:v>
      </x:c>
      <x:c r="N42" s="16" t="n">
        <x:v>5</x:v>
      </x:c>
      <x:c r="O42" s="16" t="n">
        <x:v>5</x:v>
      </x:c>
      <x:c r="P42" s="16" t="n">
        <x:f>IF(COUNT(I42:O42)&lt;7,"",I42*8+J42*3+K42*2+L42*2+M42*2+N42*2+O42)</x:f>
        <x:v>90</x:v>
      </x:c>
      <x:c r="Q42" s="16" t="n">
        <x:f>IF(COUNT(J42:O42)&lt;6,"",J42*5+K42*4+M42*4+L42*3+N42*2+O42*2)</x:f>
        <x:v>96</x:v>
      </x:c>
      <x:c r="R42" s="14" t="str">
        <x:v>high</x:v>
      </x:c>
      <x:c r="S42" s="14" t="str">
        <x:v>official_source_reverified</x:v>
      </x:c>
      <x:c r="T42" s="14" t="str">
        <x:v>official_source_reachable</x:v>
      </x:c>
      <x:c r="U42" s="14" t="str">
        <x:v>Новий — не контактували</x:v>
      </x:c>
      <x:c r="V42" s="15" t="str">
        <x:v>Персоналізувати review-flow за доказом; попросити 1 артефакт</x:v>
      </x:c>
      <x:c r="W42" s="15" t="str">
        <x:v>Коммерческий директор; руководитель проектного отдела</x:v>
      </x:c>
      <x:c r="X42" s="15" t="str">
        <x:v>1200+ проектов в портфолио, 400+ комплексных проектов, собственные мобильные сервисные бригады.</x:v>
      </x:c>
      <x:c r="Y42" s="15" t="str">
        <x:v>Большая повторяемость монтажных этапов и сильная сервисная дисциплина; начать с Н.14-subset.</x:v>
      </x:c>
      <x:c r="Z42" s="15" t="str">
        <x:v>https://ralco.com.ua/projects/</x:v>
      </x:c>
      <x:c r="AA42" s="14" t="str"/>
      <x:c r="AB42" s="14" t="str">
        <x:v>2026-08-24</x:v>
      </x:c>
      <x:c r="AC42" s="14" t="str">
        <x:v>Олександр</x:v>
      </x:c>
      <x:c r="AD42" s="20" t="str"/>
      <x:c r="AE42" s="14" t="str"/>
      <x:c r="AF42" s="14" t="n">
        <x:v>0</x:v>
      </x:c>
      <x:c r="AG42" s="14" t="str">
        <x:v>—</x:v>
      </x:c>
      <x:c r="AH42" s="14" t="n">
        <x:v>0</x:v>
      </x:c>
      <x:c r="AI42" s="14" t="n">
        <x:v>0</x:v>
      </x:c>
      <x:c r="AJ42" s="18" t="n">
        <x:v>0</x:v>
      </x:c>
      <x:c r="AK42" s="14" t="str"/>
      <x:c r="AL42" s="19" t="str"/>
      <x:c r="AM42" s="19" t="str"/>
      <x:c r="AN42" s="15" t="str"/>
      <x:c r="AO42" s="15" t="str">
        <x:v>official_source_reverified</x:v>
      </x:c>
    </x:row>
    <x:row r="43">
      <x:c r="A43" s="14" t="str">
        <x:v>AUG-045</x:v>
      </x:c>
      <x:c r="B43" s="14" t="str">
        <x:v>Перевірено 51 — 24.08</x:v>
      </x:c>
      <x:c r="C43" s="14" t="str">
        <x:v>Subzero</x:v>
      </x:c>
      <x:c r="D43" s="14" t="str">
        <x:v>Промислове холодопостачання</x:v>
      </x:c>
      <x:c r="E43" s="14" t="str">
        <x:v>Pilot now</x:v>
      </x:c>
      <x:c r="F43" s="17" t="str">
        <x:f>IF(E43="Pilot now",IF(P43&gt;=84,"P1",IF(P43&gt;=72,"P2","P3")),IF(E43="Expansion discovery",IF(Q43&gt;=88,"D1",IF(Q43&gt;=78,"D2","D3")),IF(E43="Later / requirements","L","Legacy")))</x:f>
        <x:v>P1</x:v>
      </x:c>
      <x:c r="G43" s="14" t="str">
        <x:v>subzero.ua</x:v>
      </x:c>
      <x:c r="H43" s="14" t="str">
        <x:v>Пілот зараз — Н.14</x:v>
      </x:c>
      <x:c r="I43" s="16" t="n">
        <x:v>4</x:v>
      </x:c>
      <x:c r="J43" s="16" t="n">
        <x:v>5</x:v>
      </x:c>
      <x:c r="K43" s="16" t="n">
        <x:v>4</x:v>
      </x:c>
      <x:c r="L43" s="16" t="n">
        <x:v>5</x:v>
      </x:c>
      <x:c r="M43" s="16" t="n">
        <x:v>5</x:v>
      </x:c>
      <x:c r="N43" s="16" t="n">
        <x:v>5</x:v>
      </x:c>
      <x:c r="O43" s="16" t="n">
        <x:v>5</x:v>
      </x:c>
      <x:c r="P43" s="16" t="n">
        <x:f>IF(COUNT(I43:O43)&lt;7,"",I43*8+J43*3+K43*2+L43*2+M43*2+N43*2+O43)</x:f>
        <x:v>90</x:v>
      </x:c>
      <x:c r="Q43" s="16" t="n">
        <x:f>IF(COUNT(J43:O43)&lt;6,"",J43*5+K43*4+M43*4+L43*3+N43*2+O43*2)</x:f>
        <x:v>96</x:v>
      </x:c>
      <x:c r="R43" s="14" t="str">
        <x:v>high</x:v>
      </x:c>
      <x:c r="S43" s="14" t="str">
        <x:v>official_source_reverified</x:v>
      </x:c>
      <x:c r="T43" s="14" t="str">
        <x:v>official_source_reachable</x:v>
      </x:c>
      <x:c r="U43" s="14" t="str">
        <x:v>Новий — не контактували</x:v>
      </x:c>
      <x:c r="V43" s="15" t="str">
        <x:v>Персоналізувати review-flow за доказом; попросити 1 артефакт</x:v>
      </x:c>
      <x:c r="W43" s="15" t="str">
        <x:v>Директор; руководитель проектов / ПТО</x:v>
      </x:c>
      <x:c r="X43" s="15" t="str">
        <x:v>Полный промышленный холод: генеральное проектирование, монтаж, пусконаладка, модернизация и сервис для пищевых/агропредприятий.</x:v>
      </x:c>
      <x:c r="Y43" s="15" t="str">
        <x:v>Трубопроводы и автоматика подходят, но первый проект нужно ограничить Н.14-пунктами.</x:v>
      </x:c>
      <x:c r="Z43" s="15" t="str">
        <x:v>https://subzero.ua/</x:v>
      </x:c>
      <x:c r="AA43" s="14" t="str"/>
      <x:c r="AB43" s="14" t="str">
        <x:v>2026-08-24</x:v>
      </x:c>
      <x:c r="AC43" s="14" t="str">
        <x:v>Олександр</x:v>
      </x:c>
      <x:c r="AD43" s="20" t="str"/>
      <x:c r="AE43" s="14" t="str"/>
      <x:c r="AF43" s="14" t="n">
        <x:v>0</x:v>
      </x:c>
      <x:c r="AG43" s="14" t="str">
        <x:v>—</x:v>
      </x:c>
      <x:c r="AH43" s="14" t="n">
        <x:v>0</x:v>
      </x:c>
      <x:c r="AI43" s="14" t="n">
        <x:v>0</x:v>
      </x:c>
      <x:c r="AJ43" s="18" t="n">
        <x:v>0</x:v>
      </x:c>
      <x:c r="AK43" s="14" t="str"/>
      <x:c r="AL43" s="19" t="str"/>
      <x:c r="AM43" s="19" t="str"/>
      <x:c r="AN43" s="15" t="str"/>
      <x:c r="AO43" s="15" t="str">
        <x:v>official_source_reverified</x:v>
      </x:c>
    </x:row>
    <x:row r="44">
      <x:c r="A44" s="14" t="str">
        <x:v>AUG-043</x:v>
      </x:c>
      <x:c r="B44" s="14" t="str">
        <x:v>Перевірено 51 — 24.08</x:v>
      </x:c>
      <x:c r="C44" s="14" t="str">
        <x:v>АльфаПроект</x:v>
      </x:c>
      <x:c r="D44" s="14" t="str">
        <x:v>Промислове холодопостачання</x:v>
      </x:c>
      <x:c r="E44" s="14" t="str">
        <x:v>Pilot now</x:v>
      </x:c>
      <x:c r="F44" s="17" t="str">
        <x:f>IF(E44="Pilot now",IF(P44&gt;=84,"P1",IF(P44&gt;=72,"P2","P3")),IF(E44="Expansion discovery",IF(Q44&gt;=88,"D1",IF(Q44&gt;=78,"D2","D3")),IF(E44="Later / requirements","L","Legacy")))</x:f>
        <x:v>P1</x:v>
      </x:c>
      <x:c r="G44" s="14" t="str">
        <x:v>alfaproekt.com.ua</x:v>
      </x:c>
      <x:c r="H44" s="14" t="str">
        <x:v>Пілот зараз — Н.14</x:v>
      </x:c>
      <x:c r="I44" s="16" t="n">
        <x:v>4</x:v>
      </x:c>
      <x:c r="J44" s="16" t="n">
        <x:v>5</x:v>
      </x:c>
      <x:c r="K44" s="16" t="n">
        <x:v>4</x:v>
      </x:c>
      <x:c r="L44" s="16" t="n">
        <x:v>5</x:v>
      </x:c>
      <x:c r="M44" s="16" t="n">
        <x:v>4</x:v>
      </x:c>
      <x:c r="N44" s="16" t="n">
        <x:v>5</x:v>
      </x:c>
      <x:c r="O44" s="16" t="n">
        <x:v>5</x:v>
      </x:c>
      <x:c r="P44" s="16" t="n">
        <x:f>IF(COUNT(I44:O44)&lt;7,"",I44*8+J44*3+K44*2+L44*2+M44*2+N44*2+O44)</x:f>
        <x:v>88</x:v>
      </x:c>
      <x:c r="Q44" s="16" t="n">
        <x:f>IF(COUNT(J44:O44)&lt;6,"",J44*5+K44*4+M44*4+L44*3+N44*2+O44*2)</x:f>
        <x:v>92</x:v>
      </x:c>
      <x:c r="R44" s="14" t="str">
        <x:v>high</x:v>
      </x:c>
      <x:c r="S44" s="14" t="str">
        <x:v>official_source_reverified</x:v>
      </x:c>
      <x:c r="T44" s="14" t="str">
        <x:v>official_source_reachable</x:v>
      </x:c>
      <x:c r="U44" s="14" t="str">
        <x:v>Новий — не контактували</x:v>
      </x:c>
      <x:c r="V44" s="15" t="str">
        <x:v>Персоналізувати review-flow за доказом; попросити 1 артефакт</x:v>
      </x:c>
      <x:c r="W44" s="15" t="str">
        <x:v>Директор; руководитель монтажных проектов</x:v>
      </x:c>
      <x:c r="X44" s="15" t="str">
        <x:v>20+ лет, 200+ предприятий, проектирование, монтаж и пусконаладка промышленного холодоснабжения.</x:v>
      </x:c>
      <x:c r="Y44" s="15" t="str">
        <x:v>Трубопроводы, сварные соединения, арматура и автоматика дают поддержанный Н.14-subset.</x:v>
      </x:c>
      <x:c r="Z44" s="15" t="str">
        <x:v>https://www.alfaproekt.com.ua/</x:v>
      </x:c>
      <x:c r="AA44" s="14" t="str"/>
      <x:c r="AB44" s="14" t="str">
        <x:v>2026-08-24</x:v>
      </x:c>
      <x:c r="AC44" s="14" t="str">
        <x:v>Олександр</x:v>
      </x:c>
      <x:c r="AD44" s="20" t="str"/>
      <x:c r="AE44" s="14" t="str"/>
      <x:c r="AF44" s="14" t="n">
        <x:v>0</x:v>
      </x:c>
      <x:c r="AG44" s="14" t="str">
        <x:v>—</x:v>
      </x:c>
      <x:c r="AH44" s="14" t="n">
        <x:v>0</x:v>
      </x:c>
      <x:c r="AI44" s="14" t="n">
        <x:v>0</x:v>
      </x:c>
      <x:c r="AJ44" s="18" t="n">
        <x:v>0</x:v>
      </x:c>
      <x:c r="AK44" s="14" t="str"/>
      <x:c r="AL44" s="19" t="str"/>
      <x:c r="AM44" s="19" t="str"/>
      <x:c r="AN44" s="15" t="str"/>
      <x:c r="AO44" s="15" t="str">
        <x:v>official_source_reverified</x:v>
      </x:c>
    </x:row>
    <x:row r="45">
      <x:c r="A45" s="14" t="str">
        <x:v>AUG-048</x:v>
      </x:c>
      <x:c r="B45" s="14" t="str">
        <x:v>Перевірено 51 — 24.08</x:v>
      </x:c>
      <x:c r="C45" s="14" t="str">
        <x:v>Київтрансбуд</x:v>
      </x:c>
      <x:c r="D45" s="14" t="str">
        <x:v>Промисловий MEP</x:v>
      </x:c>
      <x:c r="E45" s="14" t="str">
        <x:v>Pilot now</x:v>
      </x:c>
      <x:c r="F45" s="17" t="str">
        <x:f>IF(E45="Pilot now",IF(P45&gt;=84,"P1",IF(P45&gt;=72,"P2","P3")),IF(E45="Expansion discovery",IF(Q45&gt;=88,"D1",IF(Q45&gt;=78,"D2","D3")),IF(E45="Later / requirements","L","Legacy")))</x:f>
        <x:v>P1</x:v>
      </x:c>
      <x:c r="G45" s="14" t="str">
        <x:v>ktb.com.ua</x:v>
      </x:c>
      <x:c r="H45" s="14" t="str">
        <x:v>Пілот зараз — Н.14 + Н.15</x:v>
      </x:c>
      <x:c r="I45" s="16" t="n">
        <x:v>5</x:v>
      </x:c>
      <x:c r="J45" s="16" t="n">
        <x:v>5</x:v>
      </x:c>
      <x:c r="K45" s="16" t="n">
        <x:v>4</x:v>
      </x:c>
      <x:c r="L45" s="16" t="n">
        <x:v>4</x:v>
      </x:c>
      <x:c r="M45" s="16" t="n">
        <x:v>4</x:v>
      </x:c>
      <x:c r="N45" s="16" t="n">
        <x:v>2</x:v>
      </x:c>
      <x:c r="O45" s="16" t="n">
        <x:v>5</x:v>
      </x:c>
      <x:c r="P45" s="16" t="n">
        <x:f>IF(COUNT(I45:O45)&lt;7,"",I45*8+J45*3+K45*2+L45*2+M45*2+N45*2+O45)</x:f>
        <x:v>88</x:v>
      </x:c>
      <x:c r="Q45" s="16" t="n">
        <x:f>IF(COUNT(J45:O45)&lt;6,"",J45*5+K45*4+M45*4+L45*3+N45*2+O45*2)</x:f>
        <x:v>83</x:v>
      </x:c>
      <x:c r="R45" s="14" t="str">
        <x:v>high</x:v>
      </x:c>
      <x:c r="S45" s="14" t="str">
        <x:v>official_source_reverified</x:v>
      </x:c>
      <x:c r="T45" s="14" t="str">
        <x:v>official_source_reachable</x:v>
      </x:c>
      <x:c r="U45" s="14" t="str">
        <x:v>Новий — не контактували</x:v>
      </x:c>
      <x:c r="V45" s="15" t="str">
        <x:v>Персоналізувати review-flow за доказом; попросити 1 артефакт</x:v>
      </x:c>
      <x:c r="W45" s="15" t="str">
        <x:v>Директор по строительству; руководитель ПТО</x:v>
      </x:c>
      <x:c r="X45" s="15" t="str">
        <x:v>Сопровождение монтажа электрических, отопительных, вентиляционных, водопроводных и канализационных систем на промышленных объектах.</x:v>
      </x:c>
      <x:c r="Y45" s="15" t="str">
        <x:v>Функционально подходит, но как генподрядчик имеет более сложный цикл покупки; использовать скорее как канал/мандат.</x:v>
      </x:c>
      <x:c r="Z45" s="15" t="str">
        <x:v>https://ktb.com.ua/services/montazh-inzhenernykh-system/</x:v>
      </x:c>
      <x:c r="AA45" s="14" t="str"/>
      <x:c r="AB45" s="14" t="str">
        <x:v>2026-08-24</x:v>
      </x:c>
      <x:c r="AC45" s="14" t="str">
        <x:v>Олександр</x:v>
      </x:c>
      <x:c r="AD45" s="20" t="str"/>
      <x:c r="AE45" s="14" t="str"/>
      <x:c r="AF45" s="14" t="n">
        <x:v>0</x:v>
      </x:c>
      <x:c r="AG45" s="14" t="str">
        <x:v>—</x:v>
      </x:c>
      <x:c r="AH45" s="14" t="n">
        <x:v>0</x:v>
      </x:c>
      <x:c r="AI45" s="14" t="n">
        <x:v>0</x:v>
      </x:c>
      <x:c r="AJ45" s="18" t="n">
        <x:v>0</x:v>
      </x:c>
      <x:c r="AK45" s="14" t="str"/>
      <x:c r="AL45" s="19" t="str"/>
      <x:c r="AM45" s="19" t="str"/>
      <x:c r="AN45" s="15" t="str"/>
      <x:c r="AO45" s="15" t="str">
        <x:v>official_source_reverified</x:v>
      </x:c>
    </x:row>
    <x:row r="46">
      <x:c r="A46" s="14" t="str">
        <x:v>AUG-007</x:v>
      </x:c>
      <x:c r="B46" s="14" t="str">
        <x:v>Перевірено 51 — 24.08</x:v>
      </x:c>
      <x:c r="C46" s="14" t="str">
        <x:v>BergGroup</x:v>
      </x:c>
      <x:c r="D46" s="14" t="str">
        <x:v>Зовнішні мережі + електрика</x:v>
      </x:c>
      <x:c r="E46" s="14" t="str">
        <x:v>Pilot now</x:v>
      </x:c>
      <x:c r="F46" s="17" t="str">
        <x:f>IF(E46="Pilot now",IF(P46&gt;=84,"P1",IF(P46&gt;=72,"P2","P3")),IF(E46="Expansion discovery",IF(Q46&gt;=88,"D1",IF(Q46&gt;=78,"D2","D3")),IF(E46="Later / requirements","L","Legacy")))</x:f>
        <x:v>P1</x:v>
      </x:c>
      <x:c r="G46" s="14" t="str">
        <x:v>berggroup.com.ua</x:v>
      </x:c>
      <x:c r="H46" s="14" t="str">
        <x:v>Пілот зараз — Н.15</x:v>
      </x:c>
      <x:c r="I46" s="16" t="n">
        <x:v>4</x:v>
      </x:c>
      <x:c r="J46" s="16" t="n">
        <x:v>5</x:v>
      </x:c>
      <x:c r="K46" s="16" t="n">
        <x:v>5</x:v>
      </x:c>
      <x:c r="L46" s="16" t="n">
        <x:v>4</x:v>
      </x:c>
      <x:c r="M46" s="16" t="n">
        <x:v>4</x:v>
      </x:c>
      <x:c r="N46" s="16" t="n">
        <x:v>5</x:v>
      </x:c>
      <x:c r="O46" s="16" t="n">
        <x:v>5</x:v>
      </x:c>
      <x:c r="P46" s="16" t="n">
        <x:f>IF(COUNT(I46:O46)&lt;7,"",I46*8+J46*3+K46*2+L46*2+M46*2+N46*2+O46)</x:f>
        <x:v>88</x:v>
      </x:c>
      <x:c r="Q46" s="16" t="n">
        <x:f>IF(COUNT(J46:O46)&lt;6,"",J46*5+K46*4+M46*4+L46*3+N46*2+O46*2)</x:f>
        <x:v>93</x:v>
      </x:c>
      <x:c r="R46" s="14" t="str">
        <x:v>high</x:v>
      </x:c>
      <x:c r="S46" s="14" t="str">
        <x:v>official_source_reverified</x:v>
      </x:c>
      <x:c r="T46" s="14" t="str">
        <x:v>official_source_reachable</x:v>
      </x:c>
      <x:c r="U46" s="14" t="str">
        <x:v>Новий — не контактували</x:v>
      </x:c>
      <x:c r="V46" s="15" t="str">
        <x:v>Персоналізувати review-flow за доказом; попросити 1 артефакт</x:v>
      </x:c>
      <x:c r="W46" s="15" t="str">
        <x:v>Коммерческий директор; руководитель ПТО</x:v>
      </x:c>
      <x:c r="X46" s="15" t="str">
        <x:v>Строит инженерные сети и обслуживает/монтирует подстанции до 330 кВ; работает открытым и бестраншейным способом.</x:v>
      </x:c>
      <x:c r="Y46" s="15" t="str">
        <x:v>Кабельные линии и заземление можно пилотировать сейчас; водопровод и газ — после расширения требований.</x:v>
      </x:c>
      <x:c r="Z46" s="15" t="str">
        <x:v>https://berggroup.com.ua/</x:v>
      </x:c>
      <x:c r="AA46" s="14" t="str"/>
      <x:c r="AB46" s="14" t="str">
        <x:v>2026-08-24</x:v>
      </x:c>
      <x:c r="AC46" s="14" t="str">
        <x:v>Олександр</x:v>
      </x:c>
      <x:c r="AD46" s="20" t="str"/>
      <x:c r="AE46" s="14" t="str"/>
      <x:c r="AF46" s="14" t="n">
        <x:v>0</x:v>
      </x:c>
      <x:c r="AG46" s="14" t="str">
        <x:v>—</x:v>
      </x:c>
      <x:c r="AH46" s="14" t="n">
        <x:v>0</x:v>
      </x:c>
      <x:c r="AI46" s="14" t="n">
        <x:v>0</x:v>
      </x:c>
      <x:c r="AJ46" s="18" t="n">
        <x:v>0</x:v>
      </x:c>
      <x:c r="AK46" s="14" t="str"/>
      <x:c r="AL46" s="19" t="str"/>
      <x:c r="AM46" s="19" t="str"/>
      <x:c r="AN46" s="15" t="str"/>
      <x:c r="AO46" s="15" t="str">
        <x:v>official_source_reverified</x:v>
      </x:c>
    </x:row>
    <x:row r="47">
      <x:c r="A47" s="14" t="str">
        <x:v>AUG-009</x:v>
      </x:c>
      <x:c r="B47" s="14" t="str">
        <x:v>Перевірено 51 — 24.08</x:v>
      </x:c>
      <x:c r="C47" s="14" t="str">
        <x:v>Energotechpro VN</x:v>
      </x:c>
      <x:c r="D47" s="14" t="str">
        <x:v>Електрика + слаботочка</x:v>
      </x:c>
      <x:c r="E47" s="14" t="str">
        <x:v>Pilot now</x:v>
      </x:c>
      <x:c r="F47" s="17" t="str">
        <x:f>IF(E47="Pilot now",IF(P47&gt;=84,"P1",IF(P47&gt;=72,"P2","P3")),IF(E47="Expansion discovery",IF(Q47&gt;=88,"D1",IF(Q47&gt;=78,"D2","D3")),IF(E47="Later / requirements","L","Legacy")))</x:f>
        <x:v>P1</x:v>
      </x:c>
      <x:c r="G47" s="14" t="str">
        <x:v>energotechprovn.com.ua</x:v>
      </x:c>
      <x:c r="H47" s="14" t="str">
        <x:v>Пілот зараз — Н.15</x:v>
      </x:c>
      <x:c r="I47" s="16" t="n">
        <x:v>5</x:v>
      </x:c>
      <x:c r="J47" s="16" t="n">
        <x:v>5</x:v>
      </x:c>
      <x:c r="K47" s="16" t="n">
        <x:v>4</x:v>
      </x:c>
      <x:c r="L47" s="16" t="n">
        <x:v>2</x:v>
      </x:c>
      <x:c r="M47" s="16" t="n">
        <x:v>3</x:v>
      </x:c>
      <x:c r="N47" s="16" t="n">
        <x:v>5</x:v>
      </x:c>
      <x:c r="O47" s="16" t="n">
        <x:v>5</x:v>
      </x:c>
      <x:c r="P47" s="16" t="n">
        <x:f>IF(COUNT(I47:O47)&lt;7,"",I47*8+J47*3+K47*2+L47*2+M47*2+N47*2+O47)</x:f>
        <x:v>88</x:v>
      </x:c>
      <x:c r="Q47" s="16" t="n">
        <x:f>IF(COUNT(J47:O47)&lt;6,"",J47*5+K47*4+M47*4+L47*3+N47*2+O47*2)</x:f>
        <x:v>79</x:v>
      </x:c>
      <x:c r="R47" s="14" t="str">
        <x:v>high</x:v>
      </x:c>
      <x:c r="S47" s="14" t="str">
        <x:v>official_source_reverified</x:v>
      </x:c>
      <x:c r="T47" s="14" t="str">
        <x:v>official_source_reachable</x:v>
      </x:c>
      <x:c r="U47" s="14" t="str">
        <x:v>Новий — не контактували</x:v>
      </x:c>
      <x:c r="V47" s="15" t="str">
        <x:v>Персоналізувати review-flow за доказом; попросити 1 артефакт</x:v>
      </x:c>
      <x:c r="W47" s="15" t="str">
        <x:v>Директор; руководитель монтажных работ</x:v>
      </x:c>
      <x:c r="X47" s="15" t="str">
        <x:v>Электроинженерные решения: проектирование, монтаж, подключение и обслуживание систем питания и безопасности.</x:v>
      </x:c>
      <x:c r="Y47" s="15" t="str">
        <x:v>Скрытая проводка и кабельные линии дают узкий пилот без изменения продуктовой библиотеки.</x:v>
      </x:c>
      <x:c r="Z47" s="15" t="str">
        <x:v>https://energotechprovn.com.ua/</x:v>
      </x:c>
      <x:c r="AA47" s="14" t="str"/>
      <x:c r="AB47" s="14" t="str">
        <x:v>2026-08-24</x:v>
      </x:c>
      <x:c r="AC47" s="14" t="str">
        <x:v>Олександр</x:v>
      </x:c>
      <x:c r="AD47" s="20" t="str"/>
      <x:c r="AE47" s="14" t="str"/>
      <x:c r="AF47" s="14" t="n">
        <x:v>0</x:v>
      </x:c>
      <x:c r="AG47" s="14" t="str">
        <x:v>—</x:v>
      </x:c>
      <x:c r="AH47" s="14" t="n">
        <x:v>0</x:v>
      </x:c>
      <x:c r="AI47" s="14" t="n">
        <x:v>0</x:v>
      </x:c>
      <x:c r="AJ47" s="18" t="n">
        <x:v>0</x:v>
      </x:c>
      <x:c r="AK47" s="14" t="str"/>
      <x:c r="AL47" s="19" t="str"/>
      <x:c r="AM47" s="19" t="str"/>
      <x:c r="AN47" s="15" t="str"/>
      <x:c r="AO47" s="15" t="str">
        <x:v>official_source_reverified</x:v>
      </x:c>
    </x:row>
    <x:row r="48">
      <x:c r="A48" s="14" t="str">
        <x:v>V3-050</x:v>
      </x:c>
      <x:c r="B48" s="14" t="str">
        <x:v>Досліджено 28.07</x:v>
      </x:c>
      <x:c r="C48" s="14" t="str">
        <x:v>TERMAL</x:v>
      </x:c>
      <x:c r="D48" s="14" t="str">
        <x:v>HVAC / вентиляція</x:v>
      </x:c>
      <x:c r="E48" s="14" t="str">
        <x:v>Pilot now</x:v>
      </x:c>
      <x:c r="F48" s="17" t="str">
        <x:f>IF(E48="Pilot now",IF(P48&gt;=84,"P1",IF(P48&gt;=72,"P2","P3")),IF(E48="Expansion discovery",IF(Q48&gt;=88,"D1",IF(Q48&gt;=78,"D2","D3")),IF(E48="Later / requirements","L","Legacy")))</x:f>
        <x:v>P1</x:v>
      </x:c>
      <x:c r="G48" s="14" t="str">
        <x:v>ua.termal.com.ua</x:v>
      </x:c>
      <x:c r="H48" s="14" t="str">
        <x:v>Пілот зараз — Н.14</x:v>
      </x:c>
      <x:c r="I48" s="16" t="n">
        <x:v>4</x:v>
      </x:c>
      <x:c r="J48" s="16" t="n">
        <x:v>5</x:v>
      </x:c>
      <x:c r="K48" s="16" t="n">
        <x:v>4</x:v>
      </x:c>
      <x:c r="L48" s="16" t="n">
        <x:v>4</x:v>
      </x:c>
      <x:c r="M48" s="16" t="n">
        <x:v>5</x:v>
      </x:c>
      <x:c r="N48" s="16" t="n">
        <x:v>5</x:v>
      </x:c>
      <x:c r="O48" s="16" t="n">
        <x:v>5</x:v>
      </x:c>
      <x:c r="P48" s="16" t="n">
        <x:f>IF(COUNT(I48:O48)&lt;7,"",I48*8+J48*3+K48*2+L48*2+M48*2+N48*2+O48)</x:f>
        <x:v>88</x:v>
      </x:c>
      <x:c r="Q48" s="16" t="n">
        <x:f>IF(COUNT(J48:O48)&lt;6,"",J48*5+K48*4+M48*4+L48*3+N48*2+O48*2)</x:f>
        <x:v>93</x:v>
      </x:c>
      <x:c r="R48" s="14" t="str">
        <x:v>medium</x:v>
      </x:c>
      <x:c r="S48" s="14" t="str">
        <x:v>historical_research_2026-07-28</x:v>
      </x:c>
      <x:c r="T48" s="14" t="str">
        <x:v>historical_official_research</x:v>
      </x:c>
      <x:c r="U48" s="14" t="str">
        <x:v>Надіслано 28.07 — follow-up</x:v>
      </x:c>
      <x:c r="V48" s="15" t="str">
        <x:v>Follow-up з review-link; далі попросити 1 анонімізований артефакт</x:v>
      </x:c>
      <x:c r="W48" s="15" t="str">
        <x:v>Власник / директор; керівник ПТО</x:v>
      </x:c>
      <x:c r="X48" s="15" t="str">
        <x:v>Проєктування, постачання, монтаж і налагодження промислових систем вентиляції, опалення та кондиціонування.</x:v>
      </x:c>
      <x:c r="Y48" s="15" t="str">
        <x:v>Приховані повітроводи, трубопроводи й автоматика потребують готовності доказів до закриття стель і шахт.</x:v>
      </x:c>
      <x:c r="Z48" s="15" t="str">
        <x:v>https://ua.termal.com.ua/uslugi/montazh-inzhenernykh-sistem/</x:v>
      </x:c>
      <x:c r="AA48" s="14" t="str"/>
      <x:c r="AB48" s="14" t="str">
        <x:v>2026-07-28</x:v>
      </x:c>
      <x:c r="AC48" s="14" t="str">
        <x:v>Олександр</x:v>
      </x:c>
      <x:c r="AD48" s="20" t="str"/>
      <x:c r="AE48" s="14" t="str"/>
      <x:c r="AF48" s="14" t="n">
        <x:v>0</x:v>
      </x:c>
      <x:c r="AG48" s="14" t="str">
        <x:v>—</x:v>
      </x:c>
      <x:c r="AH48" s="14" t="n">
        <x:v>0</x:v>
      </x:c>
      <x:c r="AI48" s="14" t="n">
        <x:v>0</x:v>
      </x:c>
      <x:c r="AJ48" s="18" t="n">
        <x:v>0</x:v>
      </x:c>
      <x:c r="AK48" s="14" t="str"/>
      <x:c r="AL48" s="19" t="str"/>
      <x:c r="AM48" s="19" t="str"/>
      <x:c r="AN48" s="15" t="str"/>
      <x:c r="AO48" s="15" t="str">
        <x:v>historical_research_2026-07-28</x:v>
      </x:c>
    </x:row>
    <x:row r="49">
      <x:c r="A49" s="14" t="str">
        <x:v>AUG-003</x:v>
      </x:c>
      <x:c r="B49" s="14" t="str">
        <x:v>Перевірено 51 — 24.08</x:v>
      </x:c>
      <x:c r="C49" s="14" t="str">
        <x:v>Армат</x:v>
      </x:c>
      <x:c r="D49" s="14" t="str">
        <x:v>Внутрішній HVAC</x:v>
      </x:c>
      <x:c r="E49" s="14" t="str">
        <x:v>Pilot now</x:v>
      </x:c>
      <x:c r="F49" s="17" t="str">
        <x:f>IF(E49="Pilot now",IF(P49&gt;=84,"P1",IF(P49&gt;=72,"P2","P3")),IF(E49="Expansion discovery",IF(Q49&gt;=88,"D1",IF(Q49&gt;=78,"D2","D3")),IF(E49="Later / requirements","L","Legacy")))</x:f>
        <x:v>P1</x:v>
      </x:c>
      <x:c r="G49" s="14" t="str">
        <x:v>armat.kiev.ua</x:v>
      </x:c>
      <x:c r="H49" s="14" t="str">
        <x:v>Пілот зараз — Н.14</x:v>
      </x:c>
      <x:c r="I49" s="16" t="n">
        <x:v>4</x:v>
      </x:c>
      <x:c r="J49" s="16" t="n">
        <x:v>5</x:v>
      </x:c>
      <x:c r="K49" s="16" t="n">
        <x:v>4</x:v>
      </x:c>
      <x:c r="L49" s="16" t="n">
        <x:v>4</x:v>
      </x:c>
      <x:c r="M49" s="16" t="n">
        <x:v>4</x:v>
      </x:c>
      <x:c r="N49" s="16" t="n">
        <x:v>5</x:v>
      </x:c>
      <x:c r="O49" s="16" t="n">
        <x:v>5</x:v>
      </x:c>
      <x:c r="P49" s="16" t="n">
        <x:f>IF(COUNT(I49:O49)&lt;7,"",I49*8+J49*3+K49*2+L49*2+M49*2+N49*2+O49)</x:f>
        <x:v>86</x:v>
      </x:c>
      <x:c r="Q49" s="16" t="n">
        <x:f>IF(COUNT(J49:O49)&lt;6,"",J49*5+K49*4+M49*4+L49*3+N49*2+O49*2)</x:f>
        <x:v>89</x:v>
      </x:c>
      <x:c r="R49" s="14" t="str">
        <x:v>high</x:v>
      </x:c>
      <x:c r="S49" s="14" t="str">
        <x:v>official_source_reverified</x:v>
      </x:c>
      <x:c r="T49" s="14" t="str">
        <x:v>official_source_reachable</x:v>
      </x:c>
      <x:c r="U49" s="14" t="str">
        <x:v>Новий — не контактували</x:v>
      </x:c>
      <x:c r="V49" s="15" t="str">
        <x:v>Персоналізувати review-flow за доказом; попросити 1 артефакт</x:v>
      </x:c>
      <x:c r="W49" s="15" t="str">
        <x:v>Директор; руководитель монтажного отдела</x:v>
      </x:c>
      <x:c r="X49" s="15" t="str">
        <x:v>Инженерный подрядчик полного цикла, собственное производство и 150+ коммерческих проектов.</x:v>
      </x:c>
      <x:c r="Y49" s="15" t="str">
        <x:v>Поэтапный монтаж вентиляции, отопления и кондиционирования создаёт скрытые контрольные точки и исполнительные документы.</x:v>
      </x:c>
      <x:c r="Z49" s="15" t="str">
        <x:v>https://www.armat.kiev.ua/</x:v>
      </x:c>
      <x:c r="AA49" s="14" t="str"/>
      <x:c r="AB49" s="14" t="str">
        <x:v>2026-08-24</x:v>
      </x:c>
      <x:c r="AC49" s="14" t="str">
        <x:v>Олександр</x:v>
      </x:c>
      <x:c r="AD49" s="20" t="str"/>
      <x:c r="AE49" s="14" t="str"/>
      <x:c r="AF49" s="14" t="n">
        <x:v>0</x:v>
      </x:c>
      <x:c r="AG49" s="14" t="str">
        <x:v>—</x:v>
      </x:c>
      <x:c r="AH49" s="14" t="n">
        <x:v>0</x:v>
      </x:c>
      <x:c r="AI49" s="14" t="n">
        <x:v>0</x:v>
      </x:c>
      <x:c r="AJ49" s="18" t="n">
        <x:v>0</x:v>
      </x:c>
      <x:c r="AK49" s="14" t="str"/>
      <x:c r="AL49" s="19" t="str"/>
      <x:c r="AM49" s="19" t="str"/>
      <x:c r="AN49" s="15" t="str"/>
      <x:c r="AO49" s="15" t="str">
        <x:v>official_source_reverified</x:v>
      </x:c>
    </x:row>
    <x:row r="50">
      <x:c r="A50" s="14" t="str">
        <x:v>AUG-002</x:v>
      </x:c>
      <x:c r="B50" s="14" t="str">
        <x:v>Перевірено 51 — 24.08</x:v>
      </x:c>
      <x:c r="C50" s="14" t="str">
        <x:v>Группа компаний VENT</x:v>
      </x:c>
      <x:c r="D50" s="14" t="str">
        <x:v>Внутрішній HVAC</x:v>
      </x:c>
      <x:c r="E50" s="14" t="str">
        <x:v>Pilot now</x:v>
      </x:c>
      <x:c r="F50" s="17" t="str">
        <x:f>IF(E50="Pilot now",IF(P50&gt;=84,"P1",IF(P50&gt;=72,"P2","P3")),IF(E50="Expansion discovery",IF(Q50&gt;=88,"D1",IF(Q50&gt;=78,"D2","D3")),IF(E50="Later / requirements","L","Legacy")))</x:f>
        <x:v>P1</x:v>
      </x:c>
      <x:c r="G50" s="14" t="str">
        <x:v>vent.te.ua</x:v>
      </x:c>
      <x:c r="H50" s="14" t="str">
        <x:v>Пілот зараз — Н.14</x:v>
      </x:c>
      <x:c r="I50" s="16" t="n">
        <x:v>4</x:v>
      </x:c>
      <x:c r="J50" s="16" t="n">
        <x:v>5</x:v>
      </x:c>
      <x:c r="K50" s="16" t="n">
        <x:v>4</x:v>
      </x:c>
      <x:c r="L50" s="16" t="n">
        <x:v>4</x:v>
      </x:c>
      <x:c r="M50" s="16" t="n">
        <x:v>4</x:v>
      </x:c>
      <x:c r="N50" s="16" t="n">
        <x:v>5</x:v>
      </x:c>
      <x:c r="O50" s="16" t="n">
        <x:v>5</x:v>
      </x:c>
      <x:c r="P50" s="16" t="n">
        <x:f>IF(COUNT(I50:O50)&lt;7,"",I50*8+J50*3+K50*2+L50*2+M50*2+N50*2+O50)</x:f>
        <x:v>86</x:v>
      </x:c>
      <x:c r="Q50" s="16" t="n">
        <x:f>IF(COUNT(J50:O50)&lt;6,"",J50*5+K50*4+M50*4+L50*3+N50*2+O50*2)</x:f>
        <x:v>89</x:v>
      </x:c>
      <x:c r="R50" s="14" t="str">
        <x:v>high</x:v>
      </x:c>
      <x:c r="S50" s="14" t="str">
        <x:v>official_source_reverified</x:v>
      </x:c>
      <x:c r="T50" s="14" t="str">
        <x:v>official_source_reachable</x:v>
      </x:c>
      <x:c r="U50" s="14" t="str">
        <x:v>Новий — не контактували</x:v>
      </x:c>
      <x:c r="V50" s="15" t="str">
        <x:v>Персоналізувати review-flow за доказом; попросити 1 артефакт</x:v>
      </x:c>
      <x:c r="W50" s="15" t="str">
        <x:v>Владелец; руководитель проектов / ПТО</x:v>
      </x:c>
      <x:c r="X50" s="15" t="str">
        <x:v>Проектирование, производство воздуховодов, монтаж и пусконаладка для промышленных и коммерческих объектов по Украине.</x:v>
      </x:c>
      <x:c r="Y50" s="15" t="str">
        <x:v>Скрытые воздуховоды, проходки и автоматика требуют поэтапной фиксации до закрытия потолков.</x:v>
      </x:c>
      <x:c r="Z50" s="15" t="str">
        <x:v>https://www.vent.te.ua/</x:v>
      </x:c>
      <x:c r="AA50" s="14" t="str"/>
      <x:c r="AB50" s="14" t="str">
        <x:v>2026-08-24</x:v>
      </x:c>
      <x:c r="AC50" s="14" t="str">
        <x:v>Олександр</x:v>
      </x:c>
      <x:c r="AD50" s="20" t="str"/>
      <x:c r="AE50" s="14" t="str"/>
      <x:c r="AF50" s="14" t="n">
        <x:v>0</x:v>
      </x:c>
      <x:c r="AG50" s="14" t="str">
        <x:v>—</x:v>
      </x:c>
      <x:c r="AH50" s="14" t="n">
        <x:v>0</x:v>
      </x:c>
      <x:c r="AI50" s="14" t="n">
        <x:v>0</x:v>
      </x:c>
      <x:c r="AJ50" s="18" t="n">
        <x:v>0</x:v>
      </x:c>
      <x:c r="AK50" s="14" t="str"/>
      <x:c r="AL50" s="19" t="str"/>
      <x:c r="AM50" s="19" t="str"/>
      <x:c r="AN50" s="15" t="str"/>
      <x:c r="AO50" s="15" t="str">
        <x:v>official_source_reverified</x:v>
      </x:c>
    </x:row>
    <x:row r="51">
      <x:c r="A51" s="14" t="str">
        <x:v>AUG-004</x:v>
      </x:c>
      <x:c r="B51" s="14" t="str">
        <x:v>Перевірено 51 — 24.08</x:v>
      </x:c>
      <x:c r="C51" s="14" t="str">
        <x:v>Аероплюс</x:v>
      </x:c>
      <x:c r="D51" s="14" t="str">
        <x:v>Внутрішній HVAC</x:v>
      </x:c>
      <x:c r="E51" s="14" t="str">
        <x:v>Pilot now</x:v>
      </x:c>
      <x:c r="F51" s="17" t="str">
        <x:f>IF(E51="Pilot now",IF(P51&gt;=84,"P1",IF(P51&gt;=72,"P2","P3")),IF(E51="Expansion discovery",IF(Q51&gt;=88,"D1",IF(Q51&gt;=78,"D2","D3")),IF(E51="Later / requirements","L","Legacy")))</x:f>
        <x:v>P2</x:v>
      </x:c>
      <x:c r="G51" s="14" t="str">
        <x:v>aeroplus.com.ua</x:v>
      </x:c>
      <x:c r="H51" s="14" t="str">
        <x:v>Пілот зараз — Н.14</x:v>
      </x:c>
      <x:c r="I51" s="16" t="n">
        <x:v>4</x:v>
      </x:c>
      <x:c r="J51" s="16" t="n">
        <x:v>5</x:v>
      </x:c>
      <x:c r="K51" s="16" t="n">
        <x:v>4</x:v>
      </x:c>
      <x:c r="L51" s="16" t="n">
        <x:v>3</x:v>
      </x:c>
      <x:c r="M51" s="16" t="n">
        <x:v>3</x:v>
      </x:c>
      <x:c r="N51" s="16" t="n">
        <x:v>5</x:v>
      </x:c>
      <x:c r="O51" s="16" t="n">
        <x:v>5</x:v>
      </x:c>
      <x:c r="P51" s="16" t="n">
        <x:f>IF(COUNT(I51:O51)&lt;7,"",I51*8+J51*3+K51*2+L51*2+M51*2+N51*2+O51)</x:f>
        <x:v>82</x:v>
      </x:c>
      <x:c r="Q51" s="16" t="n">
        <x:f>IF(COUNT(J51:O51)&lt;6,"",J51*5+K51*4+M51*4+L51*3+N51*2+O51*2)</x:f>
        <x:v>82</x:v>
      </x:c>
      <x:c r="R51" s="14" t="str">
        <x:v>high</x:v>
      </x:c>
      <x:c r="S51" s="14" t="str">
        <x:v>official_source_reverified</x:v>
      </x:c>
      <x:c r="T51" s="14" t="str">
        <x:v>official_source_reachable</x:v>
      </x:c>
      <x:c r="U51" s="14" t="str">
        <x:v>Новий — не контактували</x:v>
      </x:c>
      <x:c r="V51" s="15" t="str">
        <x:v>Персоналізувати review-flow за доказом; попросити 1 артефакт</x:v>
      </x:c>
      <x:c r="W51" s="15" t="str">
        <x:v>Директор; главный инженер</x:v>
      </x:c>
      <x:c r="X51" s="15" t="str">
        <x:v>Проектирование, монтаж и обслуживание вентиляции, кондиционирования и отопления для офисов и промышленных объектов.</x:v>
      </x:c>
      <x:c r="Y51" s="15" t="str">
        <x:v>Трубопроводы, автоматика и скрытые участки ОВиК должны быть подтверждены до отделки.</x:v>
      </x:c>
      <x:c r="Z51" s="15" t="str">
        <x:v>https://aeroplus.com.ua/</x:v>
      </x:c>
      <x:c r="AA51" s="14" t="str"/>
      <x:c r="AB51" s="14" t="str">
        <x:v>2026-08-24</x:v>
      </x:c>
      <x:c r="AC51" s="14" t="str">
        <x:v>Олександр</x:v>
      </x:c>
      <x:c r="AD51" s="20" t="str"/>
      <x:c r="AE51" s="14" t="str"/>
      <x:c r="AF51" s="14" t="n">
        <x:v>0</x:v>
      </x:c>
      <x:c r="AG51" s="14" t="str">
        <x:v>—</x:v>
      </x:c>
      <x:c r="AH51" s="14" t="n">
        <x:v>0</x:v>
      </x:c>
      <x:c r="AI51" s="14" t="n">
        <x:v>0</x:v>
      </x:c>
      <x:c r="AJ51" s="18" t="n">
        <x:v>0</x:v>
      </x:c>
      <x:c r="AK51" s="14" t="str"/>
      <x:c r="AL51" s="19" t="str"/>
      <x:c r="AM51" s="19" t="str"/>
      <x:c r="AN51" s="15" t="str"/>
      <x:c r="AO51" s="15" t="str">
        <x:v>official_source_reverified</x:v>
      </x:c>
    </x:row>
    <x:row r="52">
      <x:c r="A52" s="14" t="str">
        <x:v>AUG-035</x:v>
      </x:c>
      <x:c r="B52" s="14" t="str">
        <x:v>Перевірено 51 — 24.08</x:v>
      </x:c>
      <x:c r="C52" s="14" t="str">
        <x:v>Antifire</x:v>
      </x:c>
      <x:c r="D52" s="14" t="str">
        <x:v>Пожежні системи</x:v>
      </x:c>
      <x:c r="E52" s="14" t="str">
        <x:v>Expansion discovery</x:v>
      </x:c>
      <x:c r="F52" s="17" t="str">
        <x:f>IF(E52="Pilot now",IF(P52&gt;=84,"P1",IF(P52&gt;=72,"P2","P3")),IF(E52="Expansion discovery",IF(Q52&gt;=88,"D1",IF(Q52&gt;=78,"D2","D3")),IF(E52="Later / requirements","L","Legacy")))</x:f>
        <x:v>D1</x:v>
      </x:c>
      <x:c r="G52" s="14" t="str">
        <x:v>antifire.ua</x:v>
      </x:c>
      <x:c r="H52" s="14" t="str">
        <x:v>Discovery — частково Н.15 + вимоги проєкту</x:v>
      </x:c>
      <x:c r="I52" s="16" t="n">
        <x:v>4</x:v>
      </x:c>
      <x:c r="J52" s="16" t="n">
        <x:v>5</x:v>
      </x:c>
      <x:c r="K52" s="16" t="n">
        <x:v>4</x:v>
      </x:c>
      <x:c r="L52" s="16" t="n">
        <x:v>5</x:v>
      </x:c>
      <x:c r="M52" s="16" t="n">
        <x:v>5</x:v>
      </x:c>
      <x:c r="N52" s="16" t="n">
        <x:v>5</x:v>
      </x:c>
      <x:c r="O52" s="16" t="n">
        <x:v>5</x:v>
      </x:c>
      <x:c r="P52" s="16" t="n">
        <x:f>IF(COUNT(I52:O52)&lt;7,"",I52*8+J52*3+K52*2+L52*2+M52*2+N52*2+O52)</x:f>
        <x:v>90</x:v>
      </x:c>
      <x:c r="Q52" s="16" t="n">
        <x:f>IF(COUNT(J52:O52)&lt;6,"",J52*5+K52*4+M52*4+L52*3+N52*2+O52*2)</x:f>
        <x:v>96</x:v>
      </x:c>
      <x:c r="R52" s="14" t="str">
        <x:v>high</x:v>
      </x:c>
      <x:c r="S52" s="14" t="str">
        <x:v>official_source_reverified</x:v>
      </x:c>
      <x:c r="T52" s="14" t="str">
        <x:v>official_source_reachable</x:v>
      </x:c>
      <x:c r="U52" s="14" t="str">
        <x:v>Новий — не контактували</x:v>
      </x:c>
      <x:c r="V52" s="15" t="str">
        <x:v>Discovery-call: перевірити процес і отримати вимоги конкретного проєкту</x:v>
      </x:c>
      <x:c r="W52" s="15" t="str">
        <x:v>Директор; руководитель ПТО / монтажных работ</x:v>
      </x:c>
      <x:c r="X52" s="15" t="str">
        <x:v>15 лет, 520+ проектов, приёмочные испытания с заказчиком/ДСНС и документальное оформление работ.</x:v>
      </x:c>
      <x:c r="Y52" s="15" t="str">
        <x:v>Сильная дисциплина приёмки; пилот нужно ограничить трубопроводами/арматурой/автоматикой и кабельными участками.</x:v>
      </x:c>
      <x:c r="Z52" s="15" t="str">
        <x:v>https://antifire.ua/montazh-avtomatychnykh-system-pozhezhohasinnya</x:v>
      </x:c>
      <x:c r="AA52" s="14" t="str"/>
      <x:c r="AB52" s="14" t="str">
        <x:v>2026-08-24</x:v>
      </x:c>
      <x:c r="AC52" s="14" t="str">
        <x:v>Олександр</x:v>
      </x:c>
      <x:c r="AD52" s="20" t="str"/>
      <x:c r="AE52" s="14" t="str"/>
      <x:c r="AF52" s="14" t="n">
        <x:v>0</x:v>
      </x:c>
      <x:c r="AG52" s="14" t="str">
        <x:v>—</x:v>
      </x:c>
      <x:c r="AH52" s="14" t="n">
        <x:v>0</x:v>
      </x:c>
      <x:c r="AI52" s="14" t="n">
        <x:v>0</x:v>
      </x:c>
      <x:c r="AJ52" s="18" t="n">
        <x:v>0</x:v>
      </x:c>
      <x:c r="AK52" s="14" t="str"/>
      <x:c r="AL52" s="19" t="str"/>
      <x:c r="AM52" s="19" t="str"/>
      <x:c r="AN52" s="15" t="str"/>
      <x:c r="AO52" s="15" t="str">
        <x:v>official_source_reverified</x:v>
      </x:c>
    </x:row>
    <x:row r="53">
      <x:c r="A53" s="14" t="str">
        <x:v>AUG-014</x:v>
      </x:c>
      <x:c r="B53" s="14" t="str">
        <x:v>Перевірено 51 — 24.08</x:v>
      </x:c>
      <x:c r="C53" s="14" t="str">
        <x:v>Premier Ltd</x:v>
      </x:c>
      <x:c r="D53" s="14" t="str">
        <x:v>Слаботочні системи</x:v>
      </x:c>
      <x:c r="E53" s="14" t="str">
        <x:v>Expansion discovery</x:v>
      </x:c>
      <x:c r="F53" s="17" t="str">
        <x:f>IF(E53="Pilot now",IF(P53&gt;=84,"P1",IF(P53&gt;=72,"P2","P3")),IF(E53="Expansion discovery",IF(Q53&gt;=88,"D1",IF(Q53&gt;=78,"D2","D3")),IF(E53="Later / requirements","L","Legacy")))</x:f>
        <x:v>D1</x:v>
      </x:c>
      <x:c r="G53" s="14" t="str">
        <x:v>premier-ltd.com.ua</x:v>
      </x:c>
      <x:c r="H53" s="14" t="str">
        <x:v>Discovery — частково Н.15 + вимоги проєкту</x:v>
      </x:c>
      <x:c r="I53" s="16" t="n">
        <x:v>4</x:v>
      </x:c>
      <x:c r="J53" s="16" t="n">
        <x:v>5</x:v>
      </x:c>
      <x:c r="K53" s="16" t="n">
        <x:v>4</x:v>
      </x:c>
      <x:c r="L53" s="16" t="n">
        <x:v>5</x:v>
      </x:c>
      <x:c r="M53" s="16" t="n">
        <x:v>5</x:v>
      </x:c>
      <x:c r="N53" s="16" t="n">
        <x:v>5</x:v>
      </x:c>
      <x:c r="O53" s="16" t="n">
        <x:v>5</x:v>
      </x:c>
      <x:c r="P53" s="16" t="n">
        <x:f>IF(COUNT(I53:O53)&lt;7,"",I53*8+J53*3+K53*2+L53*2+M53*2+N53*2+O53)</x:f>
        <x:v>90</x:v>
      </x:c>
      <x:c r="Q53" s="16" t="n">
        <x:f>IF(COUNT(J53:O53)&lt;6,"",J53*5+K53*4+M53*4+L53*3+N53*2+O53*2)</x:f>
        <x:v>96</x:v>
      </x:c>
      <x:c r="R53" s="14" t="str">
        <x:v>high</x:v>
      </x:c>
      <x:c r="S53" s="14" t="str">
        <x:v>official_source_reverified</x:v>
      </x:c>
      <x:c r="T53" s="14" t="str">
        <x:v>official_source_reachable</x:v>
      </x:c>
      <x:c r="U53" s="14" t="str">
        <x:v>Новий — не контактували</x:v>
      </x:c>
      <x:c r="V53" s="15" t="str">
        <x:v>Discovery-call: перевірити процес і отримати вимоги конкретного проєкту</x:v>
      </x:c>
      <x:c r="W53" s="15" t="str">
        <x:v>Директор; руководитель монтажно-наладочных работ</x:v>
      </x:c>
      <x:c r="X53" s="15" t="str">
        <x:v>Около тысячи развёрнутых слабострумных систем на сотнях объектов, проектирование, монтаж, наладка и сертификация.</x:v>
      </x:c>
      <x:c r="Y53" s="15" t="str">
        <x:v>Кабельные коммуникации скрываются на этапе строительства; нужно проверить, достаточно ли Н.15 для их реального процесса.</x:v>
      </x:c>
      <x:c r="Z53" s="15" t="str">
        <x:v>https://premier-ltd.com.ua/ua/montazhno-naladochnye-raboty/</x:v>
      </x:c>
      <x:c r="AA53" s="14" t="str"/>
      <x:c r="AB53" s="14" t="str">
        <x:v>2026-08-24</x:v>
      </x:c>
      <x:c r="AC53" s="14" t="str">
        <x:v>Олександр</x:v>
      </x:c>
      <x:c r="AD53" s="20" t="str"/>
      <x:c r="AE53" s="14" t="str"/>
      <x:c r="AF53" s="14" t="n">
        <x:v>0</x:v>
      </x:c>
      <x:c r="AG53" s="14" t="str">
        <x:v>—</x:v>
      </x:c>
      <x:c r="AH53" s="14" t="n">
        <x:v>0</x:v>
      </x:c>
      <x:c r="AI53" s="14" t="n">
        <x:v>0</x:v>
      </x:c>
      <x:c r="AJ53" s="18" t="n">
        <x:v>0</x:v>
      </x:c>
      <x:c r="AK53" s="14" t="str"/>
      <x:c r="AL53" s="19" t="str"/>
      <x:c r="AM53" s="19" t="str"/>
      <x:c r="AN53" s="15" t="str"/>
      <x:c r="AO53" s="15" t="str">
        <x:v>official_source_reverified</x:v>
      </x:c>
    </x:row>
    <x:row r="54">
      <x:c r="A54" s="14" t="str">
        <x:v>AUG-032</x:v>
      </x:c>
      <x:c r="B54" s="14" t="str">
        <x:v>Перевірено 51 — 24.08</x:v>
      </x:c>
      <x:c r="C54" s="14" t="str">
        <x:v>БІЛДІНГ ІНЖИНІРИНГ ТІМ</x:v>
      </x:c>
      <x:c r="D54" s="14" t="str">
        <x:v>Пожежні системи</x:v>
      </x:c>
      <x:c r="E54" s="14" t="str">
        <x:v>Expansion discovery</x:v>
      </x:c>
      <x:c r="F54" s="17" t="str">
        <x:f>IF(E54="Pilot now",IF(P54&gt;=84,"P1",IF(P54&gt;=72,"P2","P3")),IF(E54="Expansion discovery",IF(Q54&gt;=88,"D1",IF(Q54&gt;=78,"D2","D3")),IF(E54="Later / requirements","L","Legacy")))</x:f>
        <x:v>D1</x:v>
      </x:c>
      <x:c r="G54" s="14" t="str">
        <x:v>baetbuilding.com.ua</x:v>
      </x:c>
      <x:c r="H54" s="14" t="str">
        <x:v>Discovery — частково Н.15 + вимоги проєкту</x:v>
      </x:c>
      <x:c r="I54" s="16" t="n">
        <x:v>4</x:v>
      </x:c>
      <x:c r="J54" s="16" t="n">
        <x:v>5</x:v>
      </x:c>
      <x:c r="K54" s="16" t="n">
        <x:v>4</x:v>
      </x:c>
      <x:c r="L54" s="16" t="n">
        <x:v>4</x:v>
      </x:c>
      <x:c r="M54" s="16" t="n">
        <x:v>5</x:v>
      </x:c>
      <x:c r="N54" s="16" t="n">
        <x:v>5</x:v>
      </x:c>
      <x:c r="O54" s="16" t="n">
        <x:v>5</x:v>
      </x:c>
      <x:c r="P54" s="16" t="n">
        <x:f>IF(COUNT(I54:O54)&lt;7,"",I54*8+J54*3+K54*2+L54*2+M54*2+N54*2+O54)</x:f>
        <x:v>88</x:v>
      </x:c>
      <x:c r="Q54" s="16" t="n">
        <x:f>IF(COUNT(J54:O54)&lt;6,"",J54*5+K54*4+M54*4+L54*3+N54*2+O54*2)</x:f>
        <x:v>93</x:v>
      </x:c>
      <x:c r="R54" s="14" t="str">
        <x:v>high</x:v>
      </x:c>
      <x:c r="S54" s="14" t="str">
        <x:v>official_source_reverified</x:v>
      </x:c>
      <x:c r="T54" s="14" t="str">
        <x:v>official_source_reachable</x:v>
      </x:c>
      <x:c r="U54" s="14" t="str">
        <x:v>Новий — не контактували</x:v>
      </x:c>
      <x:c r="V54" s="15" t="str">
        <x:v>Discovery-call: перевірити процес і отримати вимоги конкретного проєкту</x:v>
      </x:c>
      <x:c r="W54" s="15" t="str">
        <x:v>Директор; главный инженер / ПТО</x:v>
      </x:c>
      <x:c r="X54" s="15" t="str">
        <x:v>Десятки противопожарных объектов: водяное/газовое пожаротушение, сигнализация, дымоудаление, автоматика и молниезащита.</x:v>
      </x:c>
      <x:c r="Y54" s="15" t="str">
        <x:v>Можно начать с труб, арматуры, автоматики и кабелей, не обещая полную пожарную нормативную библиотеку.</x:v>
      </x:c>
      <x:c r="Z54" s="15" t="str">
        <x:v>https://baetbuilding.com.ua/</x:v>
      </x:c>
      <x:c r="AA54" s="14" t="str"/>
      <x:c r="AB54" s="14" t="str">
        <x:v>2026-08-24</x:v>
      </x:c>
      <x:c r="AC54" s="14" t="str">
        <x:v>Олександр</x:v>
      </x:c>
      <x:c r="AD54" s="20" t="str"/>
      <x:c r="AE54" s="14" t="str"/>
      <x:c r="AF54" s="14" t="n">
        <x:v>0</x:v>
      </x:c>
      <x:c r="AG54" s="14" t="str">
        <x:v>—</x:v>
      </x:c>
      <x:c r="AH54" s="14" t="n">
        <x:v>0</x:v>
      </x:c>
      <x:c r="AI54" s="14" t="n">
        <x:v>0</x:v>
      </x:c>
      <x:c r="AJ54" s="18" t="n">
        <x:v>0</x:v>
      </x:c>
      <x:c r="AK54" s="14" t="str"/>
      <x:c r="AL54" s="19" t="str"/>
      <x:c r="AM54" s="19" t="str"/>
      <x:c r="AN54" s="15" t="str"/>
      <x:c r="AO54" s="15" t="str">
        <x:v>official_source_reverified</x:v>
      </x:c>
    </x:row>
    <x:row r="55">
      <x:c r="A55" s="14" t="str">
        <x:v>AUG-040</x:v>
      </x:c>
      <x:c r="B55" s="14" t="str">
        <x:v>Перевірено 51 — 24.08</x:v>
      </x:c>
      <x:c r="C55" s="14" t="str">
        <x:v>СПС-А</x:v>
      </x:c>
      <x:c r="D55" s="14" t="str">
        <x:v>Пожежна безпека + охорона</x:v>
      </x:c>
      <x:c r="E55" s="14" t="str">
        <x:v>Expansion discovery</x:v>
      </x:c>
      <x:c r="F55" s="17" t="str">
        <x:f>IF(E55="Pilot now",IF(P55&gt;=84,"P1",IF(P55&gt;=72,"P2","P3")),IF(E55="Expansion discovery",IF(Q55&gt;=88,"D1",IF(Q55&gt;=78,"D2","D3")),IF(E55="Later / requirements","L","Legacy")))</x:f>
        <x:v>D1</x:v>
      </x:c>
      <x:c r="G55" s="14" t="str">
        <x:v>sps-a.com.ua</x:v>
      </x:c>
      <x:c r="H55" s="14" t="str">
        <x:v>Discovery — частково Н.15 + вимоги проєкту</x:v>
      </x:c>
      <x:c r="I55" s="16" t="n">
        <x:v>4</x:v>
      </x:c>
      <x:c r="J55" s="16" t="n">
        <x:v>5</x:v>
      </x:c>
      <x:c r="K55" s="16" t="n">
        <x:v>4</x:v>
      </x:c>
      <x:c r="L55" s="16" t="n">
        <x:v>4</x:v>
      </x:c>
      <x:c r="M55" s="16" t="n">
        <x:v>5</x:v>
      </x:c>
      <x:c r="N55" s="16" t="n">
        <x:v>5</x:v>
      </x:c>
      <x:c r="O55" s="16" t="n">
        <x:v>5</x:v>
      </x:c>
      <x:c r="P55" s="16" t="n">
        <x:f>IF(COUNT(I55:O55)&lt;7,"",I55*8+J55*3+K55*2+L55*2+M55*2+N55*2+O55)</x:f>
        <x:v>88</x:v>
      </x:c>
      <x:c r="Q55" s="16" t="n">
        <x:f>IF(COUNT(J55:O55)&lt;6,"",J55*5+K55*4+M55*4+L55*3+N55*2+O55*2)</x:f>
        <x:v>93</x:v>
      </x:c>
      <x:c r="R55" s="14" t="str">
        <x:v>high</x:v>
      </x:c>
      <x:c r="S55" s="14" t="str">
        <x:v>official_source_reverified</x:v>
      </x:c>
      <x:c r="T55" s="14" t="str">
        <x:v>official_source_reachable</x:v>
      </x:c>
      <x:c r="U55" s="14" t="str">
        <x:v>Новий — не контактували</x:v>
      </x:c>
      <x:c r="V55" s="15" t="str">
        <x:v>Discovery-call: перевірити процес і отримати вимоги конкретного проєкту</x:v>
      </x:c>
      <x:c r="W55" s="15" t="str">
        <x:v>Директор; руководитель проектов</x:v>
      </x:c>
      <x:c r="X55" s="15" t="str">
        <x:v>Сертифицированная команда, коммерческие и промышленные объекты, полный цикл до ввода в эксплуатацию.</x:v>
      </x:c>
      <x:c r="Y55" s="15" t="str">
        <x:v>Кабельные шлейфы и автоматика подходят для пилота; пожаротушение потребует проектных требований.</x:v>
      </x:c>
      <x:c r="Z55" s="15" t="str">
        <x:v>https://www.sps-a.com.ua/</x:v>
      </x:c>
      <x:c r="AA55" s="14" t="str"/>
      <x:c r="AB55" s="14" t="str">
        <x:v>2026-08-24</x:v>
      </x:c>
      <x:c r="AC55" s="14" t="str">
        <x:v>Олександр</x:v>
      </x:c>
      <x:c r="AD55" s="20" t="str"/>
      <x:c r="AE55" s="14" t="str"/>
      <x:c r="AF55" s="14" t="n">
        <x:v>0</x:v>
      </x:c>
      <x:c r="AG55" s="14" t="str">
        <x:v>—</x:v>
      </x:c>
      <x:c r="AH55" s="14" t="n">
        <x:v>0</x:v>
      </x:c>
      <x:c r="AI55" s="14" t="n">
        <x:v>0</x:v>
      </x:c>
      <x:c r="AJ55" s="18" t="n">
        <x:v>0</x:v>
      </x:c>
      <x:c r="AK55" s="14" t="str"/>
      <x:c r="AL55" s="19" t="str"/>
      <x:c r="AM55" s="19" t="str"/>
      <x:c r="AN55" s="15" t="str"/>
      <x:c r="AO55" s="15" t="str">
        <x:v>official_source_reverified</x:v>
      </x:c>
    </x:row>
    <x:row r="56">
      <x:c r="A56" s="14" t="str">
        <x:v>AUG-020</x:v>
      </x:c>
      <x:c r="B56" s="14" t="str">
        <x:v>Перевірено 51 — 24.08</x:v>
      </x:c>
      <x:c r="C56" s="14" t="str">
        <x:v>Сучасна Проектна Група</x:v>
      </x:c>
      <x:c r="D56" s="14" t="str">
        <x:v>Пожежні системи</x:v>
      </x:c>
      <x:c r="E56" s="14" t="str">
        <x:v>Expansion discovery</x:v>
      </x:c>
      <x:c r="F56" s="17" t="str">
        <x:f>IF(E56="Pilot now",IF(P56&gt;=84,"P1",IF(P56&gt;=72,"P2","P3")),IF(E56="Expansion discovery",IF(Q56&gt;=88,"D1",IF(Q56&gt;=78,"D2","D3")),IF(E56="Later / requirements","L","Legacy")))</x:f>
        <x:v>D1</x:v>
      </x:c>
      <x:c r="G56" s="14" t="str">
        <x:v>s-p-g.com.ua</x:v>
      </x:c>
      <x:c r="H56" s="14" t="str">
        <x:v>Discovery — частково Н.15 + вимоги проєкту</x:v>
      </x:c>
      <x:c r="I56" s="16" t="n">
        <x:v>4</x:v>
      </x:c>
      <x:c r="J56" s="16" t="n">
        <x:v>5</x:v>
      </x:c>
      <x:c r="K56" s="16" t="n">
        <x:v>4</x:v>
      </x:c>
      <x:c r="L56" s="16" t="n">
        <x:v>4</x:v>
      </x:c>
      <x:c r="M56" s="16" t="n">
        <x:v>5</x:v>
      </x:c>
      <x:c r="N56" s="16" t="n">
        <x:v>5</x:v>
      </x:c>
      <x:c r="O56" s="16" t="n">
        <x:v>5</x:v>
      </x:c>
      <x:c r="P56" s="16" t="n">
        <x:f>IF(COUNT(I56:O56)&lt;7,"",I56*8+J56*3+K56*2+L56*2+M56*2+N56*2+O56)</x:f>
        <x:v>88</x:v>
      </x:c>
      <x:c r="Q56" s="16" t="n">
        <x:f>IF(COUNT(J56:O56)&lt;6,"",J56*5+K56*4+M56*4+L56*3+N56*2+O56*2)</x:f>
        <x:v>93</x:v>
      </x:c>
      <x:c r="R56" s="14" t="str">
        <x:v>high</x:v>
      </x:c>
      <x:c r="S56" s="14" t="str">
        <x:v>official_source_reverified</x:v>
      </x:c>
      <x:c r="T56" s="14" t="str">
        <x:v>official_source_reachable</x:v>
      </x:c>
      <x:c r="U56" s="14" t="str">
        <x:v>Новий — не контактували</x:v>
      </x:c>
      <x:c r="V56" s="15" t="str">
        <x:v>Discovery-call: перевірити процес і отримати вимоги конкретного проєкту</x:v>
      </x:c>
      <x:c r="W56" s="15" t="str">
        <x:v>Директор; руководитель проектного отдела</x:v>
      </x:c>
      <x:c r="X56" s="15" t="str">
        <x:v>Десятки противопожарных проектов по Украине, комплексное проектирование, реконструкция и внедрение.</x:v>
      </x:c>
      <x:c r="Y56" s="15" t="str">
        <x:v>Проектная дисциплина и инспекционные требования делают полноту доказательств важной, но потребуется их рабочая документация.</x:v>
      </x:c>
      <x:c r="Z56" s="15" t="str">
        <x:v>https://s-p-g.com.ua/projects</x:v>
      </x:c>
      <x:c r="AA56" s="14" t="str"/>
      <x:c r="AB56" s="14" t="str">
        <x:v>2026-08-24</x:v>
      </x:c>
      <x:c r="AC56" s="14" t="str">
        <x:v>Олександр</x:v>
      </x:c>
      <x:c r="AD56" s="20" t="str"/>
      <x:c r="AE56" s="14" t="str"/>
      <x:c r="AF56" s="14" t="n">
        <x:v>0</x:v>
      </x:c>
      <x:c r="AG56" s="14" t="str">
        <x:v>—</x:v>
      </x:c>
      <x:c r="AH56" s="14" t="n">
        <x:v>0</x:v>
      </x:c>
      <x:c r="AI56" s="14" t="n">
        <x:v>0</x:v>
      </x:c>
      <x:c r="AJ56" s="18" t="n">
        <x:v>0</x:v>
      </x:c>
      <x:c r="AK56" s="14" t="str"/>
      <x:c r="AL56" s="19" t="str"/>
      <x:c r="AM56" s="19" t="str"/>
      <x:c r="AN56" s="15" t="str"/>
      <x:c r="AO56" s="15" t="str">
        <x:v>official_source_reverified</x:v>
      </x:c>
    </x:row>
    <x:row r="57">
      <x:c r="A57" s="14" t="str">
        <x:v>AUG-036</x:v>
      </x:c>
      <x:c r="B57" s="14" t="str">
        <x:v>Перевірено 51 — 24.08</x:v>
      </x:c>
      <x:c r="C57" s="14" t="str">
        <x:v>Терра Фірма Плюс</x:v>
      </x:c>
      <x:c r="D57" s="14" t="str">
        <x:v>Пожежні системи + HVAC + електрика</x:v>
      </x:c>
      <x:c r="E57" s="14" t="str">
        <x:v>Expansion discovery</x:v>
      </x:c>
      <x:c r="F57" s="17" t="str">
        <x:f>IF(E57="Pilot now",IF(P57&gt;=84,"P1",IF(P57&gt;=72,"P2","P3")),IF(E57="Expansion discovery",IF(Q57&gt;=88,"D1",IF(Q57&gt;=78,"D2","D3")),IF(E57="Later / requirements","L","Legacy")))</x:f>
        <x:v>D1</x:v>
      </x:c>
      <x:c r="G57" s="14" t="str">
        <x:v>terra-plus.com.ua</x:v>
      </x:c>
      <x:c r="H57" s="14" t="str">
        <x:v>Discovery — частково Н.15 + вимоги проєкту</x:v>
      </x:c>
      <x:c r="I57" s="16" t="n">
        <x:v>4</x:v>
      </x:c>
      <x:c r="J57" s="16" t="n">
        <x:v>5</x:v>
      </x:c>
      <x:c r="K57" s="16" t="n">
        <x:v>4</x:v>
      </x:c>
      <x:c r="L57" s="16" t="n">
        <x:v>5</x:v>
      </x:c>
      <x:c r="M57" s="16" t="n">
        <x:v>5</x:v>
      </x:c>
      <x:c r="N57" s="16" t="n">
        <x:v>5</x:v>
      </x:c>
      <x:c r="O57" s="16" t="n">
        <x:v>2</x:v>
      </x:c>
      <x:c r="P57" s="16" t="n">
        <x:f>IF(COUNT(I57:O57)&lt;7,"",I57*8+J57*3+K57*2+L57*2+M57*2+N57*2+O57)</x:f>
        <x:v>87</x:v>
      </x:c>
      <x:c r="Q57" s="16" t="n">
        <x:f>IF(COUNT(J57:O57)&lt;6,"",J57*5+K57*4+M57*4+L57*3+N57*2+O57*2)</x:f>
        <x:v>90</x:v>
      </x:c>
      <x:c r="R57" s="14" t="str">
        <x:v>high</x:v>
      </x:c>
      <x:c r="S57" s="14" t="str">
        <x:v>official_content_reverified_via_search_index</x:v>
      </x:c>
      <x:c r="T57" s="14" t="str">
        <x:v>live_site_redirects_to_hosting_panel</x:v>
      </x:c>
      <x:c r="U57" s="14" t="str">
        <x:v>Новий — не контактували</x:v>
      </x:c>
      <x:c r="V57" s="15" t="str">
        <x:v>Discovery-call: перевірити процес і отримати вимоги конкретного проєкту</x:v>
      </x:c>
      <x:c r="W57" s="15" t="str">
        <x:v>Директор; главный инженер / ПТО</x:v>
      </x:c>
      <x:c r="X57" s="15" t="str">
        <x:v>Портфолио крупных объектов: пожаротушение, дымоудаление, вентиляция, заземление и пожарная сигнализация.</x:v>
      </x:c>
      <x:c r="Y57" s="15" t="str">
        <x:v>Большое число скрытых инженерных контуров; начинать с поддержанных Н.14/Н.15 работ.</x:v>
      </x:c>
      <x:c r="Z57" s="15" t="str">
        <x:v>https://terra-plus.com.ua/about</x:v>
      </x:c>
      <x:c r="AA57" s="14" t="str"/>
      <x:c r="AB57" s="14" t="str">
        <x:v>2026-08-24</x:v>
      </x:c>
      <x:c r="AC57" s="14" t="str">
        <x:v>Олександр</x:v>
      </x:c>
      <x:c r="AD57" s="20" t="str"/>
      <x:c r="AE57" s="14" t="str"/>
      <x:c r="AF57" s="14" t="n">
        <x:v>0</x:v>
      </x:c>
      <x:c r="AG57" s="14" t="str">
        <x:v>—</x:v>
      </x:c>
      <x:c r="AH57" s="14" t="n">
        <x:v>0</x:v>
      </x:c>
      <x:c r="AI57" s="14" t="n">
        <x:v>0</x:v>
      </x:c>
      <x:c r="AJ57" s="18" t="n">
        <x:v>0</x:v>
      </x:c>
      <x:c r="AK57" s="14" t="str"/>
      <x:c r="AL57" s="19" t="str"/>
      <x:c r="AM57" s="19" t="str"/>
      <x:c r="AN57" s="15" t="str"/>
      <x:c r="AO57" s="15" t="str">
        <x:v>official_content_reverified_via_search_index</x:v>
      </x:c>
    </x:row>
    <x:row r="58">
      <x:c r="A58" s="14" t="str">
        <x:v>AUG-017</x:v>
      </x:c>
      <x:c r="B58" s="14" t="str">
        <x:v>Перевірено 51 — 24.08</x:v>
      </x:c>
      <x:c r="C58" s="14" t="str">
        <x:v>ПП ЛЄДА</x:v>
      </x:c>
      <x:c r="D58" s="14" t="str">
        <x:v>Пожежні системи + HVAC</x:v>
      </x:c>
      <x:c r="E58" s="14" t="str">
        <x:v>Expansion discovery</x:v>
      </x:c>
      <x:c r="F58" s="17" t="str">
        <x:f>IF(E58="Pilot now",IF(P58&gt;=84,"P1",IF(P58&gt;=72,"P2","P3")),IF(E58="Expansion discovery",IF(Q58&gt;=88,"D1",IF(Q58&gt;=78,"D2","D3")),IF(E58="Later / requirements","L","Legacy")))</x:f>
        <x:v>D1</x:v>
      </x:c>
      <x:c r="G58" s="14" t="str">
        <x:v>leda.in.ua</x:v>
      </x:c>
      <x:c r="H58" s="14" t="str">
        <x:v>Discovery — частково Н.15 + вимоги проєкту</x:v>
      </x:c>
      <x:c r="I58" s="16" t="n">
        <x:v>4</x:v>
      </x:c>
      <x:c r="J58" s="16" t="n">
        <x:v>5</x:v>
      </x:c>
      <x:c r="K58" s="16" t="n">
        <x:v>4</x:v>
      </x:c>
      <x:c r="L58" s="16" t="n">
        <x:v>3</x:v>
      </x:c>
      <x:c r="M58" s="16" t="n">
        <x:v>5</x:v>
      </x:c>
      <x:c r="N58" s="16" t="n">
        <x:v>5</x:v>
      </x:c>
      <x:c r="O58" s="16" t="n">
        <x:v>5</x:v>
      </x:c>
      <x:c r="P58" s="16" t="n">
        <x:f>IF(COUNT(I58:O58)&lt;7,"",I58*8+J58*3+K58*2+L58*2+M58*2+N58*2+O58)</x:f>
        <x:v>86</x:v>
      </x:c>
      <x:c r="Q58" s="16" t="n">
        <x:f>IF(COUNT(J58:O58)&lt;6,"",J58*5+K58*4+M58*4+L58*3+N58*2+O58*2)</x:f>
        <x:v>90</x:v>
      </x:c>
      <x:c r="R58" s="14" t="str">
        <x:v>high</x:v>
      </x:c>
      <x:c r="S58" s="14" t="str">
        <x:v>official_source_reverified</x:v>
      </x:c>
      <x:c r="T58" s="14" t="str">
        <x:v>official_source_reachable</x:v>
      </x:c>
      <x:c r="U58" s="14" t="str">
        <x:v>Новий — не контактували</x:v>
      </x:c>
      <x:c r="V58" s="15" t="str">
        <x:v>Discovery-call: перевірити процес і отримати вимоги конкретного проєкту</x:v>
      </x:c>
      <x:c r="W58" s="15" t="str">
        <x:v>Директор; главный инженер</x:v>
      </x:c>
      <x:c r="X58" s="15" t="str">
        <x:v>Сертифицированные инженеры и монтажники, полный цикл пожарных систем и вентиляции до ввода в эксплуатацию.</x:v>
      </x:c>
      <x:c r="Y58" s="15" t="str">
        <x:v>Связка вентиляции, автоматики и кабелей даёт несколько контрольных точек, но нужен пилотный subset.</x:v>
      </x:c>
      <x:c r="Z58" s="15" t="str">
        <x:v>https://leda.in.ua/</x:v>
      </x:c>
      <x:c r="AA58" s="14" t="str"/>
      <x:c r="AB58" s="14" t="str">
        <x:v>2026-08-24</x:v>
      </x:c>
      <x:c r="AC58" s="14" t="str">
        <x:v>Олександр</x:v>
      </x:c>
      <x:c r="AD58" s="20" t="str"/>
      <x:c r="AE58" s="14" t="str"/>
      <x:c r="AF58" s="14" t="n">
        <x:v>0</x:v>
      </x:c>
      <x:c r="AG58" s="14" t="str">
        <x:v>—</x:v>
      </x:c>
      <x:c r="AH58" s="14" t="n">
        <x:v>0</x:v>
      </x:c>
      <x:c r="AI58" s="14" t="n">
        <x:v>0</x:v>
      </x:c>
      <x:c r="AJ58" s="18" t="n">
        <x:v>0</x:v>
      </x:c>
      <x:c r="AK58" s="14" t="str"/>
      <x:c r="AL58" s="19" t="str"/>
      <x:c r="AM58" s="19" t="str"/>
      <x:c r="AN58" s="15" t="str"/>
      <x:c r="AO58" s="15" t="str">
        <x:v>official_source_reverified</x:v>
      </x:c>
    </x:row>
    <x:row r="59">
      <x:c r="A59" s="14" t="str">
        <x:v>AUG-019</x:v>
      </x:c>
      <x:c r="B59" s="14" t="str">
        <x:v>Перевірено 51 — 24.08</x:v>
      </x:c>
      <x:c r="C59" s="14" t="str">
        <x:v>SM-STANDARD</x:v>
      </x:c>
      <x:c r="D59" s="14" t="str">
        <x:v>Безпека + пожежні + слаботочка</x:v>
      </x:c>
      <x:c r="E59" s="14" t="str">
        <x:v>Expansion discovery</x:v>
      </x:c>
      <x:c r="F59" s="17" t="str">
        <x:f>IF(E59="Pilot now",IF(P59&gt;=84,"P1",IF(P59&gt;=72,"P2","P3")),IF(E59="Expansion discovery",IF(Q59&gt;=88,"D1",IF(Q59&gt;=78,"D2","D3")),IF(E59="Later / requirements","L","Legacy")))</x:f>
        <x:v>D1</x:v>
      </x:c>
      <x:c r="G59" s="14" t="str">
        <x:v>smstandard.com.ua</x:v>
      </x:c>
      <x:c r="H59" s="14" t="str">
        <x:v>Discovery — частково Н.15 + вимоги проєкту</x:v>
      </x:c>
      <x:c r="I59" s="16" t="n">
        <x:v>4</x:v>
      </x:c>
      <x:c r="J59" s="16" t="n">
        <x:v>5</x:v>
      </x:c>
      <x:c r="K59" s="16" t="n">
        <x:v>4</x:v>
      </x:c>
      <x:c r="L59" s="16" t="n">
        <x:v>4</x:v>
      </x:c>
      <x:c r="M59" s="16" t="n">
        <x:v>4</x:v>
      </x:c>
      <x:c r="N59" s="16" t="n">
        <x:v>5</x:v>
      </x:c>
      <x:c r="O59" s="16" t="n">
        <x:v>5</x:v>
      </x:c>
      <x:c r="P59" s="16" t="n">
        <x:f>IF(COUNT(I59:O59)&lt;7,"",I59*8+J59*3+K59*2+L59*2+M59*2+N59*2+O59)</x:f>
        <x:v>86</x:v>
      </x:c>
      <x:c r="Q59" s="16" t="n">
        <x:f>IF(COUNT(J59:O59)&lt;6,"",J59*5+K59*4+M59*4+L59*3+N59*2+O59*2)</x:f>
        <x:v>89</x:v>
      </x:c>
      <x:c r="R59" s="14" t="str">
        <x:v>high</x:v>
      </x:c>
      <x:c r="S59" s="14" t="str">
        <x:v>official_source_reverified</x:v>
      </x:c>
      <x:c r="T59" s="14" t="str">
        <x:v>official_source_reachable</x:v>
      </x:c>
      <x:c r="U59" s="14" t="str">
        <x:v>Новий — не контактували</x:v>
      </x:c>
      <x:c r="V59" s="15" t="str">
        <x:v>Discovery-call: перевірити процес і отримати вимоги конкретного проєкту</x:v>
      </x:c>
      <x:c r="W59" s="15" t="str">
        <x:v>Директор; руководитель проектов</x:v>
      </x:c>
      <x:c r="X59" s="15" t="str">
        <x:v>Комплексные системы безопасности и портфолио проектов для крупных государственных и коммерческих объектов.</x:v>
      </x:c>
      <x:c r="Y59" s="15" t="str">
        <x:v>Много кабельных линий и конечных точек создают риск неполной фиксации до отделки.</x:v>
      </x:c>
      <x:c r="Z59" s="15" t="str">
        <x:v>https://www.smstandard.com.ua/</x:v>
      </x:c>
      <x:c r="AA59" s="14" t="str"/>
      <x:c r="AB59" s="14" t="str">
        <x:v>2026-08-24</x:v>
      </x:c>
      <x:c r="AC59" s="14" t="str">
        <x:v>Олександр</x:v>
      </x:c>
      <x:c r="AD59" s="20" t="str"/>
      <x:c r="AE59" s="14" t="str"/>
      <x:c r="AF59" s="14" t="n">
        <x:v>0</x:v>
      </x:c>
      <x:c r="AG59" s="14" t="str">
        <x:v>—</x:v>
      </x:c>
      <x:c r="AH59" s="14" t="n">
        <x:v>0</x:v>
      </x:c>
      <x:c r="AI59" s="14" t="n">
        <x:v>0</x:v>
      </x:c>
      <x:c r="AJ59" s="18" t="n">
        <x:v>0</x:v>
      </x:c>
      <x:c r="AK59" s="14" t="str"/>
      <x:c r="AL59" s="19" t="str"/>
      <x:c r="AM59" s="19" t="str"/>
      <x:c r="AN59" s="15" t="str"/>
      <x:c r="AO59" s="15" t="str">
        <x:v>official_source_reverified</x:v>
      </x:c>
    </x:row>
    <x:row r="60">
      <x:c r="A60" s="14" t="str">
        <x:v>EXP-062</x:v>
      </x:c>
      <x:c r="B60" s="14" t="str">
        <x:v>Розширення ніш — 24.08</x:v>
      </x:c>
      <x:c r="C60" s="14" t="str">
        <x:v>ATM Pool</x:v>
      </x:c>
      <x:c r="D60" s="14" t="str">
        <x:v>Басейни, водні комплекси та SPA</x:v>
      </x:c>
      <x:c r="E60" s="14" t="str">
        <x:v>Expansion discovery</x:v>
      </x:c>
      <x:c r="F60" s="17" t="str">
        <x:f>IF(E60="Pilot now",IF(P60&gt;=84,"P1",IF(P60&gt;=72,"P2","P3")),IF(E60="Expansion discovery",IF(Q60&gt;=88,"D1",IF(Q60&gt;=78,"D2","D3")),IF(E60="Later / requirements","L","Legacy")))</x:f>
        <x:v>D1</x:v>
      </x:c>
      <x:c r="G60" s="14" t="str">
        <x:v>atmpool.com</x:v>
      </x:c>
      <x:c r="H60" s="14" t="str">
        <x:v>Discovery — частково Н.14/Н.15 + вимоги проєкту</x:v>
      </x:c>
      <x:c r="I60" s="16" t="n">
        <x:v>3</x:v>
      </x:c>
      <x:c r="J60" s="16" t="n">
        <x:v>5</x:v>
      </x:c>
      <x:c r="K60" s="16" t="n">
        <x:v>5</x:v>
      </x:c>
      <x:c r="L60" s="16" t="n">
        <x:v>5</x:v>
      </x:c>
      <x:c r="M60" s="16" t="n">
        <x:v>5</x:v>
      </x:c>
      <x:c r="N60" s="16" t="n">
        <x:v>5</x:v>
      </x:c>
      <x:c r="O60" s="16" t="n">
        <x:v>5</x:v>
      </x:c>
      <x:c r="P60" s="16" t="n">
        <x:f>IF(COUNT(I60:O60)&lt;7,"",I60*8+J60*3+K60*2+L60*2+M60*2+N60*2+O60)</x:f>
        <x:v>84</x:v>
      </x:c>
      <x:c r="Q60" s="16" t="n">
        <x:f>IF(COUNT(J60:O60)&lt;6,"",J60*5+K60*4+M60*4+L60*3+N60*2+O60*2)</x:f>
        <x:v>100</x:v>
      </x:c>
      <x:c r="R60" s="14" t="str">
        <x:v>high</x:v>
      </x:c>
      <x:c r="S60" s="14" t="str">
        <x:v>official_source_reverified</x:v>
      </x:c>
      <x:c r="T60" s="14" t="str">
        <x:v>official_source_reachable</x:v>
      </x:c>
      <x:c r="U60" s="14" t="str">
        <x:v>Новий — не контактували</x:v>
      </x:c>
      <x:c r="V60" s="15" t="str">
        <x:v>Discovery-call: отримати 1 реальний артефакт і вимоги проєкту; не обіцяти готове покриття</x:v>
      </x:c>
      <x:c r="W60" s="15" t="str">
        <x:v>Власник / директор; керівник будівництва; головний інженер</x:v>
      </x:c>
      <x:c r="X60" s="15" t="str">
        <x:v>30+ років у громадських і спортивних басейнах; проєктування, монтаж, реконструкція й сервіс.</x:v>
      </x:c>
      <x:c r="Y60" s="15" t="str">
        <x:v>Закладні, трубопроводи, гідроізоляція, електрика й автоматика закриваються чашею та оздобленням.</x:v>
      </x:c>
      <x:c r="Z60" s="15" t="str">
        <x:v>https://atmpool.com/</x:v>
      </x:c>
      <x:c r="AA60" s="14" t="str"/>
      <x:c r="AB60" s="14" t="str">
        <x:v>2026-08-24</x:v>
      </x:c>
      <x:c r="AC60" s="14" t="str">
        <x:v>Олександр</x:v>
      </x:c>
      <x:c r="AD60" s="20" t="str"/>
      <x:c r="AE60" s="14" t="str"/>
      <x:c r="AF60" s="14" t="n">
        <x:v>0</x:v>
      </x:c>
      <x:c r="AG60" s="14" t="str">
        <x:v>—</x:v>
      </x:c>
      <x:c r="AH60" s="14" t="n">
        <x:v>0</x:v>
      </x:c>
      <x:c r="AI60" s="14" t="n">
        <x:v>0</x:v>
      </x:c>
      <x:c r="AJ60" s="18" t="n">
        <x:v>0</x:v>
      </x:c>
      <x:c r="AK60" s="14" t="str"/>
      <x:c r="AL60" s="19" t="str"/>
      <x:c r="AM60" s="19" t="str"/>
      <x:c r="AN60" s="15" t="str"/>
      <x:c r="AO60" s="15" t="str">
        <x:v>official_source_reverified</x:v>
      </x:c>
    </x:row>
    <x:row r="61">
      <x:c r="A61" s="14" t="str">
        <x:v>EXP-045</x:v>
      </x:c>
      <x:c r="B61" s="14" t="str">
        <x:v>Розширення ніш — 24.08</x:v>
      </x:c>
      <x:c r="C61" s="14" t="str">
        <x:v>C&amp;S</x:v>
      </x:c>
      <x:c r="D61" s="14" t="str">
        <x:v>СКС, BMS та слаботочна інтеграція</x:v>
      </x:c>
      <x:c r="E61" s="14" t="str">
        <x:v>Expansion discovery</x:v>
      </x:c>
      <x:c r="F61" s="17" t="str">
        <x:f>IF(E61="Pilot now",IF(P61&gt;=84,"P1",IF(P61&gt;=72,"P2","P3")),IF(E61="Expansion discovery",IF(Q61&gt;=88,"D1",IF(Q61&gt;=78,"D2","D3")),IF(E61="Later / requirements","L","Legacy")))</x:f>
        <x:v>D1</x:v>
      </x:c>
      <x:c r="G61" s="14" t="str">
        <x:v>cs-ua.com</x:v>
      </x:c>
      <x:c r="H61" s="14" t="str">
        <x:v>Discovery — частково Н.15 + вимоги проєкту</x:v>
      </x:c>
      <x:c r="I61" s="16" t="n">
        <x:v>3</x:v>
      </x:c>
      <x:c r="J61" s="16" t="n">
        <x:v>5</x:v>
      </x:c>
      <x:c r="K61" s="16" t="n">
        <x:v>5</x:v>
      </x:c>
      <x:c r="L61" s="16" t="n">
        <x:v>5</x:v>
      </x:c>
      <x:c r="M61" s="16" t="n">
        <x:v>5</x:v>
      </x:c>
      <x:c r="N61" s="16" t="n">
        <x:v>5</x:v>
      </x:c>
      <x:c r="O61" s="16" t="n">
        <x:v>5</x:v>
      </x:c>
      <x:c r="P61" s="16" t="n">
        <x:f>IF(COUNT(I61:O61)&lt;7,"",I61*8+J61*3+K61*2+L61*2+M61*2+N61*2+O61)</x:f>
        <x:v>84</x:v>
      </x:c>
      <x:c r="Q61" s="16" t="n">
        <x:f>IF(COUNT(J61:O61)&lt;6,"",J61*5+K61*4+M61*4+L61*3+N61*2+O61*2)</x:f>
        <x:v>100</x:v>
      </x:c>
      <x:c r="R61" s="14" t="str">
        <x:v>medium</x:v>
      </x:c>
      <x:c r="S61" s="14" t="str">
        <x:v>reachable_relevant_recheck</x:v>
      </x:c>
      <x:c r="T61" s="14" t="str">
        <x:v>official_source_reachable</x:v>
      </x:c>
      <x:c r="U61" s="14" t="str">
        <x:v>Новий — не контактували</x:v>
      </x:c>
      <x:c r="V61" s="15" t="str">
        <x:v>Discovery-call: отримати 1 реальний артефакт і вимоги проєкту; не обіцяти готове покриття</x:v>
      </x:c>
      <x:c r="W61" s="15" t="str">
        <x:v>Власник / комерційний директор; керівник проєктів; ПТО</x:v>
      </x:c>
      <x:c r="X61" s="15" t="str">
        <x:v>220+ проєктів СКС для промислової, комерційної та житлової нерухомості.</x:v>
      </x:c>
      <x:c r="Y61" s="15" t="str">
        <x:v>Кабельні траси над стелями, маркування, тестування портів і пусконалагодження мають бути доведені до закриття та здачі системи.</x:v>
      </x:c>
      <x:c r="Z61" s="15" t="str">
        <x:v>https://cs-ua.com/</x:v>
      </x:c>
      <x:c r="AA61" s="14" t="str"/>
      <x:c r="AB61" s="14" t="str">
        <x:v>2026-08-24</x:v>
      </x:c>
      <x:c r="AC61" s="14" t="str">
        <x:v>Олександр</x:v>
      </x:c>
      <x:c r="AD61" s="20" t="str"/>
      <x:c r="AE61" s="14" t="str"/>
      <x:c r="AF61" s="14" t="n">
        <x:v>0</x:v>
      </x:c>
      <x:c r="AG61" s="14" t="str">
        <x:v>—</x:v>
      </x:c>
      <x:c r="AH61" s="14" t="n">
        <x:v>0</x:v>
      </x:c>
      <x:c r="AI61" s="14" t="n">
        <x:v>0</x:v>
      </x:c>
      <x:c r="AJ61" s="18" t="n">
        <x:v>0</x:v>
      </x:c>
      <x:c r="AK61" s="14" t="str"/>
      <x:c r="AL61" s="19" t="str"/>
      <x:c r="AM61" s="19" t="str"/>
      <x:c r="AN61" s="15" t="str"/>
      <x:c r="AO61" s="15" t="str">
        <x:v>reachable_relevant_recheck</x:v>
      </x:c>
    </x:row>
    <x:row r="62">
      <x:c r="A62" s="14" t="str">
        <x:v>EXP-049</x:v>
      </x:c>
      <x:c r="B62" s="14" t="str">
        <x:v>Розширення ніш — 24.08</x:v>
      </x:c>
      <x:c r="C62" s="14" t="str">
        <x:v>EA Solutions</x:v>
      </x:c>
      <x:c r="D62" s="14" t="str">
        <x:v>СКС, BMS та слаботочна інтеграція</x:v>
      </x:c>
      <x:c r="E62" s="14" t="str">
        <x:v>Expansion discovery</x:v>
      </x:c>
      <x:c r="F62" s="17" t="str">
        <x:f>IF(E62="Pilot now",IF(P62&gt;=84,"P1",IF(P62&gt;=72,"P2","P3")),IF(E62="Expansion discovery",IF(Q62&gt;=88,"D1",IF(Q62&gt;=78,"D2","D3")),IF(E62="Later / requirements","L","Legacy")))</x:f>
        <x:v>D1</x:v>
      </x:c>
      <x:c r="G62" s="14" t="str">
        <x:v>easolutions.com.ua</x:v>
      </x:c>
      <x:c r="H62" s="14" t="str">
        <x:v>Discovery — частково Н.15 + вимоги проєкту</x:v>
      </x:c>
      <x:c r="I62" s="16" t="n">
        <x:v>3</x:v>
      </x:c>
      <x:c r="J62" s="16" t="n">
        <x:v>5</x:v>
      </x:c>
      <x:c r="K62" s="16" t="n">
        <x:v>5</x:v>
      </x:c>
      <x:c r="L62" s="16" t="n">
        <x:v>5</x:v>
      </x:c>
      <x:c r="M62" s="16" t="n">
        <x:v>5</x:v>
      </x:c>
      <x:c r="N62" s="16" t="n">
        <x:v>5</x:v>
      </x:c>
      <x:c r="O62" s="16" t="n">
        <x:v>5</x:v>
      </x:c>
      <x:c r="P62" s="16" t="n">
        <x:f>IF(COUNT(I62:O62)&lt;7,"",I62*8+J62*3+K62*2+L62*2+M62*2+N62*2+O62)</x:f>
        <x:v>84</x:v>
      </x:c>
      <x:c r="Q62" s="16" t="n">
        <x:f>IF(COUNT(J62:O62)&lt;6,"",J62*5+K62*4+M62*4+L62*3+N62*2+O62*2)</x:f>
        <x:v>100</x:v>
      </x:c>
      <x:c r="R62" s="14" t="str">
        <x:v>high</x:v>
      </x:c>
      <x:c r="S62" s="14" t="str">
        <x:v>official_source_reverified</x:v>
      </x:c>
      <x:c r="T62" s="14" t="str">
        <x:v>official_source_reachable</x:v>
      </x:c>
      <x:c r="U62" s="14" t="str">
        <x:v>Новий — не контактували</x:v>
      </x:c>
      <x:c r="V62" s="15" t="str">
        <x:v>Discovery-call: отримати 1 реальний артефакт і вимоги проєкту; не обіцяти готове покриття</x:v>
      </x:c>
      <x:c r="W62" s="15" t="str">
        <x:v>Власник / комерційний директор; керівник проєктів; ПТО</x:v>
      </x:c>
      <x:c r="X62" s="15" t="str">
        <x:v>Промислова автоматизація, електрозабезпечення, HVAC, телемеханіка й СКС у багатьох галузях.</x:v>
      </x:c>
      <x:c r="Y62" s="15" t="str">
        <x:v>Кабельні траси над стелями, маркування, тестування портів і пусконалагодження мають бути доведені до закриття та здачі системи.</x:v>
      </x:c>
      <x:c r="Z62" s="15" t="str">
        <x:v>https://easolutions.com.ua/projects/</x:v>
      </x:c>
      <x:c r="AA62" s="14" t="str"/>
      <x:c r="AB62" s="14" t="str">
        <x:v>2026-08-24</x:v>
      </x:c>
      <x:c r="AC62" s="14" t="str">
        <x:v>Олександр</x:v>
      </x:c>
      <x:c r="AD62" s="20" t="str"/>
      <x:c r="AE62" s="14" t="str"/>
      <x:c r="AF62" s="14" t="n">
        <x:v>0</x:v>
      </x:c>
      <x:c r="AG62" s="14" t="str">
        <x:v>—</x:v>
      </x:c>
      <x:c r="AH62" s="14" t="n">
        <x:v>0</x:v>
      </x:c>
      <x:c r="AI62" s="14" t="n">
        <x:v>0</x:v>
      </x:c>
      <x:c r="AJ62" s="18" t="n">
        <x:v>0</x:v>
      </x:c>
      <x:c r="AK62" s="14" t="str"/>
      <x:c r="AL62" s="19" t="str"/>
      <x:c r="AM62" s="19" t="str"/>
      <x:c r="AN62" s="15" t="str"/>
      <x:c r="AO62" s="15" t="str">
        <x:v>official_source_reverified</x:v>
      </x:c>
    </x:row>
    <x:row r="63">
      <x:c r="A63" s="14" t="str">
        <x:v>EXP-047</x:v>
      </x:c>
      <x:c r="B63" s="14" t="str">
        <x:v>Розширення ніш — 24.08</x:v>
      </x:c>
      <x:c r="C63" s="14" t="str">
        <x:v>MatiasBud</x:v>
      </x:c>
      <x:c r="D63" s="14" t="str">
        <x:v>СКС, BMS та слаботочна інтеграція</x:v>
      </x:c>
      <x:c r="E63" s="14" t="str">
        <x:v>Expansion discovery</x:v>
      </x:c>
      <x:c r="F63" s="17" t="str">
        <x:f>IF(E63="Pilot now",IF(P63&gt;=84,"P1",IF(P63&gt;=72,"P2","P3")),IF(E63="Expansion discovery",IF(Q63&gt;=88,"D1",IF(Q63&gt;=78,"D2","D3")),IF(E63="Later / requirements","L","Legacy")))</x:f>
        <x:v>D1</x:v>
      </x:c>
      <x:c r="G63" s="14" t="str">
        <x:v>matiasbud.com.ua</x:v>
      </x:c>
      <x:c r="H63" s="14" t="str">
        <x:v>Discovery — частково Н.15 + вимоги проєкту</x:v>
      </x:c>
      <x:c r="I63" s="16" t="n">
        <x:v>3</x:v>
      </x:c>
      <x:c r="J63" s="16" t="n">
        <x:v>5</x:v>
      </x:c>
      <x:c r="K63" s="16" t="n">
        <x:v>5</x:v>
      </x:c>
      <x:c r="L63" s="16" t="n">
        <x:v>5</x:v>
      </x:c>
      <x:c r="M63" s="16" t="n">
        <x:v>5</x:v>
      </x:c>
      <x:c r="N63" s="16" t="n">
        <x:v>5</x:v>
      </x:c>
      <x:c r="O63" s="16" t="n">
        <x:v>5</x:v>
      </x:c>
      <x:c r="P63" s="16" t="n">
        <x:f>IF(COUNT(I63:O63)&lt;7,"",I63*8+J63*3+K63*2+L63*2+M63*2+N63*2+O63)</x:f>
        <x:v>84</x:v>
      </x:c>
      <x:c r="Q63" s="16" t="n">
        <x:f>IF(COUNT(J63:O63)&lt;6,"",J63*5+K63*4+M63*4+L63*3+N63*2+O63*2)</x:f>
        <x:v>100</x:v>
      </x:c>
      <x:c r="R63" s="14" t="str">
        <x:v>high</x:v>
      </x:c>
      <x:c r="S63" s="14" t="str">
        <x:v>official_source_reverified</x:v>
      </x:c>
      <x:c r="T63" s="14" t="str">
        <x:v>official_source_reachable</x:v>
      </x:c>
      <x:c r="U63" s="14" t="str">
        <x:v>Новий — не контактували</x:v>
      </x:c>
      <x:c r="V63" s="15" t="str">
        <x:v>Discovery-call: отримати 1 реальний артефакт і вимоги проєкту; не обіцяти готове покриття</x:v>
      </x:c>
      <x:c r="W63" s="15" t="str">
        <x:v>Власник / комерційний директор; керівник проєктів; ПТО</x:v>
      </x:c>
      <x:c r="X63" s="15" t="str">
        <x:v>Велике портфоліо СКС, відеонагляду й доступу для ЖК, ТРЦ, шкіл і бізнес-центрів.</x:v>
      </x:c>
      <x:c r="Y63" s="15" t="str">
        <x:v>Кабельні траси над стелями, маркування, тестування портів і пусконалагодження мають бути доведені до закриття та здачі системи.</x:v>
      </x:c>
      <x:c r="Z63" s="15" t="str">
        <x:v>https://matiasbud.com.ua/portfolio</x:v>
      </x:c>
      <x:c r="AA63" s="14" t="str"/>
      <x:c r="AB63" s="14" t="str">
        <x:v>2026-08-24</x:v>
      </x:c>
      <x:c r="AC63" s="14" t="str">
        <x:v>Олександр</x:v>
      </x:c>
      <x:c r="AD63" s="20" t="str"/>
      <x:c r="AE63" s="14" t="str"/>
      <x:c r="AF63" s="14" t="n">
        <x:v>0</x:v>
      </x:c>
      <x:c r="AG63" s="14" t="str">
        <x:v>—</x:v>
      </x:c>
      <x:c r="AH63" s="14" t="n">
        <x:v>0</x:v>
      </x:c>
      <x:c r="AI63" s="14" t="n">
        <x:v>0</x:v>
      </x:c>
      <x:c r="AJ63" s="18" t="n">
        <x:v>0</x:v>
      </x:c>
      <x:c r="AK63" s="14" t="str"/>
      <x:c r="AL63" s="19" t="str"/>
      <x:c r="AM63" s="19" t="str"/>
      <x:c r="AN63" s="15" t="str"/>
      <x:c r="AO63" s="15" t="str">
        <x:v>official_source_reverified</x:v>
      </x:c>
    </x:row>
    <x:row r="64">
      <x:c r="A64" s="14" t="str">
        <x:v>EXP-053</x:v>
      </x:c>
      <x:c r="B64" s="14" t="str">
        <x:v>Розширення ніш — 24.08</x:v>
      </x:c>
      <x:c r="C64" s="14" t="str">
        <x:v>POLIKOR</x:v>
      </x:c>
      <x:c r="D64" s="14" t="str">
        <x:v>Чисті приміщення та стерильні зони</x:v>
      </x:c>
      <x:c r="E64" s="14" t="str">
        <x:v>Expansion discovery</x:v>
      </x:c>
      <x:c r="F64" s="17" t="str">
        <x:f>IF(E64="Pilot now",IF(P64&gt;=84,"P1",IF(P64&gt;=72,"P2","P3")),IF(E64="Expansion discovery",IF(Q64&gt;=88,"D1",IF(Q64&gt;=78,"D2","D3")),IF(E64="Later / requirements","L","Legacy")))</x:f>
        <x:v>D1</x:v>
      </x:c>
      <x:c r="G64" s="14" t="str">
        <x:v>polikor.com.ua</x:v>
      </x:c>
      <x:c r="H64" s="14" t="str">
        <x:v>Discovery — частково Н.14/Н.15 + вимоги проєкту</x:v>
      </x:c>
      <x:c r="I64" s="16" t="n">
        <x:v>3</x:v>
      </x:c>
      <x:c r="J64" s="16" t="n">
        <x:v>5</x:v>
      </x:c>
      <x:c r="K64" s="16" t="n">
        <x:v>5</x:v>
      </x:c>
      <x:c r="L64" s="16" t="n">
        <x:v>5</x:v>
      </x:c>
      <x:c r="M64" s="16" t="n">
        <x:v>5</x:v>
      </x:c>
      <x:c r="N64" s="16" t="n">
        <x:v>5</x:v>
      </x:c>
      <x:c r="O64" s="16" t="n">
        <x:v>5</x:v>
      </x:c>
      <x:c r="P64" s="16" t="n">
        <x:f>IF(COUNT(I64:O64)&lt;7,"",I64*8+J64*3+K64*2+L64*2+M64*2+N64*2+O64)</x:f>
        <x:v>84</x:v>
      </x:c>
      <x:c r="Q64" s="16" t="n">
        <x:f>IF(COUNT(J64:O64)&lt;6,"",J64*5+K64*4+M64*4+L64*3+N64*2+O64*2)</x:f>
        <x:v>100</x:v>
      </x:c>
      <x:c r="R64" s="14" t="str">
        <x:v>high</x:v>
      </x:c>
      <x:c r="S64" s="14" t="str">
        <x:v>official_source_reverified</x:v>
      </x:c>
      <x:c r="T64" s="14" t="str">
        <x:v>official_source_reachable</x:v>
      </x:c>
      <x:c r="U64" s="14" t="str">
        <x:v>Новий — не контактували</x:v>
      </x:c>
      <x:c r="V64" s="15" t="str">
        <x:v>Discovery-call: отримати 1 реальний артефакт і вимоги проєкту; не обіцяти готове покриття</x:v>
      </x:c>
      <x:c r="W64" s="15" t="str">
        <x:v>Комерційний директор; керівник проєктів; QA / валідація</x:v>
      </x:c>
      <x:c r="X64" s="15" t="str">
        <x:v>230+ зданих чистих приміщень; виробництво, вентиляція, автоматика й монтаж з 1993 року.</x:v>
      </x:c>
      <x:c r="Y64" s="15" t="str">
        <x:v>Герметичність огороджень, HEPA-вентиляція, автоматика й кваліфікаційні протоколи утворюють дуже насичений пакет приймання.</x:v>
      </x:c>
      <x:c r="Z64" s="15" t="str">
        <x:v>https://polikor.com.ua/</x:v>
      </x:c>
      <x:c r="AA64" s="14" t="str"/>
      <x:c r="AB64" s="14" t="str">
        <x:v>2026-08-24</x:v>
      </x:c>
      <x:c r="AC64" s="14" t="str">
        <x:v>Олександр</x:v>
      </x:c>
      <x:c r="AD64" s="20" t="str"/>
      <x:c r="AE64" s="14" t="str"/>
      <x:c r="AF64" s="14" t="n">
        <x:v>0</x:v>
      </x:c>
      <x:c r="AG64" s="14" t="str">
        <x:v>—</x:v>
      </x:c>
      <x:c r="AH64" s="14" t="n">
        <x:v>0</x:v>
      </x:c>
      <x:c r="AI64" s="14" t="n">
        <x:v>0</x:v>
      </x:c>
      <x:c r="AJ64" s="18" t="n">
        <x:v>0</x:v>
      </x:c>
      <x:c r="AK64" s="14" t="str"/>
      <x:c r="AL64" s="19" t="str"/>
      <x:c r="AM64" s="19" t="str"/>
      <x:c r="AN64" s="15" t="str"/>
      <x:c r="AO64" s="15" t="str">
        <x:v>official_source_reverified</x:v>
      </x:c>
    </x:row>
    <x:row r="65">
      <x:c r="A65" s="14" t="str">
        <x:v>EXP-044</x:v>
      </x:c>
      <x:c r="B65" s="14" t="str">
        <x:v>Розширення ніш — 24.08</x:v>
      </x:c>
      <x:c r="C65" s="14" t="str">
        <x:v>VERNA</x:v>
      </x:c>
      <x:c r="D65" s="14" t="str">
        <x:v>СКС, BMS та слаботочна інтеграція</x:v>
      </x:c>
      <x:c r="E65" s="14" t="str">
        <x:v>Expansion discovery</x:v>
      </x:c>
      <x:c r="F65" s="17" t="str">
        <x:f>IF(E65="Pilot now",IF(P65&gt;=84,"P1",IF(P65&gt;=72,"P2","P3")),IF(E65="Expansion discovery",IF(Q65&gt;=88,"D1",IF(Q65&gt;=78,"D2","D3")),IF(E65="Later / requirements","L","Legacy")))</x:f>
        <x:v>D1</x:v>
      </x:c>
      <x:c r="G65" s="14" t="str">
        <x:v>verna.ua</x:v>
      </x:c>
      <x:c r="H65" s="14" t="str">
        <x:v>Discovery — частково Н.15 + вимоги проєкту</x:v>
      </x:c>
      <x:c r="I65" s="16" t="n">
        <x:v>3</x:v>
      </x:c>
      <x:c r="J65" s="16" t="n">
        <x:v>5</x:v>
      </x:c>
      <x:c r="K65" s="16" t="n">
        <x:v>5</x:v>
      </x:c>
      <x:c r="L65" s="16" t="n">
        <x:v>5</x:v>
      </x:c>
      <x:c r="M65" s="16" t="n">
        <x:v>5</x:v>
      </x:c>
      <x:c r="N65" s="16" t="n">
        <x:v>5</x:v>
      </x:c>
      <x:c r="O65" s="16" t="n">
        <x:v>5</x:v>
      </x:c>
      <x:c r="P65" s="16" t="n">
        <x:f>IF(COUNT(I65:O65)&lt;7,"",I65*8+J65*3+K65*2+L65*2+M65*2+N65*2+O65)</x:f>
        <x:v>84</x:v>
      </x:c>
      <x:c r="Q65" s="16" t="n">
        <x:f>IF(COUNT(J65:O65)&lt;6,"",J65*5+K65*4+M65*4+L65*3+N65*2+O65*2)</x:f>
        <x:v>100</x:v>
      </x:c>
      <x:c r="R65" s="14" t="str">
        <x:v>high</x:v>
      </x:c>
      <x:c r="S65" s="14" t="str">
        <x:v>official_source_reverified</x:v>
      </x:c>
      <x:c r="T65" s="14" t="str">
        <x:v>official_source_reachable</x:v>
      </x:c>
      <x:c r="U65" s="14" t="str">
        <x:v>Новий — не контактували</x:v>
      </x:c>
      <x:c r="V65" s="15" t="str">
        <x:v>Discovery-call: отримати 1 реальний артефакт і вимоги проєкту; не обіцяти готове покриття</x:v>
      </x:c>
      <x:c r="W65" s="15" t="str">
        <x:v>Власник / комерційний директор; керівник проєктів; ПТО</x:v>
      </x:c>
      <x:c r="X65" s="15" t="str">
        <x:v>100 000+ портів і сотні компаній; кейс 30 магазинів та 1000+ портів.</x:v>
      </x:c>
      <x:c r="Y65" s="15" t="str">
        <x:v>Кабельні траси над стелями, маркування, тестування портів і пусконалагодження мають бути доведені до закриття та здачі системи.</x:v>
      </x:c>
      <x:c r="Z65" s="15" t="str">
        <x:v>https://www.verna.ua/projects/implementation-network-eldorado</x:v>
      </x:c>
      <x:c r="AA65" s="14" t="str"/>
      <x:c r="AB65" s="14" t="str">
        <x:v>2026-08-24</x:v>
      </x:c>
      <x:c r="AC65" s="14" t="str">
        <x:v>Олександр</x:v>
      </x:c>
      <x:c r="AD65" s="20" t="str"/>
      <x:c r="AE65" s="14" t="str"/>
      <x:c r="AF65" s="14" t="n">
        <x:v>0</x:v>
      </x:c>
      <x:c r="AG65" s="14" t="str">
        <x:v>—</x:v>
      </x:c>
      <x:c r="AH65" s="14" t="n">
        <x:v>0</x:v>
      </x:c>
      <x:c r="AI65" s="14" t="n">
        <x:v>0</x:v>
      </x:c>
      <x:c r="AJ65" s="18" t="n">
        <x:v>0</x:v>
      </x:c>
      <x:c r="AK65" s="14" t="str"/>
      <x:c r="AL65" s="19" t="str"/>
      <x:c r="AM65" s="19" t="str"/>
      <x:c r="AN65" s="15" t="str"/>
      <x:c r="AO65" s="15" t="str">
        <x:v>official_source_reverified</x:v>
      </x:c>
    </x:row>
    <x:row r="66">
      <x:c r="A66" s="14" t="str">
        <x:v>EXP-052</x:v>
      </x:c>
      <x:c r="B66" s="14" t="str">
        <x:v>Розширення ніш — 24.08</x:v>
      </x:c>
      <x:c r="C66" s="14" t="str">
        <x:v>IT-Integrator</x:v>
      </x:c>
      <x:c r="D66" s="14" t="str">
        <x:v>СКС, BMS та слаботочна інтеграція</x:v>
      </x:c>
      <x:c r="E66" s="14" t="str">
        <x:v>Expansion discovery</x:v>
      </x:c>
      <x:c r="F66" s="17" t="str">
        <x:f>IF(E66="Pilot now",IF(P66&gt;=84,"P1",IF(P66&gt;=72,"P2","P3")),IF(E66="Expansion discovery",IF(Q66&gt;=88,"D1",IF(Q66&gt;=78,"D2","D3")),IF(E66="Later / requirements","L","Legacy")))</x:f>
        <x:v>D1</x:v>
      </x:c>
      <x:c r="G66" s="14" t="str">
        <x:v>it-integrator.ua</x:v>
      </x:c>
      <x:c r="H66" s="14" t="str">
        <x:v>Discovery — частково Н.15 + вимоги проєкту</x:v>
      </x:c>
      <x:c r="I66" s="16" t="n">
        <x:v>3</x:v>
      </x:c>
      <x:c r="J66" s="16" t="n">
        <x:v>5</x:v>
      </x:c>
      <x:c r="K66" s="16" t="n">
        <x:v>5</x:v>
      </x:c>
      <x:c r="L66" s="16" t="n">
        <x:v>5</x:v>
      </x:c>
      <x:c r="M66" s="16" t="n">
        <x:v>5</x:v>
      </x:c>
      <x:c r="N66" s="16" t="n">
        <x:v>5</x:v>
      </x:c>
      <x:c r="O66" s="16" t="n">
        <x:v>4</x:v>
      </x:c>
      <x:c r="P66" s="16" t="n">
        <x:f>IF(COUNT(I66:O66)&lt;7,"",I66*8+J66*3+K66*2+L66*2+M66*2+N66*2+O66)</x:f>
        <x:v>83</x:v>
      </x:c>
      <x:c r="Q66" s="16" t="n">
        <x:f>IF(COUNT(J66:O66)&lt;6,"",J66*5+K66*4+M66*4+L66*3+N66*2+O66*2)</x:f>
        <x:v>98</x:v>
      </x:c>
      <x:c r="R66" s="14" t="str">
        <x:v>high</x:v>
      </x:c>
      <x:c r="S66" s="14" t="str">
        <x:v>official_source_reverified</x:v>
      </x:c>
      <x:c r="T66" s="14" t="str">
        <x:v>official_source_reachable</x:v>
      </x:c>
      <x:c r="U66" s="14" t="str">
        <x:v>Новий — не контактували</x:v>
      </x:c>
      <x:c r="V66" s="15" t="str">
        <x:v>Discovery-call: отримати 1 реальний артефакт і вимоги проєкту; не обіцяти готове покриття</x:v>
      </x:c>
      <x:c r="W66" s="15" t="str">
        <x:v>Власник / комерційний директор; керівник проєктів; ПТО</x:v>
      </x:c>
      <x:c r="X66" s="15" t="str">
        <x:v>СКС, електротехнічні рішення, кондиціонування й фізична безпека для великих підприємств.</x:v>
      </x:c>
      <x:c r="Y66" s="15" t="str">
        <x:v>Кабельні траси над стелями, маркування, тестування портів і пусконалагодження мають бути доведені до закриття та здачі системи.</x:v>
      </x:c>
      <x:c r="Z66" s="15" t="str">
        <x:v>https://it-integrator.ua/</x:v>
      </x:c>
      <x:c r="AA66" s="14" t="str"/>
      <x:c r="AB66" s="14" t="str">
        <x:v>2026-08-24</x:v>
      </x:c>
      <x:c r="AC66" s="14" t="str">
        <x:v>Олександр</x:v>
      </x:c>
      <x:c r="AD66" s="20" t="str"/>
      <x:c r="AE66" s="14" t="str"/>
      <x:c r="AF66" s="14" t="n">
        <x:v>0</x:v>
      </x:c>
      <x:c r="AG66" s="14" t="str">
        <x:v>—</x:v>
      </x:c>
      <x:c r="AH66" s="14" t="n">
        <x:v>0</x:v>
      </x:c>
      <x:c r="AI66" s="14" t="n">
        <x:v>0</x:v>
      </x:c>
      <x:c r="AJ66" s="18" t="n">
        <x:v>0</x:v>
      </x:c>
      <x:c r="AK66" s="14" t="str"/>
      <x:c r="AL66" s="19" t="str"/>
      <x:c r="AM66" s="19" t="str"/>
      <x:c r="AN66" s="15" t="str"/>
      <x:c r="AO66" s="15" t="str">
        <x:v>official_source_reverified</x:v>
      </x:c>
    </x:row>
    <x:row r="67">
      <x:c r="A67" s="14" t="str">
        <x:v>V3-036</x:v>
      </x:c>
      <x:c r="B67" s="14" t="str">
        <x:v>Досліджено 28.07</x:v>
      </x:c>
      <x:c r="C67" s="14" t="str">
        <x:v>ТОВ «Р-ПРОЕКТ»</x:v>
      </x:c>
      <x:c r="D67" s="14" t="str">
        <x:v>Слаботочні системи</x:v>
      </x:c>
      <x:c r="E67" s="14" t="str">
        <x:v>Expansion discovery</x:v>
      </x:c>
      <x:c r="F67" s="17" t="str">
        <x:f>IF(E67="Pilot now",IF(P67&gt;=84,"P1",IF(P67&gt;=72,"P2","P3")),IF(E67="Expansion discovery",IF(Q67&gt;=88,"D1",IF(Q67&gt;=78,"D2","D3")),IF(E67="Later / requirements","L","Legacy")))</x:f>
        <x:v>D1</x:v>
      </x:c>
      <x:c r="G67" s="14" t="str">
        <x:v>r-p.com.ua</x:v>
      </x:c>
      <x:c r="H67" s="14" t="str">
        <x:v>Discovery — частково Н.15 + вимоги проєкту</x:v>
      </x:c>
      <x:c r="I67" s="16" t="n">
        <x:v>3</x:v>
      </x:c>
      <x:c r="J67" s="16" t="n">
        <x:v>5</x:v>
      </x:c>
      <x:c r="K67" s="16" t="n">
        <x:v>5</x:v>
      </x:c>
      <x:c r="L67" s="16" t="n">
        <x:v>4</x:v>
      </x:c>
      <x:c r="M67" s="16" t="n">
        <x:v>5</x:v>
      </x:c>
      <x:c r="N67" s="16" t="n">
        <x:v>5</x:v>
      </x:c>
      <x:c r="O67" s="16" t="n">
        <x:v>5</x:v>
      </x:c>
      <x:c r="P67" s="16" t="n">
        <x:f>IF(COUNT(I67:O67)&lt;7,"",I67*8+J67*3+K67*2+L67*2+M67*2+N67*2+O67)</x:f>
        <x:v>82</x:v>
      </x:c>
      <x:c r="Q67" s="16" t="n">
        <x:f>IF(COUNT(J67:O67)&lt;6,"",J67*5+K67*4+M67*4+L67*3+N67*2+O67*2)</x:f>
        <x:v>97</x:v>
      </x:c>
      <x:c r="R67" s="14" t="str">
        <x:v>medium</x:v>
      </x:c>
      <x:c r="S67" s="14" t="str">
        <x:v>historical_research_2026-07-28</x:v>
      </x:c>
      <x:c r="T67" s="14" t="str">
        <x:v>historical_official_research</x:v>
      </x:c>
      <x:c r="U67" s="14" t="str">
        <x:v>Надіслано 28.07 — follow-up</x:v>
      </x:c>
      <x:c r="V67" s="15" t="str">
        <x:v>Follow-up з review-link; далі попросити 1 анонімізований артефакт</x:v>
      </x:c>
      <x:c r="W67" s="15" t="str">
        <x:v>Власник / директор; керівник ПТО</x:v>
      </x:c>
      <x:c r="X67" s="15" t="str">
        <x:v>Проєктно-кошторисна документація в Revit, монтаж, пусконалагодження й обслуговування систем безпеки та слабкострумових мереж.</x:v>
      </x:c>
      <x:c r="Y67" s="15" t="str">
        <x:v>Кабельні траси, датчики, модулі й протипожежні системи закриваються стелями/стінами; потрібна доказова готовність.</x:v>
      </x:c>
      <x:c r="Z67" s="15" t="str">
        <x:v>https://r-p.com.ua/</x:v>
      </x:c>
      <x:c r="AA67" s="14" t="str">
        <x:v>41371545</x:v>
      </x:c>
      <x:c r="AB67" s="14" t="str">
        <x:v>2026-07-28</x:v>
      </x:c>
      <x:c r="AC67" s="14" t="str">
        <x:v>Олександр</x:v>
      </x:c>
      <x:c r="AD67" s="20" t="str"/>
      <x:c r="AE67" s="14" t="str"/>
      <x:c r="AF67" s="14" t="n">
        <x:v>0</x:v>
      </x:c>
      <x:c r="AG67" s="14" t="str">
        <x:v>—</x:v>
      </x:c>
      <x:c r="AH67" s="14" t="n">
        <x:v>0</x:v>
      </x:c>
      <x:c r="AI67" s="14" t="n">
        <x:v>0</x:v>
      </x:c>
      <x:c r="AJ67" s="18" t="n">
        <x:v>0</x:v>
      </x:c>
      <x:c r="AK67" s="14" t="str"/>
      <x:c r="AL67" s="19" t="str"/>
      <x:c r="AM67" s="19" t="str"/>
      <x:c r="AN67" s="15" t="str"/>
      <x:c r="AO67" s="15" t="str">
        <x:v>historical_research_2026-07-28</x:v>
      </x:c>
    </x:row>
    <x:row r="68">
      <x:c r="A68" s="14" t="str">
        <x:v>EXP-055</x:v>
      </x:c>
      <x:c r="B68" s="14" t="str">
        <x:v>Розширення ніш — 24.08</x:v>
      </x:c>
      <x:c r="C68" s="14" t="str">
        <x:v>Hospital Room</x:v>
      </x:c>
      <x:c r="D68" s="14" t="str">
        <x:v>Чисті приміщення та стерильні зони</x:v>
      </x:c>
      <x:c r="E68" s="14" t="str">
        <x:v>Expansion discovery</x:v>
      </x:c>
      <x:c r="F68" s="17" t="str">
        <x:f>IF(E68="Pilot now",IF(P68&gt;=84,"P1",IF(P68&gt;=72,"P2","P3")),IF(E68="Expansion discovery",IF(Q68&gt;=88,"D1",IF(Q68&gt;=78,"D2","D3")),IF(E68="Later / requirements","L","Legacy")))</x:f>
        <x:v>D1</x:v>
      </x:c>
      <x:c r="G68" s="14" t="str">
        <x:v>hospitalroom.com.ua</x:v>
      </x:c>
      <x:c r="H68" s="14" t="str">
        <x:v>Discovery — частково Н.14/Н.15 + вимоги проєкту</x:v>
      </x:c>
      <x:c r="I68" s="16" t="n">
        <x:v>3</x:v>
      </x:c>
      <x:c r="J68" s="16" t="n">
        <x:v>5</x:v>
      </x:c>
      <x:c r="K68" s="16" t="n">
        <x:v>5</x:v>
      </x:c>
      <x:c r="L68" s="16" t="n">
        <x:v>4</x:v>
      </x:c>
      <x:c r="M68" s="16" t="n">
        <x:v>5</x:v>
      </x:c>
      <x:c r="N68" s="16" t="n">
        <x:v>5</x:v>
      </x:c>
      <x:c r="O68" s="16" t="n">
        <x:v>5</x:v>
      </x:c>
      <x:c r="P68" s="16" t="n">
        <x:f>IF(COUNT(I68:O68)&lt;7,"",I68*8+J68*3+K68*2+L68*2+M68*2+N68*2+O68)</x:f>
        <x:v>82</x:v>
      </x:c>
      <x:c r="Q68" s="16" t="n">
        <x:f>IF(COUNT(J68:O68)&lt;6,"",J68*5+K68*4+M68*4+L68*3+N68*2+O68*2)</x:f>
        <x:v>97</x:v>
      </x:c>
      <x:c r="R68" s="14" t="str">
        <x:v>high</x:v>
      </x:c>
      <x:c r="S68" s="14" t="str">
        <x:v>official_source_reverified</x:v>
      </x:c>
      <x:c r="T68" s="14" t="str">
        <x:v>official_source_reachable</x:v>
      </x:c>
      <x:c r="U68" s="14" t="str">
        <x:v>Новий — не контактували</x:v>
      </x:c>
      <x:c r="V68" s="15" t="str">
        <x:v>Discovery-call: отримати 1 реальний артефакт і вимоги проєкту; не обіцяти готове покриття</x:v>
      </x:c>
      <x:c r="W68" s="15" t="str">
        <x:v>Комерційний директор; керівник проєктів; QA / валідація</x:v>
      </x:c>
      <x:c r="X68" s="15" t="str">
        <x:v>Чисті приміщення, медичні гази, HVAC і стерильні зони з введенням в експлуатацію.</x:v>
      </x:c>
      <x:c r="Y68" s="15" t="str">
        <x:v>Герметичність огороджень, HEPA-вентиляція, автоматика й кваліфікаційні протоколи утворюють дуже насичений пакет приймання.</x:v>
      </x:c>
      <x:c r="Z68" s="15" t="str">
        <x:v>https://www.hospitalroom.com.ua/clean-room</x:v>
      </x:c>
      <x:c r="AA68" s="14" t="str"/>
      <x:c r="AB68" s="14" t="str">
        <x:v>2026-08-24</x:v>
      </x:c>
      <x:c r="AC68" s="14" t="str">
        <x:v>Олександр</x:v>
      </x:c>
      <x:c r="AD68" s="20" t="str"/>
      <x:c r="AE68" s="14" t="str"/>
      <x:c r="AF68" s="14" t="n">
        <x:v>0</x:v>
      </x:c>
      <x:c r="AG68" s="14" t="str">
        <x:v>—</x:v>
      </x:c>
      <x:c r="AH68" s="14" t="n">
        <x:v>0</x:v>
      </x:c>
      <x:c r="AI68" s="14" t="n">
        <x:v>0</x:v>
      </x:c>
      <x:c r="AJ68" s="18" t="n">
        <x:v>0</x:v>
      </x:c>
      <x:c r="AK68" s="14" t="str"/>
      <x:c r="AL68" s="19" t="str"/>
      <x:c r="AM68" s="19" t="str"/>
      <x:c r="AN68" s="15" t="str"/>
      <x:c r="AO68" s="15" t="str">
        <x:v>official_source_reverified</x:v>
      </x:c>
    </x:row>
    <x:row r="69">
      <x:c r="A69" s="14" t="str">
        <x:v>EXP-061</x:v>
      </x:c>
      <x:c r="B69" s="14" t="str">
        <x:v>Розширення ніш — 24.08</x:v>
      </x:c>
      <x:c r="C69" s="14" t="str">
        <x:v>Imperial Pools</x:v>
      </x:c>
      <x:c r="D69" s="14" t="str">
        <x:v>Басейни, водні комплекси та SPA</x:v>
      </x:c>
      <x:c r="E69" s="14" t="str">
        <x:v>Expansion discovery</x:v>
      </x:c>
      <x:c r="F69" s="17" t="str">
        <x:f>IF(E69="Pilot now",IF(P69&gt;=84,"P1",IF(P69&gt;=72,"P2","P3")),IF(E69="Expansion discovery",IF(Q69&gt;=88,"D1",IF(Q69&gt;=78,"D2","D3")),IF(E69="Later / requirements","L","Legacy")))</x:f>
        <x:v>D1</x:v>
      </x:c>
      <x:c r="G69" s="14" t="str">
        <x:v>imperialpools.com.ua</x:v>
      </x:c>
      <x:c r="H69" s="14" t="str">
        <x:v>Discovery — частково Н.14/Н.15 + вимоги проєкту</x:v>
      </x:c>
      <x:c r="I69" s="16" t="n">
        <x:v>3</x:v>
      </x:c>
      <x:c r="J69" s="16" t="n">
        <x:v>5</x:v>
      </x:c>
      <x:c r="K69" s="16" t="n">
        <x:v>5</x:v>
      </x:c>
      <x:c r="L69" s="16" t="n">
        <x:v>4</x:v>
      </x:c>
      <x:c r="M69" s="16" t="n">
        <x:v>5</x:v>
      </x:c>
      <x:c r="N69" s="16" t="n">
        <x:v>5</x:v>
      </x:c>
      <x:c r="O69" s="16" t="n">
        <x:v>5</x:v>
      </x:c>
      <x:c r="P69" s="16" t="n">
        <x:f>IF(COUNT(I69:O69)&lt;7,"",I69*8+J69*3+K69*2+L69*2+M69*2+N69*2+O69)</x:f>
        <x:v>82</x:v>
      </x:c>
      <x:c r="Q69" s="16" t="n">
        <x:f>IF(COUNT(J69:O69)&lt;6,"",J69*5+K69*4+M69*4+L69*3+N69*2+O69*2)</x:f>
        <x:v>97</x:v>
      </x:c>
      <x:c r="R69" s="14" t="str">
        <x:v>high</x:v>
      </x:c>
      <x:c r="S69" s="14" t="str">
        <x:v>official_source_reverified</x:v>
      </x:c>
      <x:c r="T69" s="14" t="str">
        <x:v>official_source_reachable</x:v>
      </x:c>
      <x:c r="U69" s="14" t="str">
        <x:v>Новий — не контактували</x:v>
      </x:c>
      <x:c r="V69" s="15" t="str">
        <x:v>Discovery-call: отримати 1 реальний артефакт і вимоги проєкту; не обіцяти готове покриття</x:v>
      </x:c>
      <x:c r="W69" s="15" t="str">
        <x:v>Власник / директор; керівник будівництва; головний інженер</x:v>
      </x:c>
      <x:c r="X69" s="15" t="str">
        <x:v>Проєктування й будівництво басейнів під ключ з філіями по Україні.</x:v>
      </x:c>
      <x:c r="Y69" s="15" t="str">
        <x:v>Закладні, трубопроводи, гідроізоляція, електрика й автоматика закриваються чашею та оздобленням.</x:v>
      </x:c>
      <x:c r="Z69" s="15" t="str">
        <x:v>https://imperialpools.com.ua/portfolio</x:v>
      </x:c>
      <x:c r="AA69" s="14" t="str"/>
      <x:c r="AB69" s="14" t="str">
        <x:v>2026-08-24</x:v>
      </x:c>
      <x:c r="AC69" s="14" t="str">
        <x:v>Олександр</x:v>
      </x:c>
      <x:c r="AD69" s="20" t="str"/>
      <x:c r="AE69" s="14" t="str"/>
      <x:c r="AF69" s="14" t="n">
        <x:v>0</x:v>
      </x:c>
      <x:c r="AG69" s="14" t="str">
        <x:v>—</x:v>
      </x:c>
      <x:c r="AH69" s="14" t="n">
        <x:v>0</x:v>
      </x:c>
      <x:c r="AI69" s="14" t="n">
        <x:v>0</x:v>
      </x:c>
      <x:c r="AJ69" s="18" t="n">
        <x:v>0</x:v>
      </x:c>
      <x:c r="AK69" s="14" t="str"/>
      <x:c r="AL69" s="19" t="str"/>
      <x:c r="AM69" s="19" t="str"/>
      <x:c r="AN69" s="15" t="str"/>
      <x:c r="AO69" s="15" t="str">
        <x:v>official_source_reverified</x:v>
      </x:c>
    </x:row>
    <x:row r="70">
      <x:c r="A70" s="14" t="str">
        <x:v>EXP-048</x:v>
      </x:c>
      <x:c r="B70" s="14" t="str">
        <x:v>Розширення ніш — 24.08</x:v>
      </x:c>
      <x:c r="C70" s="14" t="str">
        <x:v>Kristall Systems</x:v>
      </x:c>
      <x:c r="D70" s="14" t="str">
        <x:v>СКС, BMS та слаботочна інтеграція</x:v>
      </x:c>
      <x:c r="E70" s="14" t="str">
        <x:v>Expansion discovery</x:v>
      </x:c>
      <x:c r="F70" s="17" t="str">
        <x:f>IF(E70="Pilot now",IF(P70&gt;=84,"P1",IF(P70&gt;=72,"P2","P3")),IF(E70="Expansion discovery",IF(Q70&gt;=88,"D1",IF(Q70&gt;=78,"D2","D3")),IF(E70="Later / requirements","L","Legacy")))</x:f>
        <x:v>D1</x:v>
      </x:c>
      <x:c r="G70" s="14" t="str">
        <x:v>kristall-systems.net.ua</x:v>
      </x:c>
      <x:c r="H70" s="14" t="str">
        <x:v>Discovery — частково Н.15 + вимоги проєкту</x:v>
      </x:c>
      <x:c r="I70" s="16" t="n">
        <x:v>3</x:v>
      </x:c>
      <x:c r="J70" s="16" t="n">
        <x:v>5</x:v>
      </x:c>
      <x:c r="K70" s="16" t="n">
        <x:v>5</x:v>
      </x:c>
      <x:c r="L70" s="16" t="n">
        <x:v>4</x:v>
      </x:c>
      <x:c r="M70" s="16" t="n">
        <x:v>5</x:v>
      </x:c>
      <x:c r="N70" s="16" t="n">
        <x:v>5</x:v>
      </x:c>
      <x:c r="O70" s="16" t="n">
        <x:v>5</x:v>
      </x:c>
      <x:c r="P70" s="16" t="n">
        <x:f>IF(COUNT(I70:O70)&lt;7,"",I70*8+J70*3+K70*2+L70*2+M70*2+N70*2+O70)</x:f>
        <x:v>82</x:v>
      </x:c>
      <x:c r="Q70" s="16" t="n">
        <x:f>IF(COUNT(J70:O70)&lt;6,"",J70*5+K70*4+M70*4+L70*3+N70*2+O70*2)</x:f>
        <x:v>97</x:v>
      </x:c>
      <x:c r="R70" s="14" t="str">
        <x:v>high</x:v>
      </x:c>
      <x:c r="S70" s="14" t="str">
        <x:v>official_source_reverified</x:v>
      </x:c>
      <x:c r="T70" s="14" t="str">
        <x:v>official_source_reachable</x:v>
      </x:c>
      <x:c r="U70" s="14" t="str">
        <x:v>Новий — не контактували</x:v>
      </x:c>
      <x:c r="V70" s="15" t="str">
        <x:v>Discovery-call: отримати 1 реальний артефакт і вимоги проєкту; не обіцяти готове покриття</x:v>
      </x:c>
      <x:c r="W70" s="15" t="str">
        <x:v>Власник / комерційний директор; керівник проєктів; ПТО</x:v>
      </x:c>
      <x:c r="X70" s="15" t="str">
        <x:v>Проєктування, монтаж, тестування, сертифікація СКС і виконавча документація.</x:v>
      </x:c>
      <x:c r="Y70" s="15" t="str">
        <x:v>Кабельні траси над стелями, маркування, тестування портів і пусконалагодження мають бути доведені до закриття та здачі системи.</x:v>
      </x:c>
      <x:c r="Z70" s="15" t="str">
        <x:v>https://www.kristall-systems.net.ua/ua/uslugi/structured_cabling_system/</x:v>
      </x:c>
      <x:c r="AA70" s="14" t="str"/>
      <x:c r="AB70" s="14" t="str">
        <x:v>2026-08-24</x:v>
      </x:c>
      <x:c r="AC70" s="14" t="str">
        <x:v>Олександр</x:v>
      </x:c>
      <x:c r="AD70" s="20" t="str"/>
      <x:c r="AE70" s="14" t="str"/>
      <x:c r="AF70" s="14" t="n">
        <x:v>0</x:v>
      </x:c>
      <x:c r="AG70" s="14" t="str">
        <x:v>—</x:v>
      </x:c>
      <x:c r="AH70" s="14" t="n">
        <x:v>0</x:v>
      </x:c>
      <x:c r="AI70" s="14" t="n">
        <x:v>0</x:v>
      </x:c>
      <x:c r="AJ70" s="18" t="n">
        <x:v>0</x:v>
      </x:c>
      <x:c r="AK70" s="14" t="str"/>
      <x:c r="AL70" s="19" t="str"/>
      <x:c r="AM70" s="19" t="str"/>
      <x:c r="AN70" s="15" t="str"/>
      <x:c r="AO70" s="15" t="str">
        <x:v>official_source_reverified</x:v>
      </x:c>
    </x:row>
    <x:row r="71">
      <x:c r="A71" s="14" t="str">
        <x:v>EXP-051</x:v>
      </x:c>
      <x:c r="B71" s="14" t="str">
        <x:v>Розширення ніш — 24.08</x:v>
      </x:c>
      <x:c r="C71" s="14" t="str">
        <x:v>Ksimex</x:v>
      </x:c>
      <x:c r="D71" s="14" t="str">
        <x:v>СКС, BMS та слаботочна інтеграція</x:v>
      </x:c>
      <x:c r="E71" s="14" t="str">
        <x:v>Expansion discovery</x:v>
      </x:c>
      <x:c r="F71" s="17" t="str">
        <x:f>IF(E71="Pilot now",IF(P71&gt;=84,"P1",IF(P71&gt;=72,"P2","P3")),IF(E71="Expansion discovery",IF(Q71&gt;=88,"D1",IF(Q71&gt;=78,"D2","D3")),IF(E71="Later / requirements","L","Legacy")))</x:f>
        <x:v>D1</x:v>
      </x:c>
      <x:c r="G71" s="14" t="str">
        <x:v>ksimex.ua</x:v>
      </x:c>
      <x:c r="H71" s="14" t="str">
        <x:v>Discovery — частково Н.15 + вимоги проєкту</x:v>
      </x:c>
      <x:c r="I71" s="16" t="n">
        <x:v>3</x:v>
      </x:c>
      <x:c r="J71" s="16" t="n">
        <x:v>5</x:v>
      </x:c>
      <x:c r="K71" s="16" t="n">
        <x:v>5</x:v>
      </x:c>
      <x:c r="L71" s="16" t="n">
        <x:v>4</x:v>
      </x:c>
      <x:c r="M71" s="16" t="n">
        <x:v>5</x:v>
      </x:c>
      <x:c r="N71" s="16" t="n">
        <x:v>5</x:v>
      </x:c>
      <x:c r="O71" s="16" t="n">
        <x:v>5</x:v>
      </x:c>
      <x:c r="P71" s="16" t="n">
        <x:f>IF(COUNT(I71:O71)&lt;7,"",I71*8+J71*3+K71*2+L71*2+M71*2+N71*2+O71)</x:f>
        <x:v>82</x:v>
      </x:c>
      <x:c r="Q71" s="16" t="n">
        <x:f>IF(COUNT(J71:O71)&lt;6,"",J71*5+K71*4+M71*4+L71*3+N71*2+O71*2)</x:f>
        <x:v>97</x:v>
      </x:c>
      <x:c r="R71" s="14" t="str">
        <x:v>high</x:v>
      </x:c>
      <x:c r="S71" s="14" t="str">
        <x:v>official_source_reverified</x:v>
      </x:c>
      <x:c r="T71" s="14" t="str">
        <x:v>official_source_reachable</x:v>
      </x:c>
      <x:c r="U71" s="14" t="str">
        <x:v>Новий — не контактували</x:v>
      </x:c>
      <x:c r="V71" s="15" t="str">
        <x:v>Discovery-call: отримати 1 реальний артефакт і вимоги проєкту; не обіцяти готове покриття</x:v>
      </x:c>
      <x:c r="W71" s="15" t="str">
        <x:v>Власник / комерційний директор; керівник проєктів; ПТО</x:v>
      </x:c>
      <x:c r="X71" s="15" t="str">
        <x:v>BMS-проєкти для готелів, ТРЦ і бізнес-центрів; монтаж та пусконалагодження.</x:v>
      </x:c>
      <x:c r="Y71" s="15" t="str">
        <x:v>Кабельні траси над стелями, маркування, тестування портів і пусконалагодження мають бути доведені до закриття та здачі системи.</x:v>
      </x:c>
      <x:c r="Z71" s="15" t="str">
        <x:v>https://www.ksimex.ua/subprojects/bms</x:v>
      </x:c>
      <x:c r="AA71" s="14" t="str"/>
      <x:c r="AB71" s="14" t="str">
        <x:v>2026-08-24</x:v>
      </x:c>
      <x:c r="AC71" s="14" t="str">
        <x:v>Олександр</x:v>
      </x:c>
      <x:c r="AD71" s="20" t="str"/>
      <x:c r="AE71" s="14" t="str"/>
      <x:c r="AF71" s="14" t="n">
        <x:v>0</x:v>
      </x:c>
      <x:c r="AG71" s="14" t="str">
        <x:v>—</x:v>
      </x:c>
      <x:c r="AH71" s="14" t="n">
        <x:v>0</x:v>
      </x:c>
      <x:c r="AI71" s="14" t="n">
        <x:v>0</x:v>
      </x:c>
      <x:c r="AJ71" s="18" t="n">
        <x:v>0</x:v>
      </x:c>
      <x:c r="AK71" s="14" t="str"/>
      <x:c r="AL71" s="19" t="str"/>
      <x:c r="AM71" s="19" t="str"/>
      <x:c r="AN71" s="15" t="str"/>
      <x:c r="AO71" s="15" t="str">
        <x:v>official_source_reverified</x:v>
      </x:c>
    </x:row>
    <x:row r="72">
      <x:c r="A72" s="14" t="str">
        <x:v>EXP-050</x:v>
      </x:c>
      <x:c r="B72" s="14" t="str">
        <x:v>Розширення ніш — 24.08</x:v>
      </x:c>
      <x:c r="C72" s="14" t="str">
        <x:v>SOLTI</x:v>
      </x:c>
      <x:c r="D72" s="14" t="str">
        <x:v>СКС, BMS та слаботочна інтеграція</x:v>
      </x:c>
      <x:c r="E72" s="14" t="str">
        <x:v>Expansion discovery</x:v>
      </x:c>
      <x:c r="F72" s="17" t="str">
        <x:f>IF(E72="Pilot now",IF(P72&gt;=84,"P1",IF(P72&gt;=72,"P2","P3")),IF(E72="Expansion discovery",IF(Q72&gt;=88,"D1",IF(Q72&gt;=78,"D2","D3")),IF(E72="Later / requirements","L","Legacy")))</x:f>
        <x:v>D1</x:v>
      </x:c>
      <x:c r="G72" s="14" t="str">
        <x:v>solti.ua</x:v>
      </x:c>
      <x:c r="H72" s="14" t="str">
        <x:v>Discovery — частково Н.15 + вимоги проєкту</x:v>
      </x:c>
      <x:c r="I72" s="16" t="n">
        <x:v>3</x:v>
      </x:c>
      <x:c r="J72" s="16" t="n">
        <x:v>5</x:v>
      </x:c>
      <x:c r="K72" s="16" t="n">
        <x:v>5</x:v>
      </x:c>
      <x:c r="L72" s="16" t="n">
        <x:v>4</x:v>
      </x:c>
      <x:c r="M72" s="16" t="n">
        <x:v>5</x:v>
      </x:c>
      <x:c r="N72" s="16" t="n">
        <x:v>5</x:v>
      </x:c>
      <x:c r="O72" s="16" t="n">
        <x:v>5</x:v>
      </x:c>
      <x:c r="P72" s="16" t="n">
        <x:f>IF(COUNT(I72:O72)&lt;7,"",I72*8+J72*3+K72*2+L72*2+M72*2+N72*2+O72)</x:f>
        <x:v>82</x:v>
      </x:c>
      <x:c r="Q72" s="16" t="n">
        <x:f>IF(COUNT(J72:O72)&lt;6,"",J72*5+K72*4+M72*4+L72*3+N72*2+O72*2)</x:f>
        <x:v>97</x:v>
      </x:c>
      <x:c r="R72" s="14" t="str">
        <x:v>high</x:v>
      </x:c>
      <x:c r="S72" s="14" t="str">
        <x:v>official_source_reverified</x:v>
      </x:c>
      <x:c r="T72" s="14" t="str">
        <x:v>official_source_reachable</x:v>
      </x:c>
      <x:c r="U72" s="14" t="str">
        <x:v>Новий — не контактували</x:v>
      </x:c>
      <x:c r="V72" s="15" t="str">
        <x:v>Discovery-call: отримати 1 реальний артефакт і вимоги проєкту; не обіцяти готове покриття</x:v>
      </x:c>
      <x:c r="W72" s="15" t="str">
        <x:v>Власник / комерційний директор; керівник проєктів; ПТО</x:v>
      </x:c>
      <x:c r="X72" s="15" t="str">
        <x:v>Кейси проєктування, монтажу та пусконалагодження СКС з гарантійним обліком.</x:v>
      </x:c>
      <x:c r="Y72" s="15" t="str">
        <x:v>Кабельні траси над стелями, маркування, тестування портів і пусконалагодження мають бути доведені до закриття та здачі системи.</x:v>
      </x:c>
      <x:c r="Z72" s="15" t="str">
        <x:v>https://www.solti.ua/systemna-integraciya/inzhenerni-systemy/strukturovana-kabelna-systema-sks/</x:v>
      </x:c>
      <x:c r="AA72" s="14" t="str"/>
      <x:c r="AB72" s="14" t="str">
        <x:v>2026-08-24</x:v>
      </x:c>
      <x:c r="AC72" s="14" t="str">
        <x:v>Олександр</x:v>
      </x:c>
      <x:c r="AD72" s="20" t="str"/>
      <x:c r="AE72" s="14" t="str"/>
      <x:c r="AF72" s="14" t="n">
        <x:v>0</x:v>
      </x:c>
      <x:c r="AG72" s="14" t="str">
        <x:v>—</x:v>
      </x:c>
      <x:c r="AH72" s="14" t="n">
        <x:v>0</x:v>
      </x:c>
      <x:c r="AI72" s="14" t="n">
        <x:v>0</x:v>
      </x:c>
      <x:c r="AJ72" s="18" t="n">
        <x:v>0</x:v>
      </x:c>
      <x:c r="AK72" s="14" t="str"/>
      <x:c r="AL72" s="19" t="str"/>
      <x:c r="AM72" s="19" t="str"/>
      <x:c r="AN72" s="15" t="str"/>
      <x:c r="AO72" s="15" t="str">
        <x:v>official_source_reverified</x:v>
      </x:c>
    </x:row>
    <x:row r="73">
      <x:c r="A73" s="14" t="str">
        <x:v>EXP-054</x:v>
      </x:c>
      <x:c r="B73" s="14" t="str">
        <x:v>Розширення ніш — 24.08</x:v>
      </x:c>
      <x:c r="C73" s="14" t="str">
        <x:v>Cleanroom / ECOTEP</x:v>
      </x:c>
      <x:c r="D73" s="14" t="str">
        <x:v>Чисті приміщення та стерильні зони</x:v>
      </x:c>
      <x:c r="E73" s="14" t="str">
        <x:v>Expansion discovery</x:v>
      </x:c>
      <x:c r="F73" s="17" t="str">
        <x:f>IF(E73="Pilot now",IF(P73&gt;=84,"P1",IF(P73&gt;=72,"P2","P3")),IF(E73="Expansion discovery",IF(Q73&gt;=88,"D1",IF(Q73&gt;=78,"D2","D3")),IF(E73="Later / requirements","L","Legacy")))</x:f>
        <x:v>D1</x:v>
      </x:c>
      <x:c r="G73" s="14" t="str">
        <x:v>cleanroom.com.ua</x:v>
      </x:c>
      <x:c r="H73" s="14" t="str">
        <x:v>Discovery — частково Н.14/Н.15 + вимоги проєкту</x:v>
      </x:c>
      <x:c r="I73" s="16" t="n">
        <x:v>3</x:v>
      </x:c>
      <x:c r="J73" s="16" t="n">
        <x:v>5</x:v>
      </x:c>
      <x:c r="K73" s="16" t="n">
        <x:v>5</x:v>
      </x:c>
      <x:c r="L73" s="16" t="n">
        <x:v>4</x:v>
      </x:c>
      <x:c r="M73" s="16" t="n">
        <x:v>5</x:v>
      </x:c>
      <x:c r="N73" s="16" t="n">
        <x:v>5</x:v>
      </x:c>
      <x:c r="O73" s="16" t="n">
        <x:v>4</x:v>
      </x:c>
      <x:c r="P73" s="16" t="n">
        <x:f>IF(COUNT(I73:O73)&lt;7,"",I73*8+J73*3+K73*2+L73*2+M73*2+N73*2+O73)</x:f>
        <x:v>81</x:v>
      </x:c>
      <x:c r="Q73" s="16" t="n">
        <x:f>IF(COUNT(J73:O73)&lt;6,"",J73*5+K73*4+M73*4+L73*3+N73*2+O73*2)</x:f>
        <x:v>95</x:v>
      </x:c>
      <x:c r="R73" s="14" t="str">
        <x:v>high</x:v>
      </x:c>
      <x:c r="S73" s="14" t="str">
        <x:v>official_page_and_search_index_reverified</x:v>
      </x:c>
      <x:c r="T73" s="14" t="str">
        <x:v>official_page_reachable_dynamic_content</x:v>
      </x:c>
      <x:c r="U73" s="14" t="str">
        <x:v>Новий — не контактували</x:v>
      </x:c>
      <x:c r="V73" s="15" t="str">
        <x:v>Discovery-call: отримати 1 реальний артефакт і вимоги проєкту; не обіцяти готове покриття</x:v>
      </x:c>
      <x:c r="W73" s="15" t="str">
        <x:v>Комерційний директор; керівник проєктів; QA / валідація</x:v>
      </x:c>
      <x:c r="X73" s="15" t="str">
        <x:v>Портфоліо стерильних медичних і фармацевтичних зон з вимогами до вентиляції та огороджень.</x:v>
      </x:c>
      <x:c r="Y73" s="15" t="str">
        <x:v>Герметичність огороджень, HEPA-вентиляція, автоматика й кваліфікаційні протоколи утворюють дуже насичений пакет приймання.</x:v>
      </x:c>
      <x:c r="Z73" s="15" t="str">
        <x:v>https://www.cleanroom.com.ua/ua/proekti/</x:v>
      </x:c>
      <x:c r="AA73" s="14" t="str"/>
      <x:c r="AB73" s="14" t="str">
        <x:v>2026-08-24</x:v>
      </x:c>
      <x:c r="AC73" s="14" t="str">
        <x:v>Олександр</x:v>
      </x:c>
      <x:c r="AD73" s="20" t="str"/>
      <x:c r="AE73" s="14" t="str"/>
      <x:c r="AF73" s="14" t="n">
        <x:v>0</x:v>
      </x:c>
      <x:c r="AG73" s="14" t="str">
        <x:v>—</x:v>
      </x:c>
      <x:c r="AH73" s="14" t="n">
        <x:v>0</x:v>
      </x:c>
      <x:c r="AI73" s="14" t="n">
        <x:v>0</x:v>
      </x:c>
      <x:c r="AJ73" s="18" t="n">
        <x:v>0</x:v>
      </x:c>
      <x:c r="AK73" s="14" t="str"/>
      <x:c r="AL73" s="19" t="str"/>
      <x:c r="AM73" s="19" t="str"/>
      <x:c r="AN73" s="15" t="str"/>
      <x:c r="AO73" s="15" t="str">
        <x:v>official_page_and_search_index_reverified</x:v>
      </x:c>
    </x:row>
    <x:row r="74">
      <x:c r="A74" s="14" t="str">
        <x:v>V3-037</x:v>
      </x:c>
      <x:c r="B74" s="14" t="str">
        <x:v>Досліджено 28.07</x:v>
      </x:c>
      <x:c r="C74" s="14" t="str">
        <x:v>Інженерна компанія TMEK</x:v>
      </x:c>
      <x:c r="D74" s="14" t="str">
        <x:v>Слаботочні системи</x:v>
      </x:c>
      <x:c r="E74" s="14" t="str">
        <x:v>Expansion discovery</x:v>
      </x:c>
      <x:c r="F74" s="17" t="str">
        <x:f>IF(E74="Pilot now",IF(P74&gt;=84,"P1",IF(P74&gt;=72,"P2","P3")),IF(E74="Expansion discovery",IF(Q74&gt;=88,"D1",IF(Q74&gt;=78,"D2","D3")),IF(E74="Later / requirements","L","Legacy")))</x:f>
        <x:v>D1</x:v>
      </x:c>
      <x:c r="G74" s="14" t="str">
        <x:v>tmek.com.ua</x:v>
      </x:c>
      <x:c r="H74" s="14" t="str">
        <x:v>Discovery — частково Н.15 + вимоги проєкту</x:v>
      </x:c>
      <x:c r="I74" s="16" t="n">
        <x:v>3</x:v>
      </x:c>
      <x:c r="J74" s="16" t="n">
        <x:v>5</x:v>
      </x:c>
      <x:c r="K74" s="16" t="n">
        <x:v>4</x:v>
      </x:c>
      <x:c r="L74" s="16" t="n">
        <x:v>4</x:v>
      </x:c>
      <x:c r="M74" s="16" t="n">
        <x:v>5</x:v>
      </x:c>
      <x:c r="N74" s="16" t="n">
        <x:v>5</x:v>
      </x:c>
      <x:c r="O74" s="16" t="n">
        <x:v>5</x:v>
      </x:c>
      <x:c r="P74" s="16" t="n">
        <x:f>IF(COUNT(I74:O74)&lt;7,"",I74*8+J74*3+K74*2+L74*2+M74*2+N74*2+O74)</x:f>
        <x:v>80</x:v>
      </x:c>
      <x:c r="Q74" s="16" t="n">
        <x:f>IF(COUNT(J74:O74)&lt;6,"",J74*5+K74*4+M74*4+L74*3+N74*2+O74*2)</x:f>
        <x:v>93</x:v>
      </x:c>
      <x:c r="R74" s="14" t="str">
        <x:v>medium</x:v>
      </x:c>
      <x:c r="S74" s="14" t="str">
        <x:v>historical_research_2026-07-28</x:v>
      </x:c>
      <x:c r="T74" s="14" t="str">
        <x:v>historical_official_research</x:v>
      </x:c>
      <x:c r="U74" s="14" t="str">
        <x:v>Надіслано 28.07 — follow-up</x:v>
      </x:c>
      <x:c r="V74" s="15" t="str">
        <x:v>Follow-up з review-link; далі попросити 1 анонімізований артефакт</x:v>
      </x:c>
      <x:c r="W74" s="15" t="str">
        <x:v>Власник / директор; керівник ПТО</x:v>
      </x:c>
      <x:c r="X74" s="15" t="str">
        <x:v>Проєктування, реалізація та підтримка слабкострумових систем для комерційних, державних і промислових об’єктів.</x:v>
      </x:c>
      <x:c r="Y74" s="15" t="str">
        <x:v>СКС, відеонагляд, контроль доступу й сигналізація мають приховані кабельні траси та тестові протоколи.</x:v>
      </x:c>
      <x:c r="Z74" s="15" t="str">
        <x:v>https://tmek.com.ua/proektuvannya-slabkostrumovih-sistem/</x:v>
      </x:c>
      <x:c r="AA74" s="14" t="str"/>
      <x:c r="AB74" s="14" t="str">
        <x:v>2026-07-28</x:v>
      </x:c>
      <x:c r="AC74" s="14" t="str">
        <x:v>Олександр</x:v>
      </x:c>
      <x:c r="AD74" s="20" t="str"/>
      <x:c r="AE74" s="14" t="str"/>
      <x:c r="AF74" s="14" t="n">
        <x:v>0</x:v>
      </x:c>
      <x:c r="AG74" s="14" t="str">
        <x:v>—</x:v>
      </x:c>
      <x:c r="AH74" s="14" t="n">
        <x:v>0</x:v>
      </x:c>
      <x:c r="AI74" s="14" t="n">
        <x:v>0</x:v>
      </x:c>
      <x:c r="AJ74" s="18" t="n">
        <x:v>0</x:v>
      </x:c>
      <x:c r="AK74" s="14" t="str"/>
      <x:c r="AL74" s="19" t="str"/>
      <x:c r="AM74" s="19" t="str"/>
      <x:c r="AN74" s="15" t="str"/>
      <x:c r="AO74" s="15" t="str">
        <x:v>historical_research_2026-07-28</x:v>
      </x:c>
    </x:row>
    <x:row r="75">
      <x:c r="A75" s="14" t="str">
        <x:v>V3-040</x:v>
      </x:c>
      <x:c r="B75" s="14" t="str">
        <x:v>Досліджено 28.07</x:v>
      </x:c>
      <x:c r="C75" s="14" t="str">
        <x:v>ТОВ «ОБЕРІГ-К»</x:v>
      </x:c>
      <x:c r="D75" s="14" t="str">
        <x:v>Слаботочні системи</x:v>
      </x:c>
      <x:c r="E75" s="14" t="str">
        <x:v>Expansion discovery</x:v>
      </x:c>
      <x:c r="F75" s="17" t="str">
        <x:f>IF(E75="Pilot now",IF(P75&gt;=84,"P1",IF(P75&gt;=72,"P2","P3")),IF(E75="Expansion discovery",IF(Q75&gt;=88,"D1",IF(Q75&gt;=78,"D2","D3")),IF(E75="Later / requirements","L","Legacy")))</x:f>
        <x:v>D1</x:v>
      </x:c>
      <x:c r="G75" s="14" t="str">
        <x:v>oberig-k.com.ua</x:v>
      </x:c>
      <x:c r="H75" s="14" t="str">
        <x:v>Discovery — частково Н.15 + вимоги проєкту</x:v>
      </x:c>
      <x:c r="I75" s="16" t="n">
        <x:v>3</x:v>
      </x:c>
      <x:c r="J75" s="16" t="n">
        <x:v>5</x:v>
      </x:c>
      <x:c r="K75" s="16" t="n">
        <x:v>4</x:v>
      </x:c>
      <x:c r="L75" s="16" t="n">
        <x:v>4</x:v>
      </x:c>
      <x:c r="M75" s="16" t="n">
        <x:v>5</x:v>
      </x:c>
      <x:c r="N75" s="16" t="n">
        <x:v>5</x:v>
      </x:c>
      <x:c r="O75" s="16" t="n">
        <x:v>5</x:v>
      </x:c>
      <x:c r="P75" s="16" t="n">
        <x:f>IF(COUNT(I75:O75)&lt;7,"",I75*8+J75*3+K75*2+L75*2+M75*2+N75*2+O75)</x:f>
        <x:v>80</x:v>
      </x:c>
      <x:c r="Q75" s="16" t="n">
        <x:f>IF(COUNT(J75:O75)&lt;6,"",J75*5+K75*4+M75*4+L75*3+N75*2+O75*2)</x:f>
        <x:v>93</x:v>
      </x:c>
      <x:c r="R75" s="14" t="str">
        <x:v>medium</x:v>
      </x:c>
      <x:c r="S75" s="14" t="str">
        <x:v>historical_research_2026-07-28</x:v>
      </x:c>
      <x:c r="T75" s="14" t="str">
        <x:v>historical_official_research</x:v>
      </x:c>
      <x:c r="U75" s="14" t="str">
        <x:v>Надіслано 28.07 — follow-up</x:v>
      </x:c>
      <x:c r="V75" s="15" t="str">
        <x:v>Follow-up з review-link; далі попросити 1 анонімізований артефакт</x:v>
      </x:c>
      <x:c r="W75" s="15" t="str">
        <x:v>Власник / директор; керівник ПТО</x:v>
      </x:c>
      <x:c r="X75" s="15" t="str">
        <x:v>Проєктування, монтаж і сервіс систем пожежної безпеки та слабкострумових систем різної складності; працює з 2006 року.</x:v>
      </x:c>
      <x:c r="Y75" s="15" t="str">
        <x:v>Пожежні шлейфи, датчики й кабельні траси мають регламентоване приймання, акти та протоколи випробувань.</x:v>
      </x:c>
      <x:c r="Z75" s="15" t="str">
        <x:v>https://www.oberig-k.com.ua/</x:v>
      </x:c>
      <x:c r="AA75" s="14" t="str">
        <x:v>34727274</x:v>
      </x:c>
      <x:c r="AB75" s="14" t="str">
        <x:v>2026-07-28</x:v>
      </x:c>
      <x:c r="AC75" s="14" t="str">
        <x:v>Олександр</x:v>
      </x:c>
      <x:c r="AD75" s="20" t="str"/>
      <x:c r="AE75" s="14" t="str"/>
      <x:c r="AF75" s="14" t="n">
        <x:v>0</x:v>
      </x:c>
      <x:c r="AG75" s="14" t="str">
        <x:v>—</x:v>
      </x:c>
      <x:c r="AH75" s="14" t="n">
        <x:v>0</x:v>
      </x:c>
      <x:c r="AI75" s="14" t="n">
        <x:v>0</x:v>
      </x:c>
      <x:c r="AJ75" s="18" t="n">
        <x:v>0</x:v>
      </x:c>
      <x:c r="AK75" s="14" t="str"/>
      <x:c r="AL75" s="19" t="str"/>
      <x:c r="AM75" s="19" t="str"/>
      <x:c r="AN75" s="15" t="str"/>
      <x:c r="AO75" s="15" t="str">
        <x:v>historical_research_2026-07-28</x:v>
      </x:c>
    </x:row>
    <x:row r="76">
      <x:c r="A76" s="14" t="str">
        <x:v>V3-038</x:v>
      </x:c>
      <x:c r="B76" s="14" t="str">
        <x:v>Досліджено 28.07</x:v>
      </x:c>
      <x:c r="C76" s="14" t="str">
        <x:v>Install Group</x:v>
      </x:c>
      <x:c r="D76" s="14" t="str">
        <x:v>Слаботочні системи</x:v>
      </x:c>
      <x:c r="E76" s="14" t="str">
        <x:v>Expansion discovery</x:v>
      </x:c>
      <x:c r="F76" s="17" t="str">
        <x:f>IF(E76="Pilot now",IF(P76&gt;=84,"P1",IF(P76&gt;=72,"P2","P3")),IF(E76="Expansion discovery",IF(Q76&gt;=88,"D1",IF(Q76&gt;=78,"D2","D3")),IF(E76="Later / requirements","L","Legacy")))</x:f>
        <x:v>D1</x:v>
      </x:c>
      <x:c r="G76" s="14" t="str">
        <x:v>ig.in.ua</x:v>
      </x:c>
      <x:c r="H76" s="14" t="str">
        <x:v>Discovery — частково Н.15 + вимоги проєкту</x:v>
      </x:c>
      <x:c r="I76" s="16" t="n">
        <x:v>3</x:v>
      </x:c>
      <x:c r="J76" s="16" t="n">
        <x:v>5</x:v>
      </x:c>
      <x:c r="K76" s="16" t="n">
        <x:v>4</x:v>
      </x:c>
      <x:c r="L76" s="16" t="n">
        <x:v>4</x:v>
      </x:c>
      <x:c r="M76" s="16" t="n">
        <x:v>5</x:v>
      </x:c>
      <x:c r="N76" s="16" t="n">
        <x:v>5</x:v>
      </x:c>
      <x:c r="O76" s="16" t="n">
        <x:v>5</x:v>
      </x:c>
      <x:c r="P76" s="16" t="n">
        <x:f>IF(COUNT(I76:O76)&lt;7,"",I76*8+J76*3+K76*2+L76*2+M76*2+N76*2+O76)</x:f>
        <x:v>80</x:v>
      </x:c>
      <x:c r="Q76" s="16" t="n">
        <x:f>IF(COUNT(J76:O76)&lt;6,"",J76*5+K76*4+M76*4+L76*3+N76*2+O76*2)</x:f>
        <x:v>93</x:v>
      </x:c>
      <x:c r="R76" s="14" t="str">
        <x:v>medium</x:v>
      </x:c>
      <x:c r="S76" s="14" t="str">
        <x:v>historical_research_2026-07-28</x:v>
      </x:c>
      <x:c r="T76" s="14" t="str">
        <x:v>historical_official_research</x:v>
      </x:c>
      <x:c r="U76" s="14" t="str">
        <x:v>Надіслано 28.07 — follow-up</x:v>
      </x:c>
      <x:c r="V76" s="15" t="str">
        <x:v>Follow-up з review-link; далі попросити 1 анонімізований артефакт</x:v>
      </x:c>
      <x:c r="W76" s="15" t="str">
        <x:v>Власник / директор; керівник ПТО</x:v>
      </x:c>
      <x:c r="X76" s="15" t="str">
        <x:v>Проєктування, монтаж і ремонт слабкострумових мереж для інфраструктурних об’єктів по Україні.</x:v>
      </x:c>
      <x:c r="Y76" s="15" t="str">
        <x:v>Приховані кабелі та точки підключення потребують фото, чек-листів і тестів до закриття оздобленням.</x:v>
      </x:c>
      <x:c r="Z76" s="15" t="str">
        <x:v>https://ig.in.ua/slabotochnye-seti-uk/</x:v>
      </x:c>
      <x:c r="AA76" s="14" t="str"/>
      <x:c r="AB76" s="14" t="str">
        <x:v>2026-07-28</x:v>
      </x:c>
      <x:c r="AC76" s="14" t="str">
        <x:v>Олександр</x:v>
      </x:c>
      <x:c r="AD76" s="20" t="str"/>
      <x:c r="AE76" s="14" t="str"/>
      <x:c r="AF76" s="14" t="n">
        <x:v>0</x:v>
      </x:c>
      <x:c r="AG76" s="14" t="str">
        <x:v>—</x:v>
      </x:c>
      <x:c r="AH76" s="14" t="n">
        <x:v>0</x:v>
      </x:c>
      <x:c r="AI76" s="14" t="n">
        <x:v>0</x:v>
      </x:c>
      <x:c r="AJ76" s="18" t="n">
        <x:v>0</x:v>
      </x:c>
      <x:c r="AK76" s="14" t="str"/>
      <x:c r="AL76" s="19" t="str"/>
      <x:c r="AM76" s="19" t="str"/>
      <x:c r="AN76" s="15" t="str"/>
      <x:c r="AO76" s="15" t="str">
        <x:v>historical_research_2026-07-28</x:v>
      </x:c>
    </x:row>
    <x:row r="77">
      <x:c r="A77" s="14" t="str">
        <x:v>V3-041</x:v>
      </x:c>
      <x:c r="B77" s="14" t="str">
        <x:v>Досліджено 28.07</x:v>
      </x:c>
      <x:c r="C77" s="14" t="str">
        <x:v>Optimum Net</x:v>
      </x:c>
      <x:c r="D77" s="14" t="str">
        <x:v>Слаботочні системи</x:v>
      </x:c>
      <x:c r="E77" s="14" t="str">
        <x:v>Expansion discovery</x:v>
      </x:c>
      <x:c r="F77" s="17" t="str">
        <x:f>IF(E77="Pilot now",IF(P77&gt;=84,"P1",IF(P77&gt;=72,"P2","P3")),IF(E77="Expansion discovery",IF(Q77&gt;=88,"D1",IF(Q77&gt;=78,"D2","D3")),IF(E77="Later / requirements","L","Legacy")))</x:f>
        <x:v>D1</x:v>
      </x:c>
      <x:c r="G77" s="14" t="str">
        <x:v>optimumnet.com.ua</x:v>
      </x:c>
      <x:c r="H77" s="14" t="str">
        <x:v>Discovery — частково Н.15 + вимоги проєкту</x:v>
      </x:c>
      <x:c r="I77" s="16" t="n">
        <x:v>3</x:v>
      </x:c>
      <x:c r="J77" s="16" t="n">
        <x:v>5</x:v>
      </x:c>
      <x:c r="K77" s="16" t="n">
        <x:v>4</x:v>
      </x:c>
      <x:c r="L77" s="16" t="n">
        <x:v>5</x:v>
      </x:c>
      <x:c r="M77" s="16" t="n">
        <x:v>4</x:v>
      </x:c>
      <x:c r="N77" s="16" t="n">
        <x:v>5</x:v>
      </x:c>
      <x:c r="O77" s="16" t="n">
        <x:v>5</x:v>
      </x:c>
      <x:c r="P77" s="16" t="n">
        <x:f>IF(COUNT(I77:O77)&lt;7,"",I77*8+J77*3+K77*2+L77*2+M77*2+N77*2+O77)</x:f>
        <x:v>80</x:v>
      </x:c>
      <x:c r="Q77" s="16" t="n">
        <x:f>IF(COUNT(J77:O77)&lt;6,"",J77*5+K77*4+M77*4+L77*3+N77*2+O77*2)</x:f>
        <x:v>92</x:v>
      </x:c>
      <x:c r="R77" s="14" t="str">
        <x:v>medium</x:v>
      </x:c>
      <x:c r="S77" s="14" t="str">
        <x:v>historical_research_2026-07-28</x:v>
      </x:c>
      <x:c r="T77" s="14" t="str">
        <x:v>historical_official_research</x:v>
      </x:c>
      <x:c r="U77" s="14" t="str">
        <x:v>Надіслано 28.07 — follow-up</x:v>
      </x:c>
      <x:c r="V77" s="15" t="str">
        <x:v>Follow-up з review-link; далі попросити 1 анонімізований артефакт</x:v>
      </x:c>
      <x:c r="W77" s="15" t="str">
        <x:v>Власник / директор; керівник ПТО</x:v>
      </x:c>
      <x:c r="X77" s="15" t="str">
        <x:v>Проєктування, сертифікація й монтаж СКС/LAN об’єктів різного масштабу; заявлена робота по Україні.</x:v>
      </x:c>
      <x:c r="Y77" s="15" t="str">
        <x:v>Сотні кабельних портів, маркування й сертифікація ліній формують великий доказовий пакет перед здачею.</x:v>
      </x:c>
      <x:c r="Z77" s="15" t="str">
        <x:v>https://optimumnet.com.ua/</x:v>
      </x:c>
      <x:c r="AA77" s="14" t="str"/>
      <x:c r="AB77" s="14" t="str">
        <x:v>2026-07-28</x:v>
      </x:c>
      <x:c r="AC77" s="14" t="str">
        <x:v>Олександр</x:v>
      </x:c>
      <x:c r="AD77" s="20" t="str"/>
      <x:c r="AE77" s="14" t="str"/>
      <x:c r="AF77" s="14" t="n">
        <x:v>0</x:v>
      </x:c>
      <x:c r="AG77" s="14" t="str">
        <x:v>—</x:v>
      </x:c>
      <x:c r="AH77" s="14" t="n">
        <x:v>0</x:v>
      </x:c>
      <x:c r="AI77" s="14" t="n">
        <x:v>0</x:v>
      </x:c>
      <x:c r="AJ77" s="18" t="n">
        <x:v>0</x:v>
      </x:c>
      <x:c r="AK77" s="14" t="str"/>
      <x:c r="AL77" s="19" t="str"/>
      <x:c r="AM77" s="19" t="str"/>
      <x:c r="AN77" s="15" t="str"/>
      <x:c r="AO77" s="15" t="str">
        <x:v>historical_research_2026-07-28</x:v>
      </x:c>
    </x:row>
    <x:row r="78">
      <x:c r="A78" s="14" t="str">
        <x:v>EXP-046</x:v>
      </x:c>
      <x:c r="B78" s="14" t="str">
        <x:v>Розширення ніш — 24.08</x:v>
      </x:c>
      <x:c r="C78" s="14" t="str">
        <x:v>Smart Systems</x:v>
      </x:c>
      <x:c r="D78" s="14" t="str">
        <x:v>СКС, BMS та слаботочна інтеграція</x:v>
      </x:c>
      <x:c r="E78" s="14" t="str">
        <x:v>Expansion discovery</x:v>
      </x:c>
      <x:c r="F78" s="17" t="str">
        <x:f>IF(E78="Pilot now",IF(P78&gt;=84,"P1",IF(P78&gt;=72,"P2","P3")),IF(E78="Expansion discovery",IF(Q78&gt;=88,"D1",IF(Q78&gt;=78,"D2","D3")),IF(E78="Later / requirements","L","Legacy")))</x:f>
        <x:v>D1</x:v>
      </x:c>
      <x:c r="G78" s="14" t="str">
        <x:v>smartsys.team</x:v>
      </x:c>
      <x:c r="H78" s="14" t="str">
        <x:v>Discovery — частково Н.15 + вимоги проєкту</x:v>
      </x:c>
      <x:c r="I78" s="16" t="n">
        <x:v>3</x:v>
      </x:c>
      <x:c r="J78" s="16" t="n">
        <x:v>5</x:v>
      </x:c>
      <x:c r="K78" s="16" t="n">
        <x:v>5</x:v>
      </x:c>
      <x:c r="L78" s="16" t="n">
        <x:v>3</x:v>
      </x:c>
      <x:c r="M78" s="16" t="n">
        <x:v>5</x:v>
      </x:c>
      <x:c r="N78" s="16" t="n">
        <x:v>5</x:v>
      </x:c>
      <x:c r="O78" s="16" t="n">
        <x:v>5</x:v>
      </x:c>
      <x:c r="P78" s="16" t="n">
        <x:f>IF(COUNT(I78:O78)&lt;7,"",I78*8+J78*3+K78*2+L78*2+M78*2+N78*2+O78)</x:f>
        <x:v>80</x:v>
      </x:c>
      <x:c r="Q78" s="16" t="n">
        <x:f>IF(COUNT(J78:O78)&lt;6,"",J78*5+K78*4+M78*4+L78*3+N78*2+O78*2)</x:f>
        <x:v>94</x:v>
      </x:c>
      <x:c r="R78" s="14" t="str">
        <x:v>high</x:v>
      </x:c>
      <x:c r="S78" s="14" t="str">
        <x:v>official_source_reverified</x:v>
      </x:c>
      <x:c r="T78" s="14" t="str">
        <x:v>official_source_reachable</x:v>
      </x:c>
      <x:c r="U78" s="14" t="str">
        <x:v>Новий — не контактували</x:v>
      </x:c>
      <x:c r="V78" s="15" t="str">
        <x:v>Discovery-call: отримати 1 реальний артефакт і вимоги проєкту; не обіцяти готове покриття</x:v>
      </x:c>
      <x:c r="W78" s="15" t="str">
        <x:v>Власник / комерційний директор; керівник проєктів; ПТО</x:v>
      </x:c>
      <x:c r="X78" s="15" t="str">
        <x:v>Проєктування, монтаж і тестування СКС для офісів, бізнес-центрів та інфраструктури.</x:v>
      </x:c>
      <x:c r="Y78" s="15" t="str">
        <x:v>Кабельні траси над стелями, маркування, тестування портів і пусконалагодження мають бути доведені до закриття та здачі системи.</x:v>
      </x:c>
      <x:c r="Z78" s="15" t="str">
        <x:v>https://smartsys.team/uk/kabelni-systemy/</x:v>
      </x:c>
      <x:c r="AA78" s="14" t="str"/>
      <x:c r="AB78" s="14" t="str">
        <x:v>2026-08-24</x:v>
      </x:c>
      <x:c r="AC78" s="14" t="str">
        <x:v>Олександр</x:v>
      </x:c>
      <x:c r="AD78" s="20" t="str"/>
      <x:c r="AE78" s="14" t="str"/>
      <x:c r="AF78" s="14" t="n">
        <x:v>0</x:v>
      </x:c>
      <x:c r="AG78" s="14" t="str">
        <x:v>—</x:v>
      </x:c>
      <x:c r="AH78" s="14" t="n">
        <x:v>0</x:v>
      </x:c>
      <x:c r="AI78" s="14" t="n">
        <x:v>0</x:v>
      </x:c>
      <x:c r="AJ78" s="18" t="n">
        <x:v>0</x:v>
      </x:c>
      <x:c r="AK78" s="14" t="str"/>
      <x:c r="AL78" s="19" t="str"/>
      <x:c r="AM78" s="19" t="str"/>
      <x:c r="AN78" s="15" t="str"/>
      <x:c r="AO78" s="15" t="str">
        <x:v>official_source_reverified</x:v>
      </x:c>
    </x:row>
    <x:row r="79">
      <x:c r="A79" s="14" t="str">
        <x:v>EXP-063</x:v>
      </x:c>
      <x:c r="B79" s="14" t="str">
        <x:v>Розширення ніш — 24.08</x:v>
      </x:c>
      <x:c r="C79" s="14" t="str">
        <x:v>БРАС-ГРУП</x:v>
      </x:c>
      <x:c r="D79" s="14" t="str">
        <x:v>Басейни, водні комплекси та SPA</x:v>
      </x:c>
      <x:c r="E79" s="14" t="str">
        <x:v>Expansion discovery</x:v>
      </x:c>
      <x:c r="F79" s="17" t="str">
        <x:f>IF(E79="Pilot now",IF(P79&gt;=84,"P1",IF(P79&gt;=72,"P2","P3")),IF(E79="Expansion discovery",IF(Q79&gt;=88,"D1",IF(Q79&gt;=78,"D2","D3")),IF(E79="Later / requirements","L","Legacy")))</x:f>
        <x:v>D1</x:v>
      </x:c>
      <x:c r="G79" s="14" t="str">
        <x:v>brasgroup.com.ua</x:v>
      </x:c>
      <x:c r="H79" s="14" t="str">
        <x:v>Discovery — частково Н.14/Н.15 + вимоги проєкту</x:v>
      </x:c>
      <x:c r="I79" s="16" t="n">
        <x:v>3</x:v>
      </x:c>
      <x:c r="J79" s="16" t="n">
        <x:v>5</x:v>
      </x:c>
      <x:c r="K79" s="16" t="n">
        <x:v>5</x:v>
      </x:c>
      <x:c r="L79" s="16" t="n">
        <x:v>4</x:v>
      </x:c>
      <x:c r="M79" s="16" t="n">
        <x:v>5</x:v>
      </x:c>
      <x:c r="N79" s="16" t="n">
        <x:v>5</x:v>
      </x:c>
      <x:c r="O79" s="16" t="n">
        <x:v>2</x:v>
      </x:c>
      <x:c r="P79" s="16" t="n">
        <x:f>IF(COUNT(I79:O79)&lt;7,"",I79*8+J79*3+K79*2+L79*2+M79*2+N79*2+O79)</x:f>
        <x:v>79</x:v>
      </x:c>
      <x:c r="Q79" s="16" t="n">
        <x:f>IF(COUNT(J79:O79)&lt;6,"",J79*5+K79*4+M79*4+L79*3+N79*2+O79*2)</x:f>
        <x:v>91</x:v>
      </x:c>
      <x:c r="R79" s="14" t="str">
        <x:v>medium</x:v>
      </x:c>
      <x:c r="S79" s="14" t="str">
        <x:v>official_content_reverified_via_search_index</x:v>
      </x:c>
      <x:c r="T79" s="14" t="str">
        <x:v>http_423_live_site</x:v>
      </x:c>
      <x:c r="U79" s="14" t="str">
        <x:v>Новий — не контактували</x:v>
      </x:c>
      <x:c r="V79" s="15" t="str">
        <x:v>Discovery-call: отримати 1 реальний артефакт і вимоги проєкту; не обіцяти готове покриття</x:v>
      </x:c>
      <x:c r="W79" s="15" t="str">
        <x:v>Власник / директор; керівник будівництва; головний інженер</x:v>
      </x:c>
      <x:c r="X79" s="15" t="str">
        <x:v>Будівництво, реконструкція, автоматизація та сервіс приватних і комерційних басейнів.</x:v>
      </x:c>
      <x:c r="Y79" s="15" t="str">
        <x:v>Закладні, трубопроводи, гідроізоляція, електрика й автоматика закриваються чашею та оздобленням.</x:v>
      </x:c>
      <x:c r="Z79" s="15" t="str">
        <x:v>https://brasgroup.com.ua/</x:v>
      </x:c>
      <x:c r="AA79" s="14" t="str"/>
      <x:c r="AB79" s="14" t="str">
        <x:v>2026-08-24</x:v>
      </x:c>
      <x:c r="AC79" s="14" t="str">
        <x:v>Олександр</x:v>
      </x:c>
      <x:c r="AD79" s="20" t="str"/>
      <x:c r="AE79" s="14" t="str"/>
      <x:c r="AF79" s="14" t="n">
        <x:v>0</x:v>
      </x:c>
      <x:c r="AG79" s="14" t="str">
        <x:v>—</x:v>
      </x:c>
      <x:c r="AH79" s="14" t="n">
        <x:v>0</x:v>
      </x:c>
      <x:c r="AI79" s="14" t="n">
        <x:v>0</x:v>
      </x:c>
      <x:c r="AJ79" s="18" t="n">
        <x:v>0</x:v>
      </x:c>
      <x:c r="AK79" s="14" t="str"/>
      <x:c r="AL79" s="19" t="str"/>
      <x:c r="AM79" s="19" t="str"/>
      <x:c r="AN79" s="15" t="str"/>
      <x:c r="AO79" s="15" t="str">
        <x:v>official_content_reverified_via_search_index</x:v>
      </x:c>
    </x:row>
    <x:row r="80">
      <x:c r="A80" s="14" t="str">
        <x:v>V3-039</x:v>
      </x:c>
      <x:c r="B80" s="14" t="str">
        <x:v>Досліджено 28.07</x:v>
      </x:c>
      <x:c r="C80" s="14" t="str">
        <x:v>ТОВ «СВІТ КАБЕЛЬНИХ СИСТЕМ»</x:v>
      </x:c>
      <x:c r="D80" s="14" t="str">
        <x:v>Слаботочні системи</x:v>
      </x:c>
      <x:c r="E80" s="14" t="str">
        <x:v>Expansion discovery</x:v>
      </x:c>
      <x:c r="F80" s="17" t="str">
        <x:f>IF(E80="Pilot now",IF(P80&gt;=84,"P1",IF(P80&gt;=72,"P2","P3")),IF(E80="Expansion discovery",IF(Q80&gt;=88,"D1",IF(Q80&gt;=78,"D2","D3")),IF(E80="Later / requirements","L","Legacy")))</x:f>
        <x:v>D1</x:v>
      </x:c>
      <x:c r="G80" s="14" t="str">
        <x:v>ikscs.in.ua</x:v>
      </x:c>
      <x:c r="H80" s="14" t="str">
        <x:v>Discovery — частково Н.15 + вимоги проєкту</x:v>
      </x:c>
      <x:c r="I80" s="16" t="n">
        <x:v>3</x:v>
      </x:c>
      <x:c r="J80" s="16" t="n">
        <x:v>5</x:v>
      </x:c>
      <x:c r="K80" s="16" t="n">
        <x:v>4</x:v>
      </x:c>
      <x:c r="L80" s="16" t="n">
        <x:v>4</x:v>
      </x:c>
      <x:c r="M80" s="16" t="n">
        <x:v>4</x:v>
      </x:c>
      <x:c r="N80" s="16" t="n">
        <x:v>5</x:v>
      </x:c>
      <x:c r="O80" s="16" t="n">
        <x:v>5</x:v>
      </x:c>
      <x:c r="P80" s="16" t="n">
        <x:f>IF(COUNT(I80:O80)&lt;7,"",I80*8+J80*3+K80*2+L80*2+M80*2+N80*2+O80)</x:f>
        <x:v>78</x:v>
      </x:c>
      <x:c r="Q80" s="16" t="n">
        <x:f>IF(COUNT(J80:O80)&lt;6,"",J80*5+K80*4+M80*4+L80*3+N80*2+O80*2)</x:f>
        <x:v>89</x:v>
      </x:c>
      <x:c r="R80" s="14" t="str">
        <x:v>medium</x:v>
      </x:c>
      <x:c r="S80" s="14" t="str">
        <x:v>historical_research_2026-07-28</x:v>
      </x:c>
      <x:c r="T80" s="14" t="str">
        <x:v>historical_official_research</x:v>
      </x:c>
      <x:c r="U80" s="14" t="str">
        <x:v>Надіслано 28.07 — follow-up</x:v>
      </x:c>
      <x:c r="V80" s="15" t="str">
        <x:v>Follow-up з review-link; далі попросити 1 анонімізований артефакт</x:v>
      </x:c>
      <x:c r="W80" s="15" t="str">
        <x:v>Власник / директор; керівник ПТО</x:v>
      </x:c>
      <x:c r="X80" s="15" t="str">
        <x:v>СКС, відеонагляд, контроль доступу, IP-телефонія, сигналізація та електромонтажні роботи.</x:v>
      </x:c>
      <x:c r="Y80" s="15" t="str">
        <x:v>Велика кількість кабельних ліній і кінцевих точок створює ризик неповної фіксації перед закриттям.</x:v>
      </x:c>
      <x:c r="Z80" s="15" t="str">
        <x:v>https://ikscs.in.ua/</x:v>
      </x:c>
      <x:c r="AA80" s="14" t="str">
        <x:v>40217647</x:v>
      </x:c>
      <x:c r="AB80" s="14" t="str">
        <x:v>2026-07-28</x:v>
      </x:c>
      <x:c r="AC80" s="14" t="str">
        <x:v>Олександр</x:v>
      </x:c>
      <x:c r="AD80" s="20" t="str"/>
      <x:c r="AE80" s="14" t="str"/>
      <x:c r="AF80" s="14" t="n">
        <x:v>0</x:v>
      </x:c>
      <x:c r="AG80" s="14" t="str">
        <x:v>—</x:v>
      </x:c>
      <x:c r="AH80" s="14" t="n">
        <x:v>0</x:v>
      </x:c>
      <x:c r="AI80" s="14" t="n">
        <x:v>0</x:v>
      </x:c>
      <x:c r="AJ80" s="18" t="n">
        <x:v>0</x:v>
      </x:c>
      <x:c r="AK80" s="14" t="str"/>
      <x:c r="AL80" s="19" t="str"/>
      <x:c r="AM80" s="19" t="str"/>
      <x:c r="AN80" s="15" t="str"/>
      <x:c r="AO80" s="15" t="str">
        <x:v>historical_research_2026-07-28</x:v>
      </x:c>
    </x:row>
    <x:row r="81">
      <x:c r="A81" s="14" t="str">
        <x:v>EXP-037</x:v>
      </x:c>
      <x:c r="B81" s="14" t="str">
        <x:v>Розширення ніш — 24.08</x:v>
      </x:c>
      <x:c r="C81" s="14" t="str">
        <x:v>Kovlar Group</x:v>
      </x:c>
      <x:c r="D81" s="14" t="str">
        <x:v>Пасивний вогнезахист</x:v>
      </x:c>
      <x:c r="E81" s="14" t="str">
        <x:v>Expansion discovery</x:v>
      </x:c>
      <x:c r="F81" s="17" t="str">
        <x:f>IF(E81="Pilot now",IF(P81&gt;=84,"P1",IF(P81&gt;=72,"P2","P3")),IF(E81="Expansion discovery",IF(Q81&gt;=88,"D1",IF(Q81&gt;=78,"D2","D3")),IF(E81="Later / requirements","L","Legacy")))</x:f>
        <x:v>D1</x:v>
      </x:c>
      <x:c r="G81" s="14" t="str">
        <x:v>kovlargroup.com</x:v>
      </x:c>
      <x:c r="H81" s="14" t="str">
        <x:v>Discovery — вимоги проєкту</x:v>
      </x:c>
      <x:c r="I81" s="16" t="n">
        <x:v>1</x:v>
      </x:c>
      <x:c r="J81" s="16" t="n">
        <x:v>5</x:v>
      </x:c>
      <x:c r="K81" s="16" t="n">
        <x:v>5</x:v>
      </x:c>
      <x:c r="L81" s="16" t="n">
        <x:v>5</x:v>
      </x:c>
      <x:c r="M81" s="16" t="n">
        <x:v>5</x:v>
      </x:c>
      <x:c r="N81" s="16" t="n">
        <x:v>5</x:v>
      </x:c>
      <x:c r="O81" s="16" t="n">
        <x:v>5</x:v>
      </x:c>
      <x:c r="P81" s="16" t="n">
        <x:f>IF(COUNT(I81:O81)&lt;7,"",I81*8+J81*3+K81*2+L81*2+M81*2+N81*2+O81)</x:f>
        <x:v>68</x:v>
      </x:c>
      <x:c r="Q81" s="16" t="n">
        <x:f>IF(COUNT(J81:O81)&lt;6,"",J81*5+K81*4+M81*4+L81*3+N81*2+O81*2)</x:f>
        <x:v>100</x:v>
      </x:c>
      <x:c r="R81" s="14" t="str">
        <x:v>high</x:v>
      </x:c>
      <x:c r="S81" s="14" t="str">
        <x:v>official_source_reverified</x:v>
      </x:c>
      <x:c r="T81" s="14" t="str">
        <x:v>official_source_reachable</x:v>
      </x:c>
      <x:c r="U81" s="14" t="str">
        <x:v>Новий — не контактували</x:v>
      </x:c>
      <x:c r="V81" s="15" t="str">
        <x:v>Discovery-call: отримати 1 реальний артефакт і вимоги проєкту; не обіцяти готове покриття</x:v>
      </x:c>
      <x:c r="W81" s="15" t="str">
        <x:v>Власник / директор; керівник проєктів; відповідальний за якість</x:v>
      </x:c>
      <x:c r="X81" s="15" t="str">
        <x:v>Проєктування, експертиза, лабораторні випробування й здача-приймання вогнезахисту.</x:v>
      </x:c>
      <x:c r="Y81" s="15" t="str">
        <x:v>Товщина покриття, підготовка поверхні, кабельні проходки й сертифіковані матеріали потребують доказів до закриття оздобленням.</x:v>
      </x:c>
      <x:c r="Z81" s="15" t="str">
        <x:v>https://kovlargroup.com/uk/services/services-uk/</x:v>
      </x:c>
      <x:c r="AA81" s="14" t="str"/>
      <x:c r="AB81" s="14" t="str">
        <x:v>2026-08-24</x:v>
      </x:c>
      <x:c r="AC81" s="14" t="str">
        <x:v>Олександр</x:v>
      </x:c>
      <x:c r="AD81" s="20" t="str"/>
      <x:c r="AE81" s="14" t="str"/>
      <x:c r="AF81" s="14" t="n">
        <x:v>0</x:v>
      </x:c>
      <x:c r="AG81" s="14" t="str">
        <x:v>—</x:v>
      </x:c>
      <x:c r="AH81" s="14" t="n">
        <x:v>0</x:v>
      </x:c>
      <x:c r="AI81" s="14" t="n">
        <x:v>0</x:v>
      </x:c>
      <x:c r="AJ81" s="18" t="n">
        <x:v>0</x:v>
      </x:c>
      <x:c r="AK81" s="14" t="str"/>
      <x:c r="AL81" s="19" t="str"/>
      <x:c r="AM81" s="19" t="str"/>
      <x:c r="AN81" s="15" t="str"/>
      <x:c r="AO81" s="15" t="str">
        <x:v>official_source_reverified</x:v>
      </x:c>
    </x:row>
    <x:row r="82">
      <x:c r="A82" s="14" t="str">
        <x:v>EXP-036</x:v>
      </x:c>
      <x:c r="B82" s="14" t="str">
        <x:v>Розширення ніш — 24.08</x:v>
      </x:c>
      <x:c r="C82" s="14" t="str">
        <x:v>Системи Вашої Безпеки</x:v>
      </x:c>
      <x:c r="D82" s="14" t="str">
        <x:v>Пасивний вогнезахист</x:v>
      </x:c>
      <x:c r="E82" s="14" t="str">
        <x:v>Expansion discovery</x:v>
      </x:c>
      <x:c r="F82" s="17" t="str">
        <x:f>IF(E82="Pilot now",IF(P82&gt;=84,"P1",IF(P82&gt;=72,"P2","P3")),IF(E82="Expansion discovery",IF(Q82&gt;=88,"D1",IF(Q82&gt;=78,"D2","D3")),IF(E82="Later / requirements","L","Legacy")))</x:f>
        <x:v>D1</x:v>
      </x:c>
      <x:c r="G82" s="14" t="str">
        <x:v>svb.com.ua</x:v>
      </x:c>
      <x:c r="H82" s="14" t="str">
        <x:v>Discovery — вимоги проєкту</x:v>
      </x:c>
      <x:c r="I82" s="16" t="n">
        <x:v>1</x:v>
      </x:c>
      <x:c r="J82" s="16" t="n">
        <x:v>5</x:v>
      </x:c>
      <x:c r="K82" s="16" t="n">
        <x:v>5</x:v>
      </x:c>
      <x:c r="L82" s="16" t="n">
        <x:v>4</x:v>
      </x:c>
      <x:c r="M82" s="16" t="n">
        <x:v>5</x:v>
      </x:c>
      <x:c r="N82" s="16" t="n">
        <x:v>5</x:v>
      </x:c>
      <x:c r="O82" s="16" t="n">
        <x:v>5</x:v>
      </x:c>
      <x:c r="P82" s="16" t="n">
        <x:f>IF(COUNT(I82:O82)&lt;7,"",I82*8+J82*3+K82*2+L82*2+M82*2+N82*2+O82)</x:f>
        <x:v>66</x:v>
      </x:c>
      <x:c r="Q82" s="16" t="n">
        <x:f>IF(COUNT(J82:O82)&lt;6,"",J82*5+K82*4+M82*4+L82*3+N82*2+O82*2)</x:f>
        <x:v>97</x:v>
      </x:c>
      <x:c r="R82" s="14" t="str">
        <x:v>high</x:v>
      </x:c>
      <x:c r="S82" s="14" t="str">
        <x:v>official_source_reverified</x:v>
      </x:c>
      <x:c r="T82" s="14" t="str">
        <x:v>official_source_reachable</x:v>
      </x:c>
      <x:c r="U82" s="14" t="str">
        <x:v>Новий — не контактували</x:v>
      </x:c>
      <x:c r="V82" s="15" t="str">
        <x:v>Discovery-call: отримати 1 реальний артефакт і вимоги проєкту; не обіцяти готове покриття</x:v>
      </x:c>
      <x:c r="W82" s="15" t="str">
        <x:v>Власник / директор; керівник проєктів; відповідальний за якість</x:v>
      </x:c>
      <x:c r="X82" s="15" t="str">
        <x:v>Обробка дерева, металу й кабельних проходок з актами для перевірок.</x:v>
      </x:c>
      <x:c r="Y82" s="15" t="str">
        <x:v>Товщина покриття, підготовка поверхні, кабельні проходки й сертифіковані матеріали потребують доказів до закриття оздобленням.</x:v>
      </x:c>
      <x:c r="Z82" s="15" t="str">
        <x:v>https://svb.com.ua/poslugi/vognezahisna-obrobka/</x:v>
      </x:c>
      <x:c r="AA82" s="14" t="str"/>
      <x:c r="AB82" s="14" t="str">
        <x:v>2026-08-24</x:v>
      </x:c>
      <x:c r="AC82" s="14" t="str">
        <x:v>Олександр</x:v>
      </x:c>
      <x:c r="AD82" s="20" t="str"/>
      <x:c r="AE82" s="14" t="str"/>
      <x:c r="AF82" s="14" t="n">
        <x:v>0</x:v>
      </x:c>
      <x:c r="AG82" s="14" t="str">
        <x:v>—</x:v>
      </x:c>
      <x:c r="AH82" s="14" t="n">
        <x:v>0</x:v>
      </x:c>
      <x:c r="AI82" s="14" t="n">
        <x:v>0</x:v>
      </x:c>
      <x:c r="AJ82" s="18" t="n">
        <x:v>0</x:v>
      </x:c>
      <x:c r="AK82" s="14" t="str"/>
      <x:c r="AL82" s="19" t="str"/>
      <x:c r="AM82" s="19" t="str"/>
      <x:c r="AN82" s="15" t="str"/>
      <x:c r="AO82" s="15" t="str">
        <x:v>official_source_reverified</x:v>
      </x:c>
    </x:row>
    <x:row r="83">
      <x:c r="A83" s="14" t="str">
        <x:v>EXP-040</x:v>
      </x:c>
      <x:c r="B83" s="14" t="str">
        <x:v>Розширення ніш — 24.08</x:v>
      </x:c>
      <x:c r="C83" s="14" t="str">
        <x:v>СПЕЦПОЖЗАХИСТ-УКРАЇНА</x:v>
      </x:c>
      <x:c r="D83" s="14" t="str">
        <x:v>Пасивний вогнезахист</x:v>
      </x:c>
      <x:c r="E83" s="14" t="str">
        <x:v>Expansion discovery</x:v>
      </x:c>
      <x:c r="F83" s="17" t="str">
        <x:f>IF(E83="Pilot now",IF(P83&gt;=84,"P1",IF(P83&gt;=72,"P2","P3")),IF(E83="Expansion discovery",IF(Q83&gt;=88,"D1",IF(Q83&gt;=78,"D2","D3")),IF(E83="Later / requirements","L","Legacy")))</x:f>
        <x:v>D1</x:v>
      </x:c>
      <x:c r="G83" s="14" t="str">
        <x:v>spz-bc.com.ua</x:v>
      </x:c>
      <x:c r="H83" s="14" t="str">
        <x:v>Discovery — вимоги проєкту</x:v>
      </x:c>
      <x:c r="I83" s="16" t="n">
        <x:v>1</x:v>
      </x:c>
      <x:c r="J83" s="16" t="n">
        <x:v>5</x:v>
      </x:c>
      <x:c r="K83" s="16" t="n">
        <x:v>5</x:v>
      </x:c>
      <x:c r="L83" s="16" t="n">
        <x:v>4</x:v>
      </x:c>
      <x:c r="M83" s="16" t="n">
        <x:v>5</x:v>
      </x:c>
      <x:c r="N83" s="16" t="n">
        <x:v>5</x:v>
      </x:c>
      <x:c r="O83" s="16" t="n">
        <x:v>5</x:v>
      </x:c>
      <x:c r="P83" s="16" t="n">
        <x:f>IF(COUNT(I83:O83)&lt;7,"",I83*8+J83*3+K83*2+L83*2+M83*2+N83*2+O83)</x:f>
        <x:v>66</x:v>
      </x:c>
      <x:c r="Q83" s="16" t="n">
        <x:f>IF(COUNT(J83:O83)&lt;6,"",J83*5+K83*4+M83*4+L83*3+N83*2+O83*2)</x:f>
        <x:v>97</x:v>
      </x:c>
      <x:c r="R83" s="14" t="str">
        <x:v>high</x:v>
      </x:c>
      <x:c r="S83" s="14" t="str">
        <x:v>official_source_reverified</x:v>
      </x:c>
      <x:c r="T83" s="14" t="str">
        <x:v>official_source_reachable</x:v>
      </x:c>
      <x:c r="U83" s="14" t="str">
        <x:v>Новий — не контактували</x:v>
      </x:c>
      <x:c r="V83" s="15" t="str">
        <x:v>Discovery-call: отримати 1 реальний артефакт і вимоги проєкту; не обіцяти готове покриття</x:v>
      </x:c>
      <x:c r="W83" s="15" t="str">
        <x:v>Власник / директор; керівник проєктів; відповідальний за якість</x:v>
      </x:c>
      <x:c r="X83" s="15" t="str">
        <x:v>Проєктування й монтаж під ключ у пожежній та техногенній безпеці.</x:v>
      </x:c>
      <x:c r="Y83" s="15" t="str">
        <x:v>Товщина покриття, підготовка поверхні, кабельні проходки й сертифіковані матеріали потребують доказів до закриття оздобленням.</x:v>
      </x:c>
      <x:c r="Z83" s="15" t="str">
        <x:v>https://www.spz-bc.com.ua/</x:v>
      </x:c>
      <x:c r="AA83" s="14" t="str"/>
      <x:c r="AB83" s="14" t="str">
        <x:v>2026-08-24</x:v>
      </x:c>
      <x:c r="AC83" s="14" t="str">
        <x:v>Олександр</x:v>
      </x:c>
      <x:c r="AD83" s="20" t="str"/>
      <x:c r="AE83" s="14" t="str"/>
      <x:c r="AF83" s="14" t="n">
        <x:v>0</x:v>
      </x:c>
      <x:c r="AG83" s="14" t="str">
        <x:v>—</x:v>
      </x:c>
      <x:c r="AH83" s="14" t="n">
        <x:v>0</x:v>
      </x:c>
      <x:c r="AI83" s="14" t="n">
        <x:v>0</x:v>
      </x:c>
      <x:c r="AJ83" s="18" t="n">
        <x:v>0</x:v>
      </x:c>
      <x:c r="AK83" s="14" t="str"/>
      <x:c r="AL83" s="19" t="str"/>
      <x:c r="AM83" s="19" t="str"/>
      <x:c r="AN83" s="15" t="str"/>
      <x:c r="AO83" s="15" t="str">
        <x:v>official_source_reverified</x:v>
      </x:c>
    </x:row>
    <x:row r="84">
      <x:c r="A84" s="14" t="str">
        <x:v>EXP-039</x:v>
      </x:c>
      <x:c r="B84" s="14" t="str">
        <x:v>Розширення ніш — 24.08</x:v>
      </x:c>
      <x:c r="C84" s="14" t="str">
        <x:v>Український центр технічної безпеки</x:v>
      </x:c>
      <x:c r="D84" s="14" t="str">
        <x:v>Пасивний вогнезахист</x:v>
      </x:c>
      <x:c r="E84" s="14" t="str">
        <x:v>Expansion discovery</x:v>
      </x:c>
      <x:c r="F84" s="17" t="str">
        <x:f>IF(E84="Pilot now",IF(P84&gt;=84,"P1",IF(P84&gt;=72,"P2","P3")),IF(E84="Expansion discovery",IF(Q84&gt;=88,"D1",IF(Q84&gt;=78,"D2","D3")),IF(E84="Later / requirements","L","Legacy")))</x:f>
        <x:v>D1</x:v>
      </x:c>
      <x:c r="G84" s="14" t="str">
        <x:v>uctb.ua</x:v>
      </x:c>
      <x:c r="H84" s="14" t="str">
        <x:v>Discovery — вимоги проєкту</x:v>
      </x:c>
      <x:c r="I84" s="16" t="n">
        <x:v>1</x:v>
      </x:c>
      <x:c r="J84" s="16" t="n">
        <x:v>5</x:v>
      </x:c>
      <x:c r="K84" s="16" t="n">
        <x:v>5</x:v>
      </x:c>
      <x:c r="L84" s="16" t="n">
        <x:v>4</x:v>
      </x:c>
      <x:c r="M84" s="16" t="n">
        <x:v>5</x:v>
      </x:c>
      <x:c r="N84" s="16" t="n">
        <x:v>5</x:v>
      </x:c>
      <x:c r="O84" s="16" t="n">
        <x:v>5</x:v>
      </x:c>
      <x:c r="P84" s="16" t="n">
        <x:f>IF(COUNT(I84:O84)&lt;7,"",I84*8+J84*3+K84*2+L84*2+M84*2+N84*2+O84)</x:f>
        <x:v>66</x:v>
      </x:c>
      <x:c r="Q84" s="16" t="n">
        <x:f>IF(COUNT(J84:O84)&lt;6,"",J84*5+K84*4+M84*4+L84*3+N84*2+O84*2)</x:f>
        <x:v>97</x:v>
      </x:c>
      <x:c r="R84" s="14" t="str">
        <x:v>high</x:v>
      </x:c>
      <x:c r="S84" s="14" t="str">
        <x:v>official_source_reverified</x:v>
      </x:c>
      <x:c r="T84" s="14" t="str">
        <x:v>official_source_reachable</x:v>
      </x:c>
      <x:c r="U84" s="14" t="str">
        <x:v>Новий — не контактували</x:v>
      </x:c>
      <x:c r="V84" s="15" t="str">
        <x:v>Discovery-call: отримати 1 реальний артефакт і вимоги проєкту; не обіцяти готове покриття</x:v>
      </x:c>
      <x:c r="W84" s="15" t="str">
        <x:v>Власник / директор; керівник проєктів; відповідальний за якість</x:v>
      </x:c>
      <x:c r="X84" s="15" t="str">
        <x:v>Проєктування, монтаж і пусконалагодження протипожежних систем та вогнезахисної обробки.</x:v>
      </x:c>
      <x:c r="Y84" s="15" t="str">
        <x:v>Товщина покриття, підготовка поверхні, кабельні проходки й сертифіковані матеріали потребують доказів до закриття оздобленням.</x:v>
      </x:c>
      <x:c r="Z84" s="15" t="str">
        <x:v>http://uctb.ua/</x:v>
      </x:c>
      <x:c r="AA84" s="14" t="str"/>
      <x:c r="AB84" s="14" t="str">
        <x:v>2026-08-24</x:v>
      </x:c>
      <x:c r="AC84" s="14" t="str">
        <x:v>Олександр</x:v>
      </x:c>
      <x:c r="AD84" s="20" t="str"/>
      <x:c r="AE84" s="14" t="str"/>
      <x:c r="AF84" s="14" t="n">
        <x:v>0</x:v>
      </x:c>
      <x:c r="AG84" s="14" t="str">
        <x:v>—</x:v>
      </x:c>
      <x:c r="AH84" s="14" t="n">
        <x:v>0</x:v>
      </x:c>
      <x:c r="AI84" s="14" t="n">
        <x:v>0</x:v>
      </x:c>
      <x:c r="AJ84" s="18" t="n">
        <x:v>0</x:v>
      </x:c>
      <x:c r="AK84" s="14" t="str"/>
      <x:c r="AL84" s="19" t="str"/>
      <x:c r="AM84" s="19" t="str"/>
      <x:c r="AN84" s="15" t="str"/>
      <x:c r="AO84" s="15" t="str">
        <x:v>official_source_reverified</x:v>
      </x:c>
    </x:row>
    <x:row r="85">
      <x:c r="A85" s="14" t="str">
        <x:v>EXP-035</x:v>
      </x:c>
      <x:c r="B85" s="14" t="str">
        <x:v>Розширення ніш — 24.08</x:v>
      </x:c>
      <x:c r="C85" s="14" t="str">
        <x:v>DEFENS</x:v>
      </x:c>
      <x:c r="D85" s="14" t="str">
        <x:v>Пасивний вогнезахист</x:v>
      </x:c>
      <x:c r="E85" s="14" t="str">
        <x:v>Expansion discovery</x:v>
      </x:c>
      <x:c r="F85" s="17" t="str">
        <x:f>IF(E85="Pilot now",IF(P85&gt;=84,"P1",IF(P85&gt;=72,"P2","P3")),IF(E85="Expansion discovery",IF(Q85&gt;=88,"D1",IF(Q85&gt;=78,"D2","D3")),IF(E85="Later / requirements","L","Legacy")))</x:f>
        <x:v>D1</x:v>
      </x:c>
      <x:c r="G85" s="14" t="str">
        <x:v>defens.ua</x:v>
      </x:c>
      <x:c r="H85" s="14" t="str">
        <x:v>Discovery — вимоги проєкту</x:v>
      </x:c>
      <x:c r="I85" s="16" t="n">
        <x:v>1</x:v>
      </x:c>
      <x:c r="J85" s="16" t="n">
        <x:v>5</x:v>
      </x:c>
      <x:c r="K85" s="16" t="n">
        <x:v>5</x:v>
      </x:c>
      <x:c r="L85" s="16" t="n">
        <x:v>4</x:v>
      </x:c>
      <x:c r="M85" s="16" t="n">
        <x:v>5</x:v>
      </x:c>
      <x:c r="N85" s="16" t="n">
        <x:v>5</x:v>
      </x:c>
      <x:c r="O85" s="16" t="n">
        <x:v>5</x:v>
      </x:c>
      <x:c r="P85" s="16" t="n">
        <x:f>IF(COUNT(I85:O85)&lt;7,"",I85*8+J85*3+K85*2+L85*2+M85*2+N85*2+O85)</x:f>
        <x:v>66</x:v>
      </x:c>
      <x:c r="Q85" s="16" t="n">
        <x:f>IF(COUNT(J85:O85)&lt;6,"",J85*5+K85*4+M85*4+L85*3+N85*2+O85*2)</x:f>
        <x:v>97</x:v>
      </x:c>
      <x:c r="R85" s="14" t="str">
        <x:v>high</x:v>
      </x:c>
      <x:c r="S85" s="14" t="str">
        <x:v>official_source_reverified</x:v>
      </x:c>
      <x:c r="T85" s="14" t="str">
        <x:v>official_source_reachable</x:v>
      </x:c>
      <x:c r="U85" s="14" t="str">
        <x:v>Новий — не контактували</x:v>
      </x:c>
      <x:c r="V85" s="15" t="str">
        <x:v>Discovery-call: отримати 1 реальний артефакт і вимоги проєкту; не обіцяти готове покриття</x:v>
      </x:c>
      <x:c r="W85" s="15" t="str">
        <x:v>Власник / директор; керівник проєктів; відповідальний за якість</x:v>
      </x:c>
      <x:c r="X85" s="15" t="str">
        <x:v>Власне виробництво та нанесення вогнезахисних покриттів на металоконструкції.</x:v>
      </x:c>
      <x:c r="Y85" s="15" t="str">
        <x:v>Товщина покриття, підготовка поверхні, кабельні проходки й сертифіковані матеріали потребують доказів до закриття оздобленням.</x:v>
      </x:c>
      <x:c r="Z85" s="15" t="str">
        <x:v>https://www.defens.ua/</x:v>
      </x:c>
      <x:c r="AA85" s="14" t="str"/>
      <x:c r="AB85" s="14" t="str">
        <x:v>2026-08-24</x:v>
      </x:c>
      <x:c r="AC85" s="14" t="str">
        <x:v>Олександр</x:v>
      </x:c>
      <x:c r="AD85" s="20" t="str"/>
      <x:c r="AE85" s="14" t="str"/>
      <x:c r="AF85" s="14" t="n">
        <x:v>0</x:v>
      </x:c>
      <x:c r="AG85" s="14" t="str">
        <x:v>—</x:v>
      </x:c>
      <x:c r="AH85" s="14" t="n">
        <x:v>0</x:v>
      </x:c>
      <x:c r="AI85" s="14" t="n">
        <x:v>0</x:v>
      </x:c>
      <x:c r="AJ85" s="18" t="n">
        <x:v>0</x:v>
      </x:c>
      <x:c r="AK85" s="14" t="str"/>
      <x:c r="AL85" s="19" t="str"/>
      <x:c r="AM85" s="19" t="str"/>
      <x:c r="AN85" s="15" t="str"/>
      <x:c r="AO85" s="15" t="str">
        <x:v>official_source_reverified</x:v>
      </x:c>
    </x:row>
    <x:row r="86">
      <x:c r="A86" s="14" t="str">
        <x:v>EXP-041</x:v>
      </x:c>
      <x:c r="B86" s="14" t="str">
        <x:v>Розширення ніш — 24.08</x:v>
      </x:c>
      <x:c r="C86" s="14" t="str">
        <x:v>ORION GROUP</x:v>
      </x:c>
      <x:c r="D86" s="14" t="str">
        <x:v>Промислова теплоізоляція</x:v>
      </x:c>
      <x:c r="E86" s="14" t="str">
        <x:v>Expansion discovery</x:v>
      </x:c>
      <x:c r="F86" s="17" t="str">
        <x:f>IF(E86="Pilot now",IF(P86&gt;=84,"P1",IF(P86&gt;=72,"P2","P3")),IF(E86="Expansion discovery",IF(Q86&gt;=88,"D1",IF(Q86&gt;=78,"D2","D3")),IF(E86="Later / requirements","L","Legacy")))</x:f>
        <x:v>D1</x:v>
      </x:c>
      <x:c r="G86" s="14" t="str">
        <x:v>oriongr.com</x:v>
      </x:c>
      <x:c r="H86" s="14" t="str">
        <x:v>Discovery — вимоги проєкту</x:v>
      </x:c>
      <x:c r="I86" s="16" t="n">
        <x:v>1</x:v>
      </x:c>
      <x:c r="J86" s="16" t="n">
        <x:v>5</x:v>
      </x:c>
      <x:c r="K86" s="16" t="n">
        <x:v>5</x:v>
      </x:c>
      <x:c r="L86" s="16" t="n">
        <x:v>5</x:v>
      </x:c>
      <x:c r="M86" s="16" t="n">
        <x:v>4</x:v>
      </x:c>
      <x:c r="N86" s="16" t="n">
        <x:v>5</x:v>
      </x:c>
      <x:c r="O86" s="16" t="n">
        <x:v>5</x:v>
      </x:c>
      <x:c r="P86" s="16" t="n">
        <x:f>IF(COUNT(I86:O86)&lt;7,"",I86*8+J86*3+K86*2+L86*2+M86*2+N86*2+O86)</x:f>
        <x:v>66</x:v>
      </x:c>
      <x:c r="Q86" s="16" t="n">
        <x:f>IF(COUNT(J86:O86)&lt;6,"",J86*5+K86*4+M86*4+L86*3+N86*2+O86*2)</x:f>
        <x:v>96</x:v>
      </x:c>
      <x:c r="R86" s="14" t="str">
        <x:v>high</x:v>
      </x:c>
      <x:c r="S86" s="14" t="str">
        <x:v>official_source_reverified</x:v>
      </x:c>
      <x:c r="T86" s="14" t="str">
        <x:v>official_source_reachable</x:v>
      </x:c>
      <x:c r="U86" s="14" t="str">
        <x:v>Новий — не контактували</x:v>
      </x:c>
      <x:c r="V86" s="15" t="str">
        <x:v>Discovery-call: отримати 1 реальний артефакт і вимоги проєкту; не обіцяти готове покриття</x:v>
      </x:c>
      <x:c r="W86" s="15" t="str">
        <x:v>Директор; головний інженер; керівник промислового монтажу</x:v>
      </x:c>
      <x:c r="X86" s="15" t="str">
        <x:v>30+ років; ізоляція трубопроводів і ємностей у pharma, food, chemical та energy.</x:v>
      </x:c>
      <x:c r="Y86" s="15" t="str">
        <x:v>Стан трубопроводу, товщина й суцільність ізоляції закриваються металевим кожухом; важливі фото по етапах.</x:v>
      </x:c>
      <x:c r="Z86" s="15" t="str">
        <x:v>https://oriongr.com/montazhni-roboty/izoliatsijni-roboty/</x:v>
      </x:c>
      <x:c r="AA86" s="14" t="str"/>
      <x:c r="AB86" s="14" t="str">
        <x:v>2026-08-24</x:v>
      </x:c>
      <x:c r="AC86" s="14" t="str">
        <x:v>Олександр</x:v>
      </x:c>
      <x:c r="AD86" s="20" t="str"/>
      <x:c r="AE86" s="14" t="str"/>
      <x:c r="AF86" s="14" t="n">
        <x:v>0</x:v>
      </x:c>
      <x:c r="AG86" s="14" t="str">
        <x:v>—</x:v>
      </x:c>
      <x:c r="AH86" s="14" t="n">
        <x:v>0</x:v>
      </x:c>
      <x:c r="AI86" s="14" t="n">
        <x:v>0</x:v>
      </x:c>
      <x:c r="AJ86" s="18" t="n">
        <x:v>0</x:v>
      </x:c>
      <x:c r="AK86" s="14" t="str"/>
      <x:c r="AL86" s="19" t="str"/>
      <x:c r="AM86" s="19" t="str"/>
      <x:c r="AN86" s="15" t="str"/>
      <x:c r="AO86" s="15" t="str">
        <x:v>official_source_reverified</x:v>
      </x:c>
    </x:row>
    <x:row r="87">
      <x:c r="A87" s="14" t="str">
        <x:v>EXP-056</x:v>
      </x:c>
      <x:c r="B87" s="14" t="str">
        <x:v>Розширення ніш — 24.08</x:v>
      </x:c>
      <x:c r="C87" s="14" t="str">
        <x:v>ЄВРОЛІФТ</x:v>
      </x:c>
      <x:c r="D87" s="14" t="str">
        <x:v>Ліфти, ескалатори та підйомники</x:v>
      </x:c>
      <x:c r="E87" s="14" t="str">
        <x:v>Expansion discovery</x:v>
      </x:c>
      <x:c r="F87" s="17" t="str">
        <x:f>IF(E87="Pilot now",IF(P87&gt;=84,"P1",IF(P87&gt;=72,"P2","P3")),IF(E87="Expansion discovery",IF(Q87&gt;=88,"D1",IF(Q87&gt;=78,"D2","D3")),IF(E87="Later / requirements","L","Legacy")))</x:f>
        <x:v>D1</x:v>
      </x:c>
      <x:c r="G87" s="14" t="str">
        <x:v>eurolift.com.ua</x:v>
      </x:c>
      <x:c r="H87" s="14" t="str">
        <x:v>Discovery — вимоги проєкту</x:v>
      </x:c>
      <x:c r="I87" s="16" t="n">
        <x:v>1</x:v>
      </x:c>
      <x:c r="J87" s="16" t="n">
        <x:v>4</x:v>
      </x:c>
      <x:c r="K87" s="16" t="n">
        <x:v>4</x:v>
      </x:c>
      <x:c r="L87" s="16" t="n">
        <x:v>5</x:v>
      </x:c>
      <x:c r="M87" s="16" t="n">
        <x:v>5</x:v>
      </x:c>
      <x:c r="N87" s="16" t="n">
        <x:v>5</x:v>
      </x:c>
      <x:c r="O87" s="16" t="n">
        <x:v>5</x:v>
      </x:c>
      <x:c r="P87" s="16" t="n">
        <x:f>IF(COUNT(I87:O87)&lt;7,"",I87*8+J87*3+K87*2+L87*2+M87*2+N87*2+O87)</x:f>
        <x:v>63</x:v>
      </x:c>
      <x:c r="Q87" s="16" t="n">
        <x:f>IF(COUNT(J87:O87)&lt;6,"",J87*5+K87*4+M87*4+L87*3+N87*2+O87*2)</x:f>
        <x:v>91</x:v>
      </x:c>
      <x:c r="R87" s="14" t="str">
        <x:v>high</x:v>
      </x:c>
      <x:c r="S87" s="14" t="str">
        <x:v>official_source_reverified</x:v>
      </x:c>
      <x:c r="T87" s="14" t="str">
        <x:v>official_source_reachable</x:v>
      </x:c>
      <x:c r="U87" s="14" t="str">
        <x:v>Новий — не контактували</x:v>
      </x:c>
      <x:c r="V87" s="15" t="str">
        <x:v>Discovery-call: отримати 1 реальний артефакт і вимоги проєкту; не обіцяти готове покриття</x:v>
      </x:c>
      <x:c r="W87" s="15" t="str">
        <x:v>Директор; керівник монтажу; відповідальний за введення в експлуатацію</x:v>
      </x:c>
      <x:c r="X87" s="15" t="str">
        <x:v>Поставка, монтаж і гарантійна підтримка ліфтів, ескалаторів та підйомників; велике портфоліо.</x:v>
      </x:c>
      <x:c r="Y87" s="15" t="str">
        <x:v>Закладні, напрямні, електрика, випробування й постановка на облік мають поетапну приймальну документацію.</x:v>
      </x:c>
      <x:c r="Z87" s="15" t="str">
        <x:v>https://www.eurolift.com.ua/</x:v>
      </x:c>
      <x:c r="AA87" s="14" t="str"/>
      <x:c r="AB87" s="14" t="str">
        <x:v>2026-08-24</x:v>
      </x:c>
      <x:c r="AC87" s="14" t="str">
        <x:v>Олександр</x:v>
      </x:c>
      <x:c r="AD87" s="20" t="str"/>
      <x:c r="AE87" s="14" t="str"/>
      <x:c r="AF87" s="14" t="n">
        <x:v>0</x:v>
      </x:c>
      <x:c r="AG87" s="14" t="str">
        <x:v>—</x:v>
      </x:c>
      <x:c r="AH87" s="14" t="n">
        <x:v>0</x:v>
      </x:c>
      <x:c r="AI87" s="14" t="n">
        <x:v>0</x:v>
      </x:c>
      <x:c r="AJ87" s="18" t="n">
        <x:v>0</x:v>
      </x:c>
      <x:c r="AK87" s="14" t="str"/>
      <x:c r="AL87" s="19" t="str"/>
      <x:c r="AM87" s="19" t="str"/>
      <x:c r="AN87" s="15" t="str"/>
      <x:c r="AO87" s="15" t="str">
        <x:v>official_source_reverified</x:v>
      </x:c>
    </x:row>
    <x:row r="88">
      <x:c r="A88" s="14" t="str">
        <x:v>EXP-057</x:v>
      </x:c>
      <x:c r="B88" s="14" t="str">
        <x:v>Розширення ніш — 24.08</x:v>
      </x:c>
      <x:c r="C88" s="14" t="str">
        <x:v>LSK</x:v>
      </x:c>
      <x:c r="D88" s="14" t="str">
        <x:v>Ліфти, ескалатори та підйомники</x:v>
      </x:c>
      <x:c r="E88" s="14" t="str">
        <x:v>Expansion discovery</x:v>
      </x:c>
      <x:c r="F88" s="17" t="str">
        <x:f>IF(E88="Pilot now",IF(P88&gt;=84,"P1",IF(P88&gt;=72,"P2","P3")),IF(E88="Expansion discovery",IF(Q88&gt;=88,"D1",IF(Q88&gt;=78,"D2","D3")),IF(E88="Later / requirements","L","Legacy")))</x:f>
        <x:v>D1</x:v>
      </x:c>
      <x:c r="G88" s="14" t="str">
        <x:v>lsk.com.ua</x:v>
      </x:c>
      <x:c r="H88" s="14" t="str">
        <x:v>Discovery — вимоги проєкту</x:v>
      </x:c>
      <x:c r="I88" s="16" t="n">
        <x:v>1</x:v>
      </x:c>
      <x:c r="J88" s="16" t="n">
        <x:v>4</x:v>
      </x:c>
      <x:c r="K88" s="16" t="n">
        <x:v>4</x:v>
      </x:c>
      <x:c r="L88" s="16" t="n">
        <x:v>5</x:v>
      </x:c>
      <x:c r="M88" s="16" t="n">
        <x:v>5</x:v>
      </x:c>
      <x:c r="N88" s="16" t="n">
        <x:v>5</x:v>
      </x:c>
      <x:c r="O88" s="16" t="n">
        <x:v>5</x:v>
      </x:c>
      <x:c r="P88" s="16" t="n">
        <x:f>IF(COUNT(I88:O88)&lt;7,"",I88*8+J88*3+K88*2+L88*2+M88*2+N88*2+O88)</x:f>
        <x:v>63</x:v>
      </x:c>
      <x:c r="Q88" s="16" t="n">
        <x:f>IF(COUNT(J88:O88)&lt;6,"",J88*5+K88*4+M88*4+L88*3+N88*2+O88*2)</x:f>
        <x:v>91</x:v>
      </x:c>
      <x:c r="R88" s="14" t="str">
        <x:v>high</x:v>
      </x:c>
      <x:c r="S88" s="14" t="str">
        <x:v>official_source_reverified</x:v>
      </x:c>
      <x:c r="T88" s="14" t="str">
        <x:v>official_source_reachable</x:v>
      </x:c>
      <x:c r="U88" s="14" t="str">
        <x:v>Новий — не контактували</x:v>
      </x:c>
      <x:c r="V88" s="15" t="str">
        <x:v>Discovery-call: отримати 1 реальний артефакт і вимоги проєкту; не обіцяти готове покриття</x:v>
      </x:c>
      <x:c r="W88" s="15" t="str">
        <x:v>Директор; керівник монтажу; відповідальний за введення в експлуатацію</x:v>
      </x:c>
      <x:c r="X88" s="15" t="str">
        <x:v>20 років, 1000+ об’єктів; від проєкту й монтажу до постановки на облік.</x:v>
      </x:c>
      <x:c r="Y88" s="15" t="str">
        <x:v>Закладні, напрямні, електрика, випробування й постановка на облік мають поетапну приймальну документацію.</x:v>
      </x:c>
      <x:c r="Z88" s="15" t="str">
        <x:v>https://lsk.com.ua/</x:v>
      </x:c>
      <x:c r="AA88" s="14" t="str"/>
      <x:c r="AB88" s="14" t="str">
        <x:v>2026-08-24</x:v>
      </x:c>
      <x:c r="AC88" s="14" t="str">
        <x:v>Олександр</x:v>
      </x:c>
      <x:c r="AD88" s="20" t="str"/>
      <x:c r="AE88" s="14" t="str"/>
      <x:c r="AF88" s="14" t="n">
        <x:v>0</x:v>
      </x:c>
      <x:c r="AG88" s="14" t="str">
        <x:v>—</x:v>
      </x:c>
      <x:c r="AH88" s="14" t="n">
        <x:v>0</x:v>
      </x:c>
      <x:c r="AI88" s="14" t="n">
        <x:v>0</x:v>
      </x:c>
      <x:c r="AJ88" s="18" t="n">
        <x:v>0</x:v>
      </x:c>
      <x:c r="AK88" s="14" t="str"/>
      <x:c r="AL88" s="19" t="str"/>
      <x:c r="AM88" s="19" t="str"/>
      <x:c r="AN88" s="15" t="str"/>
      <x:c r="AO88" s="15" t="str">
        <x:v>official_source_reverified</x:v>
      </x:c>
    </x:row>
    <x:row r="89">
      <x:c r="A89" s="14" t="str">
        <x:v>EXP-042</x:v>
      </x:c>
      <x:c r="B89" s="14" t="str">
        <x:v>Розширення ніш — 24.08</x:v>
      </x:c>
      <x:c r="C89" s="14" t="str">
        <x:v>ІНКРАФТ</x:v>
      </x:c>
      <x:c r="D89" s="14" t="str">
        <x:v>Промислова теплоізоляція</x:v>
      </x:c>
      <x:c r="E89" s="14" t="str">
        <x:v>Expansion discovery</x:v>
      </x:c>
      <x:c r="F89" s="17" t="str">
        <x:f>IF(E89="Pilot now",IF(P89&gt;=84,"P1",IF(P89&gt;=72,"P2","P3")),IF(E89="Expansion discovery",IF(Q89&gt;=88,"D1",IF(Q89&gt;=78,"D2","D3")),IF(E89="Later / requirements","L","Legacy")))</x:f>
        <x:v>D1</x:v>
      </x:c>
      <x:c r="G89" s="14" t="str">
        <x:v>inkraft.com.ua</x:v>
      </x:c>
      <x:c r="H89" s="14" t="str">
        <x:v>Discovery — вимоги проєкту</x:v>
      </x:c>
      <x:c r="I89" s="16" t="n">
        <x:v>1</x:v>
      </x:c>
      <x:c r="J89" s="16" t="n">
        <x:v>5</x:v>
      </x:c>
      <x:c r="K89" s="16" t="n">
        <x:v>5</x:v>
      </x:c>
      <x:c r="L89" s="16" t="n">
        <x:v>3</x:v>
      </x:c>
      <x:c r="M89" s="16" t="n">
        <x:v>4</x:v>
      </x:c>
      <x:c r="N89" s="16" t="n">
        <x:v>5</x:v>
      </x:c>
      <x:c r="O89" s="16" t="n">
        <x:v>5</x:v>
      </x:c>
      <x:c r="P89" s="16" t="n">
        <x:f>IF(COUNT(I89:O89)&lt;7,"",I89*8+J89*3+K89*2+L89*2+M89*2+N89*2+O89)</x:f>
        <x:v>62</x:v>
      </x:c>
      <x:c r="Q89" s="16" t="n">
        <x:f>IF(COUNT(J89:O89)&lt;6,"",J89*5+K89*4+M89*4+L89*3+N89*2+O89*2)</x:f>
        <x:v>90</x:v>
      </x:c>
      <x:c r="R89" s="14" t="str">
        <x:v>high</x:v>
      </x:c>
      <x:c r="S89" s="14" t="str">
        <x:v>official_source_reverified</x:v>
      </x:c>
      <x:c r="T89" s="14" t="str">
        <x:v>official_source_reachable</x:v>
      </x:c>
      <x:c r="U89" s="14" t="str">
        <x:v>Новий — не контактували</x:v>
      </x:c>
      <x:c r="V89" s="15" t="str">
        <x:v>Discovery-call: отримати 1 реальний артефакт і вимоги проєкту; не обіцяти готове покриття</x:v>
      </x:c>
      <x:c r="W89" s="15" t="str">
        <x:v>Директор; головний інженер; керівник промислового монтажу</x:v>
      </x:c>
      <x:c r="X89" s="15" t="str">
        <x:v>Монтаж ізоляції трубопроводів, резервуарів, вентиляції та кріогенних систем.</x:v>
      </x:c>
      <x:c r="Y89" s="15" t="str">
        <x:v>Стан трубопроводу, товщина й суцільність ізоляції закриваються металевим кожухом; важливі фото по етапах.</x:v>
      </x:c>
      <x:c r="Z89" s="15" t="str">
        <x:v>https://inkraft.com.ua/ua/g2706778-izolyatsiionnye-uslugi</x:v>
      </x:c>
      <x:c r="AA89" s="14" t="str"/>
      <x:c r="AB89" s="14" t="str">
        <x:v>2026-08-24</x:v>
      </x:c>
      <x:c r="AC89" s="14" t="str">
        <x:v>Олександр</x:v>
      </x:c>
      <x:c r="AD89" s="20" t="str"/>
      <x:c r="AE89" s="14" t="str"/>
      <x:c r="AF89" s="14" t="n">
        <x:v>0</x:v>
      </x:c>
      <x:c r="AG89" s="14" t="str">
        <x:v>—</x:v>
      </x:c>
      <x:c r="AH89" s="14" t="n">
        <x:v>0</x:v>
      </x:c>
      <x:c r="AI89" s="14" t="n">
        <x:v>0</x:v>
      </x:c>
      <x:c r="AJ89" s="18" t="n">
        <x:v>0</x:v>
      </x:c>
      <x:c r="AK89" s="14" t="str"/>
      <x:c r="AL89" s="19" t="str"/>
      <x:c r="AM89" s="19" t="str"/>
      <x:c r="AN89" s="15" t="str"/>
      <x:c r="AO89" s="15" t="str">
        <x:v>official_source_reverified</x:v>
      </x:c>
    </x:row>
    <x:row r="90">
      <x:c r="A90" s="14" t="str">
        <x:v>EXP-058</x:v>
      </x:c>
      <x:c r="B90" s="14" t="str">
        <x:v>Розширення ніш — 24.08</x:v>
      </x:c>
      <x:c r="C90" s="14" t="str">
        <x:v>СІТІ ЛІФТ</x:v>
      </x:c>
      <x:c r="D90" s="14" t="str">
        <x:v>Ліфти, ескалатори та підйомники</x:v>
      </x:c>
      <x:c r="E90" s="14" t="str">
        <x:v>Expansion discovery</x:v>
      </x:c>
      <x:c r="F90" s="17" t="str">
        <x:f>IF(E90="Pilot now",IF(P90&gt;=84,"P1",IF(P90&gt;=72,"P2","P3")),IF(E90="Expansion discovery",IF(Q90&gt;=88,"D1",IF(Q90&gt;=78,"D2","D3")),IF(E90="Later / requirements","L","Legacy")))</x:f>
        <x:v>D1</x:v>
      </x:c>
      <x:c r="G90" s="14" t="str">
        <x:v>citylift.com.ua</x:v>
      </x:c>
      <x:c r="H90" s="14" t="str">
        <x:v>Discovery — вимоги проєкту</x:v>
      </x:c>
      <x:c r="I90" s="16" t="n">
        <x:v>1</x:v>
      </x:c>
      <x:c r="J90" s="16" t="n">
        <x:v>4</x:v>
      </x:c>
      <x:c r="K90" s="16" t="n">
        <x:v>4</x:v>
      </x:c>
      <x:c r="L90" s="16" t="n">
        <x:v>4</x:v>
      </x:c>
      <x:c r="M90" s="16" t="n">
        <x:v>5</x:v>
      </x:c>
      <x:c r="N90" s="16" t="n">
        <x:v>5</x:v>
      </x:c>
      <x:c r="O90" s="16" t="n">
        <x:v>5</x:v>
      </x:c>
      <x:c r="P90" s="16" t="n">
        <x:f>IF(COUNT(I90:O90)&lt;7,"",I90*8+J90*3+K90*2+L90*2+M90*2+N90*2+O90)</x:f>
        <x:v>61</x:v>
      </x:c>
      <x:c r="Q90" s="16" t="n">
        <x:f>IF(COUNT(J90:O90)&lt;6,"",J90*5+K90*4+M90*4+L90*3+N90*2+O90*2)</x:f>
        <x:v>88</x:v>
      </x:c>
      <x:c r="R90" s="14" t="str">
        <x:v>high</x:v>
      </x:c>
      <x:c r="S90" s="14" t="str">
        <x:v>official_source_reverified</x:v>
      </x:c>
      <x:c r="T90" s="14" t="str">
        <x:v>official_source_reachable</x:v>
      </x:c>
      <x:c r="U90" s="14" t="str">
        <x:v>Новий — не контактували</x:v>
      </x:c>
      <x:c r="V90" s="15" t="str">
        <x:v>Discovery-call: отримати 1 реальний артефакт і вимоги проєкту; не обіцяти готове покриття</x:v>
      </x:c>
      <x:c r="W90" s="15" t="str">
        <x:v>Директор; керівник монтажу; відповідальний за введення в експлуатацію</x:v>
      </x:c>
      <x:c r="X90" s="15" t="str">
        <x:v>Проєктування, монтаж і здача під ключ за ДБН по всій Україні.</x:v>
      </x:c>
      <x:c r="Y90" s="15" t="str">
        <x:v>Закладні, напрямні, електрика, випробування й постановка на облік мають поетапну приймальну документацію.</x:v>
      </x:c>
      <x:c r="Z90" s="15" t="str">
        <x:v>https://citylift.com.ua/</x:v>
      </x:c>
      <x:c r="AA90" s="14" t="str"/>
      <x:c r="AB90" s="14" t="str">
        <x:v>2026-08-24</x:v>
      </x:c>
      <x:c r="AC90" s="14" t="str">
        <x:v>Олександр</x:v>
      </x:c>
      <x:c r="AD90" s="20" t="str"/>
      <x:c r="AE90" s="14" t="str"/>
      <x:c r="AF90" s="14" t="n">
        <x:v>0</x:v>
      </x:c>
      <x:c r="AG90" s="14" t="str">
        <x:v>—</x:v>
      </x:c>
      <x:c r="AH90" s="14" t="n">
        <x:v>0</x:v>
      </x:c>
      <x:c r="AI90" s="14" t="n">
        <x:v>0</x:v>
      </x:c>
      <x:c r="AJ90" s="18" t="n">
        <x:v>0</x:v>
      </x:c>
      <x:c r="AK90" s="14" t="str"/>
      <x:c r="AL90" s="19" t="str"/>
      <x:c r="AM90" s="19" t="str"/>
      <x:c r="AN90" s="15" t="str"/>
      <x:c r="AO90" s="15" t="str">
        <x:v>official_source_reverified</x:v>
      </x:c>
    </x:row>
    <x:row r="91">
      <x:c r="A91" s="14" t="str">
        <x:v>EXP-059</x:v>
      </x:c>
      <x:c r="B91" s="14" t="str">
        <x:v>Розширення ніш — 24.08</x:v>
      </x:c>
      <x:c r="C91" s="14" t="str">
        <x:v>BRAVO Lift</x:v>
      </x:c>
      <x:c r="D91" s="14" t="str">
        <x:v>Ліфти, ескалатори та підйомники</x:v>
      </x:c>
      <x:c r="E91" s="14" t="str">
        <x:v>Expansion discovery</x:v>
      </x:c>
      <x:c r="F91" s="17" t="str">
        <x:f>IF(E91="Pilot now",IF(P91&gt;=84,"P1",IF(P91&gt;=72,"P2","P3")),IF(E91="Expansion discovery",IF(Q91&gt;=88,"D1",IF(Q91&gt;=78,"D2","D3")),IF(E91="Later / requirements","L","Legacy")))</x:f>
        <x:v>D1</x:v>
      </x:c>
      <x:c r="G91" s="14" t="str">
        <x:v>bravo-lift.com</x:v>
      </x:c>
      <x:c r="H91" s="14" t="str">
        <x:v>Discovery — вимоги проєкту</x:v>
      </x:c>
      <x:c r="I91" s="16" t="n">
        <x:v>1</x:v>
      </x:c>
      <x:c r="J91" s="16" t="n">
        <x:v>4</x:v>
      </x:c>
      <x:c r="K91" s="16" t="n">
        <x:v>4</x:v>
      </x:c>
      <x:c r="L91" s="16" t="n">
        <x:v>4</x:v>
      </x:c>
      <x:c r="M91" s="16" t="n">
        <x:v>5</x:v>
      </x:c>
      <x:c r="N91" s="16" t="n">
        <x:v>5</x:v>
      </x:c>
      <x:c r="O91" s="16" t="n">
        <x:v>5</x:v>
      </x:c>
      <x:c r="P91" s="16" t="n">
        <x:f>IF(COUNT(I91:O91)&lt;7,"",I91*8+J91*3+K91*2+L91*2+M91*2+N91*2+O91)</x:f>
        <x:v>61</x:v>
      </x:c>
      <x:c r="Q91" s="16" t="n">
        <x:f>IF(COUNT(J91:O91)&lt;6,"",J91*5+K91*4+M91*4+L91*3+N91*2+O91*2)</x:f>
        <x:v>88</x:v>
      </x:c>
      <x:c r="R91" s="14" t="str">
        <x:v>high</x:v>
      </x:c>
      <x:c r="S91" s="14" t="str">
        <x:v>official_source_reverified</x:v>
      </x:c>
      <x:c r="T91" s="14" t="str">
        <x:v>official_source_reachable</x:v>
      </x:c>
      <x:c r="U91" s="14" t="str">
        <x:v>Новий — не контактували</x:v>
      </x:c>
      <x:c r="V91" s="15" t="str">
        <x:v>Discovery-call: отримати 1 реальний артефакт і вимоги проєкту; не обіцяти готове покриття</x:v>
      </x:c>
      <x:c r="W91" s="15" t="str">
        <x:v>Директор; керівник монтажу; відповідальний за введення в експлуатацію</x:v>
      </x:c>
      <x:c r="X91" s="15" t="str">
        <x:v>Виробництво, монтаж та обслуговування ліфтів, ескалаторів і підйомників.</x:v>
      </x:c>
      <x:c r="Y91" s="15" t="str">
        <x:v>Закладні, напрямні, електрика, випробування й постановка на облік мають поетапну приймальну документацію.</x:v>
      </x:c>
      <x:c r="Z91" s="15" t="str">
        <x:v>https://bravo-lift.com/</x:v>
      </x:c>
      <x:c r="AA91" s="14" t="str"/>
      <x:c r="AB91" s="14" t="str">
        <x:v>2026-08-24</x:v>
      </x:c>
      <x:c r="AC91" s="14" t="str">
        <x:v>Олександр</x:v>
      </x:c>
      <x:c r="AD91" s="20" t="str"/>
      <x:c r="AE91" s="14" t="str"/>
      <x:c r="AF91" s="14" t="n">
        <x:v>0</x:v>
      </x:c>
      <x:c r="AG91" s="14" t="str">
        <x:v>—</x:v>
      </x:c>
      <x:c r="AH91" s="14" t="n">
        <x:v>0</x:v>
      </x:c>
      <x:c r="AI91" s="14" t="n">
        <x:v>0</x:v>
      </x:c>
      <x:c r="AJ91" s="18" t="n">
        <x:v>0</x:v>
      </x:c>
      <x:c r="AK91" s="14" t="str"/>
      <x:c r="AL91" s="19" t="str"/>
      <x:c r="AM91" s="19" t="str"/>
      <x:c r="AN91" s="15" t="str"/>
      <x:c r="AO91" s="15" t="str">
        <x:v>official_source_reverified</x:v>
      </x:c>
    </x:row>
    <x:row r="92">
      <x:c r="A92" s="14" t="str">
        <x:v>EXP-027</x:v>
      </x:c>
      <x:c r="B92" s="14" t="str">
        <x:v>Розширення ніш — 24.08</x:v>
      </x:c>
      <x:c r="C92" s="14" t="str">
        <x:v>Кремінь Груп</x:v>
      </x:c>
      <x:c r="D92" s="14" t="str">
        <x:v>Палі, фундаменти та підсилення</x:v>
      </x:c>
      <x:c r="E92" s="14" t="str">
        <x:v>Expansion discovery</x:v>
      </x:c>
      <x:c r="F92" s="17" t="str">
        <x:f>IF(E92="Pilot now",IF(P92&gt;=84,"P1",IF(P92&gt;=72,"P2","P3")),IF(E92="Expansion discovery",IF(Q92&gt;=88,"D1",IF(Q92&gt;=78,"D2","D3")),IF(E92="Later / requirements","L","Legacy")))</x:f>
        <x:v>D1</x:v>
      </x:c>
      <x:c r="G92" s="14" t="str">
        <x:v>cremen.com.ua</x:v>
      </x:c>
      <x:c r="H92" s="14" t="str">
        <x:v>Discovery — вимоги проєкту</x:v>
      </x:c>
      <x:c r="I92" s="16" t="n">
        <x:v>0</x:v>
      </x:c>
      <x:c r="J92" s="16" t="n">
        <x:v>5</x:v>
      </x:c>
      <x:c r="K92" s="16" t="n">
        <x:v>5</x:v>
      </x:c>
      <x:c r="L92" s="16" t="n">
        <x:v>5</x:v>
      </x:c>
      <x:c r="M92" s="16" t="n">
        <x:v>5</x:v>
      </x:c>
      <x:c r="N92" s="16" t="n">
        <x:v>5</x:v>
      </x:c>
      <x:c r="O92" s="16" t="n">
        <x:v>5</x:v>
      </x:c>
      <x:c r="P92" s="16" t="n">
        <x:f>IF(COUNT(I92:O92)&lt;7,"",I92*8+J92*3+K92*2+L92*2+M92*2+N92*2+O92)</x:f>
        <x:v>60</x:v>
      </x:c>
      <x:c r="Q92" s="16" t="n">
        <x:f>IF(COUNT(J92:O92)&lt;6,"",J92*5+K92*4+M92*4+L92*3+N92*2+O92*2)</x:f>
        <x:v>100</x:v>
      </x:c>
      <x:c r="R92" s="14" t="str">
        <x:v>high</x:v>
      </x:c>
      <x:c r="S92" s="14" t="str">
        <x:v>official_source_reverified</x:v>
      </x:c>
      <x:c r="T92" s="14" t="str">
        <x:v>official_source_reachable</x:v>
      </x:c>
      <x:c r="U92" s="14" t="str">
        <x:v>Новий — не контактували</x:v>
      </x:c>
      <x:c r="V92" s="15" t="str">
        <x:v>Discovery-call: отримати 1 реальний артефакт і вимоги проєкту; не обіцяти готове покриття</x:v>
      </x:c>
      <x:c r="W92" s="15" t="str">
        <x:v>Власник / директор; головний інженер; керівник ПТО</x:v>
      </x:c>
      <x:c r="X92" s="15" t="str">
        <x:v>Пальові фундаменти й статичні випробування на промислових та інфраструктурних об’єктах.</x:v>
      </x:c>
      <x:c r="Y92" s="15" t="str">
        <x:v>Армування, глибина, бетонування, журнали та випробування паль критичні до засипки й наступних конструкцій.</x:v>
      </x:c>
      <x:c r="Z92" s="15" t="str">
        <x:v>https://cremen.com.ua/</x:v>
      </x:c>
      <x:c r="AA92" s="14" t="str"/>
      <x:c r="AB92" s="14" t="str">
        <x:v>2026-08-24</x:v>
      </x:c>
      <x:c r="AC92" s="14" t="str">
        <x:v>Олександр</x:v>
      </x:c>
      <x:c r="AD92" s="20" t="str"/>
      <x:c r="AE92" s="14" t="str"/>
      <x:c r="AF92" s="14" t="n">
        <x:v>0</x:v>
      </x:c>
      <x:c r="AG92" s="14" t="str">
        <x:v>—</x:v>
      </x:c>
      <x:c r="AH92" s="14" t="n">
        <x:v>0</x:v>
      </x:c>
      <x:c r="AI92" s="14" t="n">
        <x:v>0</x:v>
      </x:c>
      <x:c r="AJ92" s="18" t="n">
        <x:v>0</x:v>
      </x:c>
      <x:c r="AK92" s="14" t="str"/>
      <x:c r="AL92" s="19" t="str"/>
      <x:c r="AM92" s="19" t="str"/>
      <x:c r="AN92" s="15" t="str"/>
      <x:c r="AO92" s="15" t="str">
        <x:v>official_source_reverified</x:v>
      </x:c>
    </x:row>
    <x:row r="93">
      <x:c r="A93" s="14" t="str">
        <x:v>EXP-025</x:v>
      </x:c>
      <x:c r="B93" s="14" t="str">
        <x:v>Розширення ніш — 24.08</x:v>
      </x:c>
      <x:c r="C93" s="14" t="str">
        <x:v>ФУНДАМЕНТСПЕЦБУД</x:v>
      </x:c>
      <x:c r="D93" s="14" t="str">
        <x:v>Палі, фундаменти та підсилення</x:v>
      </x:c>
      <x:c r="E93" s="14" t="str">
        <x:v>Expansion discovery</x:v>
      </x:c>
      <x:c r="F93" s="17" t="str">
        <x:f>IF(E93="Pilot now",IF(P93&gt;=84,"P1",IF(P93&gt;=72,"P2","P3")),IF(E93="Expansion discovery",IF(Q93&gt;=88,"D1",IF(Q93&gt;=78,"D2","D3")),IF(E93="Later / requirements","L","Legacy")))</x:f>
        <x:v>D1</x:v>
      </x:c>
      <x:c r="G93" s="14" t="str">
        <x:v>fsbud.com.ua</x:v>
      </x:c>
      <x:c r="H93" s="14" t="str">
        <x:v>Discovery — вимоги проєкту</x:v>
      </x:c>
      <x:c r="I93" s="16" t="n">
        <x:v>0</x:v>
      </x:c>
      <x:c r="J93" s="16" t="n">
        <x:v>5</x:v>
      </x:c>
      <x:c r="K93" s="16" t="n">
        <x:v>5</x:v>
      </x:c>
      <x:c r="L93" s="16" t="n">
        <x:v>5</x:v>
      </x:c>
      <x:c r="M93" s="16" t="n">
        <x:v>5</x:v>
      </x:c>
      <x:c r="N93" s="16" t="n">
        <x:v>5</x:v>
      </x:c>
      <x:c r="O93" s="16" t="n">
        <x:v>5</x:v>
      </x:c>
      <x:c r="P93" s="16" t="n">
        <x:f>IF(COUNT(I93:O93)&lt;7,"",I93*8+J93*3+K93*2+L93*2+M93*2+N93*2+O93)</x:f>
        <x:v>60</x:v>
      </x:c>
      <x:c r="Q93" s="16" t="n">
        <x:f>IF(COUNT(J93:O93)&lt;6,"",J93*5+K93*4+M93*4+L93*3+N93*2+O93*2)</x:f>
        <x:v>100</x:v>
      </x:c>
      <x:c r="R93" s="14" t="str">
        <x:v>high</x:v>
      </x:c>
      <x:c r="S93" s="14" t="str">
        <x:v>official_source_reverified</x:v>
      </x:c>
      <x:c r="T93" s="14" t="str">
        <x:v>official_source_reachable</x:v>
      </x:c>
      <x:c r="U93" s="14" t="str">
        <x:v>Новий — не контактували</x:v>
      </x:c>
      <x:c r="V93" s="15" t="str">
        <x:v>Discovery-call: отримати 1 реальний артефакт і вимоги проєкту; не обіцяти готове покриття</x:v>
      </x:c>
      <x:c r="W93" s="15" t="str">
        <x:v>Власник / директор; головний інженер; керівник ПТО</x:v>
      </x:c>
      <x:c r="X93" s="15" t="str">
        <x:v>30+ років і тисячі пальових фундаментів; статичні випробування та промислові об’єкти.</x:v>
      </x:c>
      <x:c r="Y93" s="15" t="str">
        <x:v>Армування, глибина, бетонування, журнали та випробування паль критичні до засипки й наступних конструкцій.</x:v>
      </x:c>
      <x:c r="Z93" s="15" t="str">
        <x:v>https://fsbud.com.ua/objects/</x:v>
      </x:c>
      <x:c r="AA93" s="14" t="str"/>
      <x:c r="AB93" s="14" t="str">
        <x:v>2026-08-24</x:v>
      </x:c>
      <x:c r="AC93" s="14" t="str">
        <x:v>Олександр</x:v>
      </x:c>
      <x:c r="AD93" s="20" t="str"/>
      <x:c r="AE93" s="14" t="str"/>
      <x:c r="AF93" s="14" t="n">
        <x:v>0</x:v>
      </x:c>
      <x:c r="AG93" s="14" t="str">
        <x:v>—</x:v>
      </x:c>
      <x:c r="AH93" s="14" t="n">
        <x:v>0</x:v>
      </x:c>
      <x:c r="AI93" s="14" t="n">
        <x:v>0</x:v>
      </x:c>
      <x:c r="AJ93" s="18" t="n">
        <x:v>0</x:v>
      </x:c>
      <x:c r="AK93" s="14" t="str"/>
      <x:c r="AL93" s="19" t="str"/>
      <x:c r="AM93" s="19" t="str"/>
      <x:c r="AN93" s="15" t="str"/>
      <x:c r="AO93" s="15" t="str">
        <x:v>official_source_reverified</x:v>
      </x:c>
    </x:row>
    <x:row r="94">
      <x:c r="A94" s="14" t="str">
        <x:v>EXP-023</x:v>
      </x:c>
      <x:c r="B94" s="14" t="str">
        <x:v>Розширення ніш — 24.08</x:v>
      </x:c>
      <x:c r="C94" s="14" t="str">
        <x:v>PALI</x:v>
      </x:c>
      <x:c r="D94" s="14" t="str">
        <x:v>Палі, фундаменти та підсилення</x:v>
      </x:c>
      <x:c r="E94" s="14" t="str">
        <x:v>Expansion discovery</x:v>
      </x:c>
      <x:c r="F94" s="17" t="str">
        <x:f>IF(E94="Pilot now",IF(P94&gt;=84,"P1",IF(P94&gt;=72,"P2","P3")),IF(E94="Expansion discovery",IF(Q94&gt;=88,"D1",IF(Q94&gt;=78,"D2","D3")),IF(E94="Later / requirements","L","Legacy")))</x:f>
        <x:v>D1</x:v>
      </x:c>
      <x:c r="G94" s="14" t="str">
        <x:v>pali.com.ua</x:v>
      </x:c>
      <x:c r="H94" s="14" t="str">
        <x:v>Discovery — вимоги проєкту</x:v>
      </x:c>
      <x:c r="I94" s="16" t="n">
        <x:v>0</x:v>
      </x:c>
      <x:c r="J94" s="16" t="n">
        <x:v>5</x:v>
      </x:c>
      <x:c r="K94" s="16" t="n">
        <x:v>5</x:v>
      </x:c>
      <x:c r="L94" s="16" t="n">
        <x:v>5</x:v>
      </x:c>
      <x:c r="M94" s="16" t="n">
        <x:v>5</x:v>
      </x:c>
      <x:c r="N94" s="16" t="n">
        <x:v>5</x:v>
      </x:c>
      <x:c r="O94" s="16" t="n">
        <x:v>5</x:v>
      </x:c>
      <x:c r="P94" s="16" t="n">
        <x:f>IF(COUNT(I94:O94)&lt;7,"",I94*8+J94*3+K94*2+L94*2+M94*2+N94*2+O94)</x:f>
        <x:v>60</x:v>
      </x:c>
      <x:c r="Q94" s="16" t="n">
        <x:f>IF(COUNT(J94:O94)&lt;6,"",J94*5+K94*4+M94*4+L94*3+N94*2+O94*2)</x:f>
        <x:v>100</x:v>
      </x:c>
      <x:c r="R94" s="14" t="str">
        <x:v>high</x:v>
      </x:c>
      <x:c r="S94" s="14" t="str">
        <x:v>official_source_reverified</x:v>
      </x:c>
      <x:c r="T94" s="14" t="str">
        <x:v>official_source_reachable</x:v>
      </x:c>
      <x:c r="U94" s="14" t="str">
        <x:v>Новий — не контактували</x:v>
      </x:c>
      <x:c r="V94" s="15" t="str">
        <x:v>Discovery-call: отримати 1 реальний артефакт і вимоги проєкту; не обіцяти готове покриття</x:v>
      </x:c>
      <x:c r="W94" s="15" t="str">
        <x:v>Власник / директор; головний інженер; керівник ПТО</x:v>
      </x:c>
      <x:c r="X94" s="15" t="str">
        <x:v>12+ років, палі до 32 м, промислові та комерційні об’єкти по Україні.</x:v>
      </x:c>
      <x:c r="Y94" s="15" t="str">
        <x:v>Армування, глибина, бетонування, журнали та випробування паль критичні до засипки й наступних конструкцій.</x:v>
      </x:c>
      <x:c r="Z94" s="15" t="str">
        <x:v>https://pali.com.ua/</x:v>
      </x:c>
      <x:c r="AA94" s="14" t="str"/>
      <x:c r="AB94" s="14" t="str">
        <x:v>2026-08-24</x:v>
      </x:c>
      <x:c r="AC94" s="14" t="str">
        <x:v>Олександр</x:v>
      </x:c>
      <x:c r="AD94" s="20" t="str"/>
      <x:c r="AE94" s="14" t="str"/>
      <x:c r="AF94" s="14" t="n">
        <x:v>0</x:v>
      </x:c>
      <x:c r="AG94" s="14" t="str">
        <x:v>—</x:v>
      </x:c>
      <x:c r="AH94" s="14" t="n">
        <x:v>0</x:v>
      </x:c>
      <x:c r="AI94" s="14" t="n">
        <x:v>0</x:v>
      </x:c>
      <x:c r="AJ94" s="18" t="n">
        <x:v>0</x:v>
      </x:c>
      <x:c r="AK94" s="14" t="str"/>
      <x:c r="AL94" s="19" t="str"/>
      <x:c r="AM94" s="19" t="str"/>
      <x:c r="AN94" s="15" t="str"/>
      <x:c r="AO94" s="15" t="str">
        <x:v>official_source_reverified</x:v>
      </x:c>
    </x:row>
    <x:row r="95">
      <x:c r="A95" s="14" t="str">
        <x:v>EXP-024</x:v>
      </x:c>
      <x:c r="B95" s="14" t="str">
        <x:v>Розширення ніш — 24.08</x:v>
      </x:c>
      <x:c r="C95" s="14" t="str">
        <x:v>PILLAR</x:v>
      </x:c>
      <x:c r="D95" s="14" t="str">
        <x:v>Палі, фундаменти та підсилення</x:v>
      </x:c>
      <x:c r="E95" s="14" t="str">
        <x:v>Expansion discovery</x:v>
      </x:c>
      <x:c r="F95" s="17" t="str">
        <x:f>IF(E95="Pilot now",IF(P95&gt;=84,"P1",IF(P95&gt;=72,"P2","P3")),IF(E95="Expansion discovery",IF(Q95&gt;=88,"D1",IF(Q95&gt;=78,"D2","D3")),IF(E95="Later / requirements","L","Legacy")))</x:f>
        <x:v>D1</x:v>
      </x:c>
      <x:c r="G95" s="14" t="str">
        <x:v>pillar.ua</x:v>
      </x:c>
      <x:c r="H95" s="14" t="str">
        <x:v>Discovery — вимоги проєкту</x:v>
      </x:c>
      <x:c r="I95" s="16" t="n">
        <x:v>0</x:v>
      </x:c>
      <x:c r="J95" s="16" t="n">
        <x:v>5</x:v>
      </x:c>
      <x:c r="K95" s="16" t="n">
        <x:v>5</x:v>
      </x:c>
      <x:c r="L95" s="16" t="n">
        <x:v>5</x:v>
      </x:c>
      <x:c r="M95" s="16" t="n">
        <x:v>5</x:v>
      </x:c>
      <x:c r="N95" s="16" t="n">
        <x:v>5</x:v>
      </x:c>
      <x:c r="O95" s="16" t="n">
        <x:v>5</x:v>
      </x:c>
      <x:c r="P95" s="16" t="n">
        <x:f>IF(COUNT(I95:O95)&lt;7,"",I95*8+J95*3+K95*2+L95*2+M95*2+N95*2+O95)</x:f>
        <x:v>60</x:v>
      </x:c>
      <x:c r="Q95" s="16" t="n">
        <x:f>IF(COUNT(J95:O95)&lt;6,"",J95*5+K95*4+M95*4+L95*3+N95*2+O95*2)</x:f>
        <x:v>100</x:v>
      </x:c>
      <x:c r="R95" s="14" t="str">
        <x:v>high</x:v>
      </x:c>
      <x:c r="S95" s="14" t="str">
        <x:v>official_source_reverified</x:v>
      </x:c>
      <x:c r="T95" s="14" t="str">
        <x:v>official_source_reachable</x:v>
      </x:c>
      <x:c r="U95" s="14" t="str">
        <x:v>Новий — не контактували</x:v>
      </x:c>
      <x:c r="V95" s="15" t="str">
        <x:v>Discovery-call: отримати 1 реальний артефакт і вимоги проєкту; не обіцяти готове покриття</x:v>
      </x:c>
      <x:c r="W95" s="15" t="str">
        <x:v>Власник / директор; головний інженер; керівник ПТО</x:v>
      </x:c>
      <x:c r="X95" s="15" t="str">
        <x:v>1000+ об’єктів; повний цикл геошурупних фундаментів і металоконструкцій.</x:v>
      </x:c>
      <x:c r="Y95" s="15" t="str">
        <x:v>Армування, глибина, бетонування, журнали та випробування паль критичні до засипки й наступних конструкцій.</x:v>
      </x:c>
      <x:c r="Z95" s="15" t="str">
        <x:v>https://pillar.ua/pro-nas/</x:v>
      </x:c>
      <x:c r="AA95" s="14" t="str"/>
      <x:c r="AB95" s="14" t="str">
        <x:v>2026-08-24</x:v>
      </x:c>
      <x:c r="AC95" s="14" t="str">
        <x:v>Олександр</x:v>
      </x:c>
      <x:c r="AD95" s="20" t="str"/>
      <x:c r="AE95" s="14" t="str"/>
      <x:c r="AF95" s="14" t="n">
        <x:v>0</x:v>
      </x:c>
      <x:c r="AG95" s="14" t="str">
        <x:v>—</x:v>
      </x:c>
      <x:c r="AH95" s="14" t="n">
        <x:v>0</x:v>
      </x:c>
      <x:c r="AI95" s="14" t="n">
        <x:v>0</x:v>
      </x:c>
      <x:c r="AJ95" s="18" t="n">
        <x:v>0</x:v>
      </x:c>
      <x:c r="AK95" s="14" t="str"/>
      <x:c r="AL95" s="19" t="str"/>
      <x:c r="AM95" s="19" t="str"/>
      <x:c r="AN95" s="15" t="str"/>
      <x:c r="AO95" s="15" t="str">
        <x:v>official_source_reverified</x:v>
      </x:c>
    </x:row>
    <x:row r="96">
      <x:c r="A96" s="14" t="str">
        <x:v>EXP-064</x:v>
      </x:c>
      <x:c r="B96" s="14" t="str">
        <x:v>Розширення ніш — 24.08</x:v>
      </x:c>
      <x:c r="C96" s="14" t="str">
        <x:v>Магістраль Асфальт</x:v>
      </x:c>
      <x:c r="D96" s="14" t="str">
        <x:v>Дорожні роботи та благоустрій</x:v>
      </x:c>
      <x:c r="E96" s="14" t="str">
        <x:v>Expansion discovery</x:v>
      </x:c>
      <x:c r="F96" s="17" t="str">
        <x:f>IF(E96="Pilot now",IF(P96&gt;=84,"P1",IF(P96&gt;=72,"P2","P3")),IF(E96="Expansion discovery",IF(Q96&gt;=88,"D1",IF(Q96&gt;=78,"D2","D3")),IF(E96="Later / requirements","L","Legacy")))</x:f>
        <x:v>D1</x:v>
      </x:c>
      <x:c r="G96" s="14" t="str">
        <x:v>magistralasfalt.com.ua</x:v>
      </x:c>
      <x:c r="H96" s="14" t="str">
        <x:v>Discovery — вимоги проєкту</x:v>
      </x:c>
      <x:c r="I96" s="16" t="n">
        <x:v>0</x:v>
      </x:c>
      <x:c r="J96" s="16" t="n">
        <x:v>5</x:v>
      </x:c>
      <x:c r="K96" s="16" t="n">
        <x:v>5</x:v>
      </x:c>
      <x:c r="L96" s="16" t="n">
        <x:v>4</x:v>
      </x:c>
      <x:c r="M96" s="16" t="n">
        <x:v>5</x:v>
      </x:c>
      <x:c r="N96" s="16" t="n">
        <x:v>5</x:v>
      </x:c>
      <x:c r="O96" s="16" t="n">
        <x:v>5</x:v>
      </x:c>
      <x:c r="P96" s="16" t="n">
        <x:f>IF(COUNT(I96:O96)&lt;7,"",I96*8+J96*3+K96*2+L96*2+M96*2+N96*2+O96)</x:f>
        <x:v>58</x:v>
      </x:c>
      <x:c r="Q96" s="16" t="n">
        <x:f>IF(COUNT(J96:O96)&lt;6,"",J96*5+K96*4+M96*4+L96*3+N96*2+O96*2)</x:f>
        <x:v>97</x:v>
      </x:c>
      <x:c r="R96" s="14" t="str">
        <x:v>high</x:v>
      </x:c>
      <x:c r="S96" s="14" t="str">
        <x:v>official_source_reverified</x:v>
      </x:c>
      <x:c r="T96" s="14" t="str">
        <x:v>official_source_reachable</x:v>
      </x:c>
      <x:c r="U96" s="14" t="str">
        <x:v>Новий — не контактували</x:v>
      </x:c>
      <x:c r="V96" s="15" t="str">
        <x:v>Discovery-call: отримати 1 реальний артефакт і вимоги проєкту; не обіцяти готове покриття</x:v>
      </x:c>
      <x:c r="W96" s="15" t="str">
        <x:v>Власник / директор; головний інженер; лабораторія / ПТО</x:v>
      </x:c>
      <x:c r="X96" s="15" t="str">
        <x:v>Повний цикл дорожніх робіт з власною технікою, пошаровою здачею й гарантією.</x:v>
      </x:c>
      <x:c r="Y96" s="15" t="str">
        <x:v>Основа, шари покриття, ущільнення та лабораторні протоколи стають недоступними після наступного шару.</x:v>
      </x:c>
      <x:c r="Z96" s="15" t="str">
        <x:v>https://magistralasfalt.com.ua/</x:v>
      </x:c>
      <x:c r="AA96" s="14" t="str"/>
      <x:c r="AB96" s="14" t="str">
        <x:v>2026-08-24</x:v>
      </x:c>
      <x:c r="AC96" s="14" t="str">
        <x:v>Олександр</x:v>
      </x:c>
      <x:c r="AD96" s="20" t="str"/>
      <x:c r="AE96" s="14" t="str"/>
      <x:c r="AF96" s="14" t="n">
        <x:v>0</x:v>
      </x:c>
      <x:c r="AG96" s="14" t="str">
        <x:v>—</x:v>
      </x:c>
      <x:c r="AH96" s="14" t="n">
        <x:v>0</x:v>
      </x:c>
      <x:c r="AI96" s="14" t="n">
        <x:v>0</x:v>
      </x:c>
      <x:c r="AJ96" s="18" t="n">
        <x:v>0</x:v>
      </x:c>
      <x:c r="AK96" s="14" t="str"/>
      <x:c r="AL96" s="19" t="str"/>
      <x:c r="AM96" s="19" t="str"/>
      <x:c r="AN96" s="15" t="str"/>
      <x:c r="AO96" s="15" t="str">
        <x:v>official_source_reverified</x:v>
      </x:c>
    </x:row>
    <x:row r="97">
      <x:c r="A97" s="14" t="str">
        <x:v>EXP-026</x:v>
      </x:c>
      <x:c r="B97" s="14" t="str">
        <x:v>Розширення ніш — 24.08</x:v>
      </x:c>
      <x:c r="C97" s="14" t="str">
        <x:v>Олімпія Білд</x:v>
      </x:c>
      <x:c r="D97" s="14" t="str">
        <x:v>Палі, фундаменти та підсилення</x:v>
      </x:c>
      <x:c r="E97" s="14" t="str">
        <x:v>Expansion discovery</x:v>
      </x:c>
      <x:c r="F97" s="17" t="str">
        <x:f>IF(E97="Pilot now",IF(P97&gt;=84,"P1",IF(P97&gt;=72,"P2","P3")),IF(E97="Expansion discovery",IF(Q97&gt;=88,"D1",IF(Q97&gt;=78,"D2","D3")),IF(E97="Later / requirements","L","Legacy")))</x:f>
        <x:v>D1</x:v>
      </x:c>
      <x:c r="G97" s="14" t="str">
        <x:v>olympia-build.com.ua</x:v>
      </x:c>
      <x:c r="H97" s="14" t="str">
        <x:v>Discovery — вимоги проєкту</x:v>
      </x:c>
      <x:c r="I97" s="16" t="n">
        <x:v>0</x:v>
      </x:c>
      <x:c r="J97" s="16" t="n">
        <x:v>5</x:v>
      </x:c>
      <x:c r="K97" s="16" t="n">
        <x:v>5</x:v>
      </x:c>
      <x:c r="L97" s="16" t="n">
        <x:v>4</x:v>
      </x:c>
      <x:c r="M97" s="16" t="n">
        <x:v>5</x:v>
      </x:c>
      <x:c r="N97" s="16" t="n">
        <x:v>5</x:v>
      </x:c>
      <x:c r="O97" s="16" t="n">
        <x:v>5</x:v>
      </x:c>
      <x:c r="P97" s="16" t="n">
        <x:f>IF(COUNT(I97:O97)&lt;7,"",I97*8+J97*3+K97*2+L97*2+M97*2+N97*2+O97)</x:f>
        <x:v>58</x:v>
      </x:c>
      <x:c r="Q97" s="16" t="n">
        <x:f>IF(COUNT(J97:O97)&lt;6,"",J97*5+K97*4+M97*4+L97*3+N97*2+O97*2)</x:f>
        <x:v>97</x:v>
      </x:c>
      <x:c r="R97" s="14" t="str">
        <x:v>high</x:v>
      </x:c>
      <x:c r="S97" s="14" t="str">
        <x:v>official_source_reverified</x:v>
      </x:c>
      <x:c r="T97" s="14" t="str">
        <x:v>official_source_reachable</x:v>
      </x:c>
      <x:c r="U97" s="14" t="str">
        <x:v>Новий — не контактували</x:v>
      </x:c>
      <x:c r="V97" s="15" t="str">
        <x:v>Discovery-call: отримати 1 реальний артефакт і вимоги проєкту; не обіцяти готове покриття</x:v>
      </x:c>
      <x:c r="W97" s="15" t="str">
        <x:v>Власник / директор; головний інженер; керівник ПТО</x:v>
      </x:c>
      <x:c r="X97" s="15" t="str">
        <x:v>Спеціаліст з пальових фундаментів, геології, геодезії та супутніх робіт.</x:v>
      </x:c>
      <x:c r="Y97" s="15" t="str">
        <x:v>Армування, глибина, бетонування, журнали та випробування паль критичні до засипки й наступних конструкцій.</x:v>
      </x:c>
      <x:c r="Z97" s="15" t="str">
        <x:v>https://olympia-build.com.ua/</x:v>
      </x:c>
      <x:c r="AA97" s="14" t="str"/>
      <x:c r="AB97" s="14" t="str">
        <x:v>2026-08-24</x:v>
      </x:c>
      <x:c r="AC97" s="14" t="str">
        <x:v>Олександр</x:v>
      </x:c>
      <x:c r="AD97" s="20" t="str"/>
      <x:c r="AE97" s="14" t="str"/>
      <x:c r="AF97" s="14" t="n">
        <x:v>0</x:v>
      </x:c>
      <x:c r="AG97" s="14" t="str">
        <x:v>—</x:v>
      </x:c>
      <x:c r="AH97" s="14" t="n">
        <x:v>0</x:v>
      </x:c>
      <x:c r="AI97" s="14" t="n">
        <x:v>0</x:v>
      </x:c>
      <x:c r="AJ97" s="18" t="n">
        <x:v>0</x:v>
      </x:c>
      <x:c r="AK97" s="14" t="str"/>
      <x:c r="AL97" s="19" t="str"/>
      <x:c r="AM97" s="19" t="str"/>
      <x:c r="AN97" s="15" t="str"/>
      <x:c r="AO97" s="15" t="str">
        <x:v>official_source_reverified</x:v>
      </x:c>
    </x:row>
    <x:row r="98">
      <x:c r="A98" s="14" t="str">
        <x:v>EXP-022</x:v>
      </x:c>
      <x:c r="B98" s="14" t="str">
        <x:v>Розширення ніш — 24.08</x:v>
      </x:c>
      <x:c r="C98" s="14" t="str">
        <x:v>УМБК Underground</x:v>
      </x:c>
      <x:c r="D98" s="14" t="str">
        <x:v>Палі, фундаменти та підсилення</x:v>
      </x:c>
      <x:c r="E98" s="14" t="str">
        <x:v>Expansion discovery</x:v>
      </x:c>
      <x:c r="F98" s="17" t="str">
        <x:f>IF(E98="Pilot now",IF(P98&gt;=84,"P1",IF(P98&gt;=72,"P2","P3")),IF(E98="Expansion discovery",IF(Q98&gt;=88,"D1",IF(Q98&gt;=78,"D2","D3")),IF(E98="Later / requirements","L","Legacy")))</x:f>
        <x:v>D1</x:v>
      </x:c>
      <x:c r="G98" s="14" t="str">
        <x:v>underground.org.ua</x:v>
      </x:c>
      <x:c r="H98" s="14" t="str">
        <x:v>Discovery — вимоги проєкту</x:v>
      </x:c>
      <x:c r="I98" s="16" t="n">
        <x:v>0</x:v>
      </x:c>
      <x:c r="J98" s="16" t="n">
        <x:v>5</x:v>
      </x:c>
      <x:c r="K98" s="16" t="n">
        <x:v>5</x:v>
      </x:c>
      <x:c r="L98" s="16" t="n">
        <x:v>4</x:v>
      </x:c>
      <x:c r="M98" s="16" t="n">
        <x:v>5</x:v>
      </x:c>
      <x:c r="N98" s="16" t="n">
        <x:v>5</x:v>
      </x:c>
      <x:c r="O98" s="16" t="n">
        <x:v>5</x:v>
      </x:c>
      <x:c r="P98" s="16" t="n">
        <x:f>IF(COUNT(I98:O98)&lt;7,"",I98*8+J98*3+K98*2+L98*2+M98*2+N98*2+O98)</x:f>
        <x:v>58</x:v>
      </x:c>
      <x:c r="Q98" s="16" t="n">
        <x:f>IF(COUNT(J98:O98)&lt;6,"",J98*5+K98*4+M98*4+L98*3+N98*2+O98*2)</x:f>
        <x:v>97</x:v>
      </x:c>
      <x:c r="R98" s="14" t="str">
        <x:v>high</x:v>
      </x:c>
      <x:c r="S98" s="14" t="str">
        <x:v>official_source_reverified</x:v>
      </x:c>
      <x:c r="T98" s="14" t="str">
        <x:v>official_source_reachable</x:v>
      </x:c>
      <x:c r="U98" s="14" t="str">
        <x:v>Новий — не контактували</x:v>
      </x:c>
      <x:c r="V98" s="15" t="str">
        <x:v>Discovery-call: отримати 1 реальний артефакт і вимоги проєкту; не обіцяти готове покриття</x:v>
      </x:c>
      <x:c r="W98" s="15" t="str">
        <x:v>Власник / директор; головний інженер; керівник ПТО</x:v>
      </x:c>
      <x:c r="X98" s="15" t="str">
        <x:v>Буроін’єкційні, мікро-, забивні та буронабивні палі; портфоліо житлових і промислових об’єктів.</x:v>
      </x:c>
      <x:c r="Y98" s="15" t="str">
        <x:v>Армування, глибина, бетонування, журнали та випробування паль критичні до засипки й наступних конструкцій.</x:v>
      </x:c>
      <x:c r="Z98" s="15" t="str">
        <x:v>https://underground.org.ua/</x:v>
      </x:c>
      <x:c r="AA98" s="14" t="str"/>
      <x:c r="AB98" s="14" t="str">
        <x:v>2026-08-24</x:v>
      </x:c>
      <x:c r="AC98" s="14" t="str">
        <x:v>Олександр</x:v>
      </x:c>
      <x:c r="AD98" s="20" t="str"/>
      <x:c r="AE98" s="14" t="str"/>
      <x:c r="AF98" s="14" t="n">
        <x:v>0</x:v>
      </x:c>
      <x:c r="AG98" s="14" t="str">
        <x:v>—</x:v>
      </x:c>
      <x:c r="AH98" s="14" t="n">
        <x:v>0</x:v>
      </x:c>
      <x:c r="AI98" s="14" t="n">
        <x:v>0</x:v>
      </x:c>
      <x:c r="AJ98" s="18" t="n">
        <x:v>0</x:v>
      </x:c>
      <x:c r="AK98" s="14" t="str"/>
      <x:c r="AL98" s="19" t="str"/>
      <x:c r="AM98" s="19" t="str"/>
      <x:c r="AN98" s="15" t="str"/>
      <x:c r="AO98" s="15" t="str">
        <x:v>official_source_reverified</x:v>
      </x:c>
    </x:row>
    <x:row r="99">
      <x:c r="A99" s="14" t="str">
        <x:v>EXP-014</x:v>
      </x:c>
      <x:c r="B99" s="14" t="str">
        <x:v>Розширення ніш — 24.08</x:v>
      </x:c>
      <x:c r="C99" s="14" t="str">
        <x:v>Astreya Aluminum Systems</x:v>
      </x:c>
      <x:c r="D99" s="14" t="str">
        <x:v>Вентильовані фасади та скління</x:v>
      </x:c>
      <x:c r="E99" s="14" t="str">
        <x:v>Expansion discovery</x:v>
      </x:c>
      <x:c r="F99" s="17" t="str">
        <x:f>IF(E99="Pilot now",IF(P99&gt;=84,"P1",IF(P99&gt;=72,"P2","P3")),IF(E99="Expansion discovery",IF(Q99&gt;=88,"D1",IF(Q99&gt;=78,"D2","D3")),IF(E99="Later / requirements","L","Legacy")))</x:f>
        <x:v>D1</x:v>
      </x:c>
      <x:c r="G99" s="14" t="str">
        <x:v>astreyaua.com</x:v>
      </x:c>
      <x:c r="H99" s="14" t="str">
        <x:v>Discovery — вимоги проєкту</x:v>
      </x:c>
      <x:c r="I99" s="16" t="n">
        <x:v>0</x:v>
      </x:c>
      <x:c r="J99" s="16" t="n">
        <x:v>5</x:v>
      </x:c>
      <x:c r="K99" s="16" t="n">
        <x:v>5</x:v>
      </x:c>
      <x:c r="L99" s="16" t="n">
        <x:v>5</x:v>
      </x:c>
      <x:c r="M99" s="16" t="n">
        <x:v>4</x:v>
      </x:c>
      <x:c r="N99" s="16" t="n">
        <x:v>5</x:v>
      </x:c>
      <x:c r="O99" s="16" t="n">
        <x:v>5</x:v>
      </x:c>
      <x:c r="P99" s="16" t="n">
        <x:f>IF(COUNT(I99:O99)&lt;7,"",I99*8+J99*3+K99*2+L99*2+M99*2+N99*2+O99)</x:f>
        <x:v>58</x:v>
      </x:c>
      <x:c r="Q99" s="16" t="n">
        <x:f>IF(COUNT(J99:O99)&lt;6,"",J99*5+K99*4+M99*4+L99*3+N99*2+O99*2)</x:f>
        <x:v>96</x:v>
      </x:c>
      <x:c r="R99" s="14" t="str">
        <x:v>high</x:v>
      </x:c>
      <x:c r="S99" s="14" t="str">
        <x:v>official_source_reverified</x:v>
      </x:c>
      <x:c r="T99" s="14" t="str">
        <x:v>official_source_reachable</x:v>
      </x:c>
      <x:c r="U99" s="14" t="str">
        <x:v>Новий — не контактували</x:v>
      </x:c>
      <x:c r="V99" s="15" t="str">
        <x:v>Discovery-call: отримати 1 реальний артефакт і вимоги проєкту; не обіцяти готове покриття</x:v>
      </x:c>
      <x:c r="W99" s="15" t="str">
        <x:v>Власник / директор; керівник фасадних проєктів; ПТО</x:v>
      </x:c>
      <x:c r="X99" s="15" t="str">
        <x:v>20 000+ м² фасадів на рік, проєктний відділ, власні монтажні бригади й обладнання.</x:v>
      </x:c>
      <x:c r="Y99" s="15" t="str">
        <x:v>Кронштейни, анкери, утеплення, мембрани й протипожежні відсічки закриваються облицюванням.</x:v>
      </x:c>
      <x:c r="Z99" s="15" t="str">
        <x:v>https://www.astreyaua.com/</x:v>
      </x:c>
      <x:c r="AA99" s="14" t="str"/>
      <x:c r="AB99" s="14" t="str">
        <x:v>2026-08-24</x:v>
      </x:c>
      <x:c r="AC99" s="14" t="str">
        <x:v>Олександр</x:v>
      </x:c>
      <x:c r="AD99" s="20" t="str"/>
      <x:c r="AE99" s="14" t="str"/>
      <x:c r="AF99" s="14" t="n">
        <x:v>0</x:v>
      </x:c>
      <x:c r="AG99" s="14" t="str">
        <x:v>—</x:v>
      </x:c>
      <x:c r="AH99" s="14" t="n">
        <x:v>0</x:v>
      </x:c>
      <x:c r="AI99" s="14" t="n">
        <x:v>0</x:v>
      </x:c>
      <x:c r="AJ99" s="18" t="n">
        <x:v>0</x:v>
      </x:c>
      <x:c r="AK99" s="14" t="str"/>
      <x:c r="AL99" s="19" t="str"/>
      <x:c r="AM99" s="19" t="str"/>
      <x:c r="AN99" s="15" t="str"/>
      <x:c r="AO99" s="15" t="str">
        <x:v>official_source_reverified</x:v>
      </x:c>
    </x:row>
    <x:row r="100">
      <x:c r="A100" s="14" t="str">
        <x:v>EXP-006</x:v>
      </x:c>
      <x:c r="B100" s="14" t="str">
        <x:v>Розширення ніш — 24.08</x:v>
      </x:c>
      <x:c r="C100" s="14" t="str">
        <x:v>Budroof</x:v>
      </x:c>
      <x:c r="D100" s="14" t="str">
        <x:v>Покрівлі та гідроізоляція</x:v>
      </x:c>
      <x:c r="E100" s="14" t="str">
        <x:v>Expansion discovery</x:v>
      </x:c>
      <x:c r="F100" s="17" t="str">
        <x:f>IF(E100="Pilot now",IF(P100&gt;=84,"P1",IF(P100&gt;=72,"P2","P3")),IF(E100="Expansion discovery",IF(Q100&gt;=88,"D1",IF(Q100&gt;=78,"D2","D3")),IF(E100="Later / requirements","L","Legacy")))</x:f>
        <x:v>D1</x:v>
      </x:c>
      <x:c r="G100" s="14" t="str">
        <x:v>budroof.ua</x:v>
      </x:c>
      <x:c r="H100" s="14" t="str">
        <x:v>Discovery — вимоги проєкту</x:v>
      </x:c>
      <x:c r="I100" s="16" t="n">
        <x:v>0</x:v>
      </x:c>
      <x:c r="J100" s="16" t="n">
        <x:v>5</x:v>
      </x:c>
      <x:c r="K100" s="16" t="n">
        <x:v>5</x:v>
      </x:c>
      <x:c r="L100" s="16" t="n">
        <x:v>5</x:v>
      </x:c>
      <x:c r="M100" s="16" t="n">
        <x:v>4</x:v>
      </x:c>
      <x:c r="N100" s="16" t="n">
        <x:v>5</x:v>
      </x:c>
      <x:c r="O100" s="16" t="n">
        <x:v>5</x:v>
      </x:c>
      <x:c r="P100" s="16" t="n">
        <x:f>IF(COUNT(I100:O100)&lt;7,"",I100*8+J100*3+K100*2+L100*2+M100*2+N100*2+O100)</x:f>
        <x:v>58</x:v>
      </x:c>
      <x:c r="Q100" s="16" t="n">
        <x:f>IF(COUNT(J100:O100)&lt;6,"",J100*5+K100*4+M100*4+L100*3+N100*2+O100*2)</x:f>
        <x:v>96</x:v>
      </x:c>
      <x:c r="R100" s="14" t="str">
        <x:v>high</x:v>
      </x:c>
      <x:c r="S100" s="14" t="str">
        <x:v>official_source_reverified</x:v>
      </x:c>
      <x:c r="T100" s="14" t="str">
        <x:v>official_source_reachable</x:v>
      </x:c>
      <x:c r="U100" s="14" t="str">
        <x:v>Новий — не контактували</x:v>
      </x:c>
      <x:c r="V100" s="15" t="str">
        <x:v>Discovery-call: отримати 1 реальний артефакт і вимоги проєкту; не обіцяти готове покриття</x:v>
      </x:c>
      <x:c r="W100" s="15" t="str">
        <x:v>Власник / директор; керівник проєктів; виконроб</x:v>
      </x:c>
      <x:c r="X100" s="15" t="str">
        <x:v>Понад 1,5 млн м² ПВХ/ТПО та гідроізоляційних мембран; спеціалізований монтаж.</x:v>
      </x:c>
      <x:c r="Y100" s="15" t="str">
        <x:v>Пароізоляція, утеплення, кріплення, шви й примикання стають недоступними після завершення покрівельного пирога.</x:v>
      </x:c>
      <x:c r="Z100" s="15" t="str">
        <x:v>https://budroof.ua/uk/services/montazh-pvh-membrany/</x:v>
      </x:c>
      <x:c r="AA100" s="14" t="str"/>
      <x:c r="AB100" s="14" t="str">
        <x:v>2026-08-24</x:v>
      </x:c>
      <x:c r="AC100" s="14" t="str">
        <x:v>Олександр</x:v>
      </x:c>
      <x:c r="AD100" s="20" t="str"/>
      <x:c r="AE100" s="14" t="str"/>
      <x:c r="AF100" s="14" t="n">
        <x:v>0</x:v>
      </x:c>
      <x:c r="AG100" s="14" t="str">
        <x:v>—</x:v>
      </x:c>
      <x:c r="AH100" s="14" t="n">
        <x:v>0</x:v>
      </x:c>
      <x:c r="AI100" s="14" t="n">
        <x:v>0</x:v>
      </x:c>
      <x:c r="AJ100" s="18" t="n">
        <x:v>0</x:v>
      </x:c>
      <x:c r="AK100" s="14" t="str"/>
      <x:c r="AL100" s="19" t="str"/>
      <x:c r="AM100" s="19" t="str"/>
      <x:c r="AN100" s="15" t="str"/>
      <x:c r="AO100" s="15" t="str">
        <x:v>official_source_reverified</x:v>
      </x:c>
    </x:row>
    <x:row r="101">
      <x:c r="A101" s="14" t="str">
        <x:v>EXP-028</x:v>
      </x:c>
      <x:c r="B101" s="14" t="str">
        <x:v>Розширення ніш — 24.08</x:v>
      </x:c>
      <x:c r="C101" s="14" t="str">
        <x:v>GIDROSTOP</x:v>
      </x:c>
      <x:c r="D101" s="14" t="str">
        <x:v>Палі, фундаменти та підсилення</x:v>
      </x:c>
      <x:c r="E101" s="14" t="str">
        <x:v>Expansion discovery</x:v>
      </x:c>
      <x:c r="F101" s="17" t="str">
        <x:f>IF(E101="Pilot now",IF(P101&gt;=84,"P1",IF(P101&gt;=72,"P2","P3")),IF(E101="Expansion discovery",IF(Q101&gt;=88,"D1",IF(Q101&gt;=78,"D2","D3")),IF(E101="Later / requirements","L","Legacy")))</x:f>
        <x:v>D1</x:v>
      </x:c>
      <x:c r="G101" s="14" t="str">
        <x:v>gidrostop.com.ua</x:v>
      </x:c>
      <x:c r="H101" s="14" t="str">
        <x:v>Discovery — вимоги проєкту</x:v>
      </x:c>
      <x:c r="I101" s="16" t="n">
        <x:v>0</x:v>
      </x:c>
      <x:c r="J101" s="16" t="n">
        <x:v>5</x:v>
      </x:c>
      <x:c r="K101" s="16" t="n">
        <x:v>5</x:v>
      </x:c>
      <x:c r="L101" s="16" t="n">
        <x:v>4</x:v>
      </x:c>
      <x:c r="M101" s="16" t="n">
        <x:v>5</x:v>
      </x:c>
      <x:c r="N101" s="16" t="n">
        <x:v>5</x:v>
      </x:c>
      <x:c r="O101" s="16" t="n">
        <x:v>5</x:v>
      </x:c>
      <x:c r="P101" s="16" t="n">
        <x:f>IF(COUNT(I101:O101)&lt;7,"",I101*8+J101*3+K101*2+L101*2+M101*2+N101*2+O101)</x:f>
        <x:v>58</x:v>
      </x:c>
      <x:c r="Q101" s="16" t="n">
        <x:f>IF(COUNT(J101:O101)&lt;6,"",J101*5+K101*4+M101*4+L101*3+N101*2+O101*2)</x:f>
        <x:v>97</x:v>
      </x:c>
      <x:c r="R101" s="14" t="str">
        <x:v>high</x:v>
      </x:c>
      <x:c r="S101" s="14" t="str">
        <x:v>official_source_reverified</x:v>
      </x:c>
      <x:c r="T101" s="14" t="str">
        <x:v>official_source_reachable</x:v>
      </x:c>
      <x:c r="U101" s="14" t="str">
        <x:v>Новий — не контактували</x:v>
      </x:c>
      <x:c r="V101" s="15" t="str">
        <x:v>Discovery-call: отримати 1 реальний артефакт і вимоги проєкту; не обіцяти готове покриття</x:v>
      </x:c>
      <x:c r="W101" s="15" t="str">
        <x:v>Власник / директор; головний інженер; керівник ПТО</x:v>
      </x:c>
      <x:c r="X101" s="15" t="str">
        <x:v>Торкретування, армування й гідроізоляція промислових печей, мостів, фундаментів і резервуарів.</x:v>
      </x:c>
      <x:c r="Y101" s="15" t="str">
        <x:v>Армування, глибина, бетонування, журнали та випробування паль критичні до засипки й наступних конструкцій.</x:v>
      </x:c>
      <x:c r="Z101" s="15" t="str">
        <x:v>https://gidrostop.com.ua/ukriplennya-konstrukczij/</x:v>
      </x:c>
      <x:c r="AA101" s="14" t="str"/>
      <x:c r="AB101" s="14" t="str">
        <x:v>2026-08-24</x:v>
      </x:c>
      <x:c r="AC101" s="14" t="str">
        <x:v>Олександр</x:v>
      </x:c>
      <x:c r="AD101" s="20" t="str"/>
      <x:c r="AE101" s="14" t="str"/>
      <x:c r="AF101" s="14" t="n">
        <x:v>0</x:v>
      </x:c>
      <x:c r="AG101" s="14" t="str">
        <x:v>—</x:v>
      </x:c>
      <x:c r="AH101" s="14" t="n">
        <x:v>0</x:v>
      </x:c>
      <x:c r="AI101" s="14" t="n">
        <x:v>0</x:v>
      </x:c>
      <x:c r="AJ101" s="18" t="n">
        <x:v>0</x:v>
      </x:c>
      <x:c r="AK101" s="14" t="str"/>
      <x:c r="AL101" s="19" t="str"/>
      <x:c r="AM101" s="19" t="str"/>
      <x:c r="AN101" s="15" t="str"/>
      <x:c r="AO101" s="15" t="str">
        <x:v>official_source_reverified</x:v>
      </x:c>
    </x:row>
    <x:row r="102">
      <x:c r="A102" s="14" t="str">
        <x:v>EXP-003</x:v>
      </x:c>
      <x:c r="B102" s="14" t="str">
        <x:v>Розширення ніш — 24.08</x:v>
      </x:c>
      <x:c r="C102" s="14" t="str">
        <x:v>БК МД ГРУП</x:v>
      </x:c>
      <x:c r="D102" s="14" t="str">
        <x:v>Покрівлі та гідроізоляція</x:v>
      </x:c>
      <x:c r="E102" s="14" t="str">
        <x:v>Expansion discovery</x:v>
      </x:c>
      <x:c r="F102" s="17" t="str">
        <x:f>IF(E102="Pilot now",IF(P102&gt;=84,"P1",IF(P102&gt;=72,"P2","P3")),IF(E102="Expansion discovery",IF(Q102&gt;=88,"D1",IF(Q102&gt;=78,"D2","D3")),IF(E102="Later / requirements","L","Legacy")))</x:f>
        <x:v>D1</x:v>
      </x:c>
      <x:c r="G102" s="14" t="str">
        <x:v>bkmdgroup.com</x:v>
      </x:c>
      <x:c r="H102" s="14" t="str">
        <x:v>Discovery — вимоги проєкту</x:v>
      </x:c>
      <x:c r="I102" s="16" t="n">
        <x:v>0</x:v>
      </x:c>
      <x:c r="J102" s="16" t="n">
        <x:v>5</x:v>
      </x:c>
      <x:c r="K102" s="16" t="n">
        <x:v>5</x:v>
      </x:c>
      <x:c r="L102" s="16" t="n">
        <x:v>4</x:v>
      </x:c>
      <x:c r="M102" s="16" t="n">
        <x:v>4</x:v>
      </x:c>
      <x:c r="N102" s="16" t="n">
        <x:v>5</x:v>
      </x:c>
      <x:c r="O102" s="16" t="n">
        <x:v>5</x:v>
      </x:c>
      <x:c r="P102" s="16" t="n">
        <x:f>IF(COUNT(I102:O102)&lt;7,"",I102*8+J102*3+K102*2+L102*2+M102*2+N102*2+O102)</x:f>
        <x:v>56</x:v>
      </x:c>
      <x:c r="Q102" s="16" t="n">
        <x:f>IF(COUNT(J102:O102)&lt;6,"",J102*5+K102*4+M102*4+L102*3+N102*2+O102*2)</x:f>
        <x:v>93</x:v>
      </x:c>
      <x:c r="R102" s="14" t="str">
        <x:v>high</x:v>
      </x:c>
      <x:c r="S102" s="14" t="str">
        <x:v>official_source_reverified</x:v>
      </x:c>
      <x:c r="T102" s="14" t="str">
        <x:v>official_source_reachable</x:v>
      </x:c>
      <x:c r="U102" s="14" t="str">
        <x:v>Новий — не контактували</x:v>
      </x:c>
      <x:c r="V102" s="15" t="str">
        <x:v>Discovery-call: отримати 1 реальний артефакт і вимоги проєкту; не обіцяти готове покриття</x:v>
      </x:c>
      <x:c r="W102" s="15" t="str">
        <x:v>Власник / директор; керівник проєктів; виконроб</x:v>
      </x:c>
      <x:c r="X102" s="15" t="str">
        <x:v>Монтаж ПВХ-мембран під ключ для комерційних і виробничих об’єктів по Україні.</x:v>
      </x:c>
      <x:c r="Y102" s="15" t="str">
        <x:v>Пароізоляція, утеплення, кріплення, шви й примикання стають недоступними після завершення покрівельного пирога.</x:v>
      </x:c>
      <x:c r="Z102" s="15" t="str">
        <x:v>https://www.bkmdgroup.com/service/montazh-pvx-membany</x:v>
      </x:c>
      <x:c r="AA102" s="14" t="str"/>
      <x:c r="AB102" s="14" t="str">
        <x:v>2026-08-24</x:v>
      </x:c>
      <x:c r="AC102" s="14" t="str">
        <x:v>Олександр</x:v>
      </x:c>
      <x:c r="AD102" s="20" t="str"/>
      <x:c r="AE102" s="14" t="str"/>
      <x:c r="AF102" s="14" t="n">
        <x:v>0</x:v>
      </x:c>
      <x:c r="AG102" s="14" t="str">
        <x:v>—</x:v>
      </x:c>
      <x:c r="AH102" s="14" t="n">
        <x:v>0</x:v>
      </x:c>
      <x:c r="AI102" s="14" t="n">
        <x:v>0</x:v>
      </x:c>
      <x:c r="AJ102" s="18" t="n">
        <x:v>0</x:v>
      </x:c>
      <x:c r="AK102" s="14" t="str"/>
      <x:c r="AL102" s="19" t="str"/>
      <x:c r="AM102" s="19" t="str"/>
      <x:c r="AN102" s="15" t="str"/>
      <x:c r="AO102" s="15" t="str">
        <x:v>official_source_reverified</x:v>
      </x:c>
    </x:row>
    <x:row r="103">
      <x:c r="A103" s="14" t="str">
        <x:v>EXP-012</x:v>
      </x:c>
      <x:c r="B103" s="14" t="str">
        <x:v>Розширення ніш — 24.08</x:v>
      </x:c>
      <x:c r="C103" s="14" t="str">
        <x:v>НВФ-БУД МОНТАЖ</x:v>
      </x:c>
      <x:c r="D103" s="14" t="str">
        <x:v>Вентильовані фасади та скління</x:v>
      </x:c>
      <x:c r="E103" s="14" t="str">
        <x:v>Expansion discovery</x:v>
      </x:c>
      <x:c r="F103" s="17" t="str">
        <x:f>IF(E103="Pilot now",IF(P103&gt;=84,"P1",IF(P103&gt;=72,"P2","P3")),IF(E103="Expansion discovery",IF(Q103&gt;=88,"D1",IF(Q103&gt;=78,"D2","D3")),IF(E103="Later / requirements","L","Legacy")))</x:f>
        <x:v>D1</x:v>
      </x:c>
      <x:c r="G103" s="14" t="str">
        <x:v>nvf-group.com.ua</x:v>
      </x:c>
      <x:c r="H103" s="14" t="str">
        <x:v>Discovery — вимоги проєкту</x:v>
      </x:c>
      <x:c r="I103" s="16" t="n">
        <x:v>0</x:v>
      </x:c>
      <x:c r="J103" s="16" t="n">
        <x:v>5</x:v>
      </x:c>
      <x:c r="K103" s="16" t="n">
        <x:v>5</x:v>
      </x:c>
      <x:c r="L103" s="16" t="n">
        <x:v>4</x:v>
      </x:c>
      <x:c r="M103" s="16" t="n">
        <x:v>4</x:v>
      </x:c>
      <x:c r="N103" s="16" t="n">
        <x:v>5</x:v>
      </x:c>
      <x:c r="O103" s="16" t="n">
        <x:v>5</x:v>
      </x:c>
      <x:c r="P103" s="16" t="n">
        <x:f>IF(COUNT(I103:O103)&lt;7,"",I103*8+J103*3+K103*2+L103*2+M103*2+N103*2+O103)</x:f>
        <x:v>56</x:v>
      </x:c>
      <x:c r="Q103" s="16" t="n">
        <x:f>IF(COUNT(J103:O103)&lt;6,"",J103*5+K103*4+M103*4+L103*3+N103*2+O103*2)</x:f>
        <x:v>93</x:v>
      </x:c>
      <x:c r="R103" s="14" t="str">
        <x:v>high</x:v>
      </x:c>
      <x:c r="S103" s="14" t="str">
        <x:v>official_source_reverified</x:v>
      </x:c>
      <x:c r="T103" s="14" t="str">
        <x:v>official_source_reachable</x:v>
      </x:c>
      <x:c r="U103" s="14" t="str">
        <x:v>Новий — не контактували</x:v>
      </x:c>
      <x:c r="V103" s="15" t="str">
        <x:v>Discovery-call: отримати 1 реальний артефакт і вимоги проєкту; не обіцяти готове покриття</x:v>
      </x:c>
      <x:c r="W103" s="15" t="str">
        <x:v>Власник / директор; керівник фасадних проєктів; ПТО</x:v>
      </x:c>
      <x:c r="X103" s="15" t="str">
        <x:v>Проєктування й монтаж вентильованих фасадів по Україні; кілька типів облицювання.</x:v>
      </x:c>
      <x:c r="Y103" s="15" t="str">
        <x:v>Кронштейни, анкери, утеплення, мембрани й протипожежні відсічки закриваються облицюванням.</x:v>
      </x:c>
      <x:c r="Z103" s="15" t="str">
        <x:v>https://nvf-group.com.ua/</x:v>
      </x:c>
      <x:c r="AA103" s="14" t="str"/>
      <x:c r="AB103" s="14" t="str">
        <x:v>2026-08-24</x:v>
      </x:c>
      <x:c r="AC103" s="14" t="str">
        <x:v>Олександр</x:v>
      </x:c>
      <x:c r="AD103" s="20" t="str"/>
      <x:c r="AE103" s="14" t="str"/>
      <x:c r="AF103" s="14" t="n">
        <x:v>0</x:v>
      </x:c>
      <x:c r="AG103" s="14" t="str">
        <x:v>—</x:v>
      </x:c>
      <x:c r="AH103" s="14" t="n">
        <x:v>0</x:v>
      </x:c>
      <x:c r="AI103" s="14" t="n">
        <x:v>0</x:v>
      </x:c>
      <x:c r="AJ103" s="18" t="n">
        <x:v>0</x:v>
      </x:c>
      <x:c r="AK103" s="14" t="str"/>
      <x:c r="AL103" s="19" t="str"/>
      <x:c r="AM103" s="19" t="str"/>
      <x:c r="AN103" s="15" t="str"/>
      <x:c r="AO103" s="15" t="str">
        <x:v>official_source_reverified</x:v>
      </x:c>
    </x:row>
    <x:row r="104">
      <x:c r="A104" s="14" t="str">
        <x:v>EXP-008</x:v>
      </x:c>
      <x:c r="B104" s="14" t="str">
        <x:v>Розширення ніш — 24.08</x:v>
      </x:c>
      <x:c r="C104" s="14" t="str">
        <x:v>ПОКРИВ</x:v>
      </x:c>
      <x:c r="D104" s="14" t="str">
        <x:v>Покрівлі та гідроізоляція</x:v>
      </x:c>
      <x:c r="E104" s="14" t="str">
        <x:v>Expansion discovery</x:v>
      </x:c>
      <x:c r="F104" s="17" t="str">
        <x:f>IF(E104="Pilot now",IF(P104&gt;=84,"P1",IF(P104&gt;=72,"P2","P3")),IF(E104="Expansion discovery",IF(Q104&gt;=88,"D1",IF(Q104&gt;=78,"D2","D3")),IF(E104="Later / requirements","L","Legacy")))</x:f>
        <x:v>D1</x:v>
      </x:c>
      <x:c r="G104" s="14" t="str">
        <x:v>pokryv.com.ua</x:v>
      </x:c>
      <x:c r="H104" s="14" t="str">
        <x:v>Discovery — вимоги проєкту</x:v>
      </x:c>
      <x:c r="I104" s="16" t="n">
        <x:v>0</x:v>
      </x:c>
      <x:c r="J104" s="16" t="n">
        <x:v>5</x:v>
      </x:c>
      <x:c r="K104" s="16" t="n">
        <x:v>5</x:v>
      </x:c>
      <x:c r="L104" s="16" t="n">
        <x:v>4</x:v>
      </x:c>
      <x:c r="M104" s="16" t="n">
        <x:v>4</x:v>
      </x:c>
      <x:c r="N104" s="16" t="n">
        <x:v>5</x:v>
      </x:c>
      <x:c r="O104" s="16" t="n">
        <x:v>5</x:v>
      </x:c>
      <x:c r="P104" s="16" t="n">
        <x:f>IF(COUNT(I104:O104)&lt;7,"",I104*8+J104*3+K104*2+L104*2+M104*2+N104*2+O104)</x:f>
        <x:v>56</x:v>
      </x:c>
      <x:c r="Q104" s="16" t="n">
        <x:f>IF(COUNT(J104:O104)&lt;6,"",J104*5+K104*4+M104*4+L104*3+N104*2+O104*2)</x:f>
        <x:v>93</x:v>
      </x:c>
      <x:c r="R104" s="14" t="str">
        <x:v>high</x:v>
      </x:c>
      <x:c r="S104" s="14" t="str">
        <x:v>official_source_reverified</x:v>
      </x:c>
      <x:c r="T104" s="14" t="str">
        <x:v>official_source_reachable</x:v>
      </x:c>
      <x:c r="U104" s="14" t="str">
        <x:v>Новий — не контактували</x:v>
      </x:c>
      <x:c r="V104" s="15" t="str">
        <x:v>Discovery-call: отримати 1 реальний артефакт і вимоги проєкту; не обіцяти готове покриття</x:v>
      </x:c>
      <x:c r="W104" s="15" t="str">
        <x:v>Власник / директор; керівник проєктів; виконроб</x:v>
      </x:c>
      <x:c r="X104" s="15" t="str">
        <x:v>Портфоліо ПВХ/ТПО покрівель, терас, басейнів і промислових об’єктів.</x:v>
      </x:c>
      <x:c r="Y104" s="15" t="str">
        <x:v>Пароізоляція, утеплення, кріплення, шви й примикання стають недоступними після завершення покрівельного пирога.</x:v>
      </x:c>
      <x:c r="Z104" s="15" t="str">
        <x:v>https://pokryv.com.ua/gallery.html</x:v>
      </x:c>
      <x:c r="AA104" s="14" t="str"/>
      <x:c r="AB104" s="14" t="str">
        <x:v>2026-08-24</x:v>
      </x:c>
      <x:c r="AC104" s="14" t="str">
        <x:v>Олександр</x:v>
      </x:c>
      <x:c r="AD104" s="20" t="str"/>
      <x:c r="AE104" s="14" t="str"/>
      <x:c r="AF104" s="14" t="n">
        <x:v>0</x:v>
      </x:c>
      <x:c r="AG104" s="14" t="str">
        <x:v>—</x:v>
      </x:c>
      <x:c r="AH104" s="14" t="n">
        <x:v>0</x:v>
      </x:c>
      <x:c r="AI104" s="14" t="n">
        <x:v>0</x:v>
      </x:c>
      <x:c r="AJ104" s="18" t="n">
        <x:v>0</x:v>
      </x:c>
      <x:c r="AK104" s="14" t="str"/>
      <x:c r="AL104" s="19" t="str"/>
      <x:c r="AM104" s="19" t="str"/>
      <x:c r="AN104" s="15" t="str"/>
      <x:c r="AO104" s="15" t="str">
        <x:v>official_source_reverified</x:v>
      </x:c>
    </x:row>
    <x:row r="105">
      <x:c r="A105" s="14" t="str">
        <x:v>EXP-005</x:v>
      </x:c>
      <x:c r="B105" s="14" t="str">
        <x:v>Розширення ніш — 24.08</x:v>
      </x:c>
      <x:c r="C105" s="14" t="str">
        <x:v>ПРОФ-ІНВЕСТ ГРУП</x:v>
      </x:c>
      <x:c r="D105" s="14" t="str">
        <x:v>Покрівлі та гідроізоляція</x:v>
      </x:c>
      <x:c r="E105" s="14" t="str">
        <x:v>Expansion discovery</x:v>
      </x:c>
      <x:c r="F105" s="17" t="str">
        <x:f>IF(E105="Pilot now",IF(P105&gt;=84,"P1",IF(P105&gt;=72,"P2","P3")),IF(E105="Expansion discovery",IF(Q105&gt;=88,"D1",IF(Q105&gt;=78,"D2","D3")),IF(E105="Later / requirements","L","Legacy")))</x:f>
        <x:v>D1</x:v>
      </x:c>
      <x:c r="G105" s="14" t="str">
        <x:v>profinvestgrup.com.ua</x:v>
      </x:c>
      <x:c r="H105" s="14" t="str">
        <x:v>Discovery — вимоги проєкту</x:v>
      </x:c>
      <x:c r="I105" s="16" t="n">
        <x:v>0</x:v>
      </x:c>
      <x:c r="J105" s="16" t="n">
        <x:v>5</x:v>
      </x:c>
      <x:c r="K105" s="16" t="n">
        <x:v>5</x:v>
      </x:c>
      <x:c r="L105" s="16" t="n">
        <x:v>4</x:v>
      </x:c>
      <x:c r="M105" s="16" t="n">
        <x:v>4</x:v>
      </x:c>
      <x:c r="N105" s="16" t="n">
        <x:v>5</x:v>
      </x:c>
      <x:c r="O105" s="16" t="n">
        <x:v>5</x:v>
      </x:c>
      <x:c r="P105" s="16" t="n">
        <x:f>IF(COUNT(I105:O105)&lt;7,"",I105*8+J105*3+K105*2+L105*2+M105*2+N105*2+O105)</x:f>
        <x:v>56</x:v>
      </x:c>
      <x:c r="Q105" s="16" t="n">
        <x:f>IF(COUNT(J105:O105)&lt;6,"",J105*5+K105*4+M105*4+L105*3+N105*2+O105*2)</x:f>
        <x:v>93</x:v>
      </x:c>
      <x:c r="R105" s="14" t="str">
        <x:v>high</x:v>
      </x:c>
      <x:c r="S105" s="14" t="str">
        <x:v>official_source_reverified</x:v>
      </x:c>
      <x:c r="T105" s="14" t="str">
        <x:v>official_source_reachable</x:v>
      </x:c>
      <x:c r="U105" s="14" t="str">
        <x:v>Новий — не контактували</x:v>
      </x:c>
      <x:c r="V105" s="15" t="str">
        <x:v>Discovery-call: отримати 1 реальний артефакт і вимоги проєкту; не обіцяти готове покриття</x:v>
      </x:c>
      <x:c r="W105" s="15" t="str">
        <x:v>Власник / директор; керівник проєктів; виконроб</x:v>
      </x:c>
      <x:c r="X105" s="15" t="str">
        <x:v>17+ років і понад 150 000 м² змонтованих мембран по Україні.</x:v>
      </x:c>
      <x:c r="Y105" s="15" t="str">
        <x:v>Пароізоляція, утеплення, кріплення, шви й примикання стають недоступними після завершення покрівельного пирога.</x:v>
      </x:c>
      <x:c r="Z105" s="15" t="str">
        <x:v>https://profinvestgrup.com.ua/</x:v>
      </x:c>
      <x:c r="AA105" s="14" t="str"/>
      <x:c r="AB105" s="14" t="str">
        <x:v>2026-08-24</x:v>
      </x:c>
      <x:c r="AC105" s="14" t="str">
        <x:v>Олександр</x:v>
      </x:c>
      <x:c r="AD105" s="20" t="str"/>
      <x:c r="AE105" s="14" t="str"/>
      <x:c r="AF105" s="14" t="n">
        <x:v>0</x:v>
      </x:c>
      <x:c r="AG105" s="14" t="str">
        <x:v>—</x:v>
      </x:c>
      <x:c r="AH105" s="14" t="n">
        <x:v>0</x:v>
      </x:c>
      <x:c r="AI105" s="14" t="n">
        <x:v>0</x:v>
      </x:c>
      <x:c r="AJ105" s="18" t="n">
        <x:v>0</x:v>
      </x:c>
      <x:c r="AK105" s="14" t="str"/>
      <x:c r="AL105" s="19" t="str"/>
      <x:c r="AM105" s="19" t="str"/>
      <x:c r="AN105" s="15" t="str"/>
      <x:c r="AO105" s="15" t="str">
        <x:v>official_source_reverified</x:v>
      </x:c>
    </x:row>
    <x:row r="106">
      <x:c r="A106" s="14" t="str">
        <x:v>EXP-002</x:v>
      </x:c>
      <x:c r="B106" s="14" t="str">
        <x:v>Розширення ніш — 24.08</x:v>
      </x:c>
      <x:c r="C106" s="14" t="str">
        <x:v>СпецІзол</x:v>
      </x:c>
      <x:c r="D106" s="14" t="str">
        <x:v>Покрівлі та гідроізоляція</x:v>
      </x:c>
      <x:c r="E106" s="14" t="str">
        <x:v>Expansion discovery</x:v>
      </x:c>
      <x:c r="F106" s="17" t="str">
        <x:f>IF(E106="Pilot now",IF(P106&gt;=84,"P1",IF(P106&gt;=72,"P2","P3")),IF(E106="Expansion discovery",IF(Q106&gt;=88,"D1",IF(Q106&gt;=78,"D2","D3")),IF(E106="Later / requirements","L","Legacy")))</x:f>
        <x:v>D1</x:v>
      </x:c>
      <x:c r="G106" s="14" t="str">
        <x:v>spetsizol.com.ua</x:v>
      </x:c>
      <x:c r="H106" s="14" t="str">
        <x:v>Discovery — вимоги проєкту</x:v>
      </x:c>
      <x:c r="I106" s="16" t="n">
        <x:v>0</x:v>
      </x:c>
      <x:c r="J106" s="16" t="n">
        <x:v>5</x:v>
      </x:c>
      <x:c r="K106" s="16" t="n">
        <x:v>5</x:v>
      </x:c>
      <x:c r="L106" s="16" t="n">
        <x:v>4</x:v>
      </x:c>
      <x:c r="M106" s="16" t="n">
        <x:v>4</x:v>
      </x:c>
      <x:c r="N106" s="16" t="n">
        <x:v>5</x:v>
      </x:c>
      <x:c r="O106" s="16" t="n">
        <x:v>5</x:v>
      </x:c>
      <x:c r="P106" s="16" t="n">
        <x:f>IF(COUNT(I106:O106)&lt;7,"",I106*8+J106*3+K106*2+L106*2+M106*2+N106*2+O106)</x:f>
        <x:v>56</x:v>
      </x:c>
      <x:c r="Q106" s="16" t="n">
        <x:f>IF(COUNT(J106:O106)&lt;6,"",J106*5+K106*4+M106*4+L106*3+N106*2+O106*2)</x:f>
        <x:v>93</x:v>
      </x:c>
      <x:c r="R106" s="14" t="str">
        <x:v>high</x:v>
      </x:c>
      <x:c r="S106" s="14" t="str">
        <x:v>official_source_reverified</x:v>
      </x:c>
      <x:c r="T106" s="14" t="str">
        <x:v>official_source_reachable</x:v>
      </x:c>
      <x:c r="U106" s="14" t="str">
        <x:v>Новий — не контактували</x:v>
      </x:c>
      <x:c r="V106" s="15" t="str">
        <x:v>Discovery-call: отримати 1 реальний артефакт і вимоги проєкту; не обіцяти готове покриття</x:v>
      </x:c>
      <x:c r="W106" s="15" t="str">
        <x:v>Власник / директор; керівник проєктів; виконроб</x:v>
      </x:c>
      <x:c r="X106" s="15" t="str">
        <x:v>Портфоліо промислових і приватних мембранних покрівель; проєкти 600–1500 м².</x:v>
      </x:c>
      <x:c r="Y106" s="15" t="str">
        <x:v>Пароізоляція, утеплення, кріплення, шви й примикання стають недоступними після завершення покрівельного пирога.</x:v>
      </x:c>
      <x:c r="Z106" s="15" t="str">
        <x:v>https://spetsizol.com.ua/ua/photos</x:v>
      </x:c>
      <x:c r="AA106" s="14" t="str"/>
      <x:c r="AB106" s="14" t="str">
        <x:v>2026-08-24</x:v>
      </x:c>
      <x:c r="AC106" s="14" t="str">
        <x:v>Олександр</x:v>
      </x:c>
      <x:c r="AD106" s="20" t="str"/>
      <x:c r="AE106" s="14" t="str"/>
      <x:c r="AF106" s="14" t="n">
        <x:v>0</x:v>
      </x:c>
      <x:c r="AG106" s="14" t="str">
        <x:v>—</x:v>
      </x:c>
      <x:c r="AH106" s="14" t="n">
        <x:v>0</x:v>
      </x:c>
      <x:c r="AI106" s="14" t="n">
        <x:v>0</x:v>
      </x:c>
      <x:c r="AJ106" s="18" t="n">
        <x:v>0</x:v>
      </x:c>
      <x:c r="AK106" s="14" t="str"/>
      <x:c r="AL106" s="19" t="str"/>
      <x:c r="AM106" s="19" t="str"/>
      <x:c r="AN106" s="15" t="str"/>
      <x:c r="AO106" s="15" t="str">
        <x:v>official_source_reverified</x:v>
      </x:c>
    </x:row>
    <x:row r="107">
      <x:c r="A107" s="14" t="str">
        <x:v>EXP-007</x:v>
      </x:c>
      <x:c r="B107" s="14" t="str">
        <x:v>Розширення ніш — 24.08</x:v>
      </x:c>
      <x:c r="C107" s="14" t="str">
        <x:v>ТК Три Кита</x:v>
      </x:c>
      <x:c r="D107" s="14" t="str">
        <x:v>Покрівлі та гідроізоляція</x:v>
      </x:c>
      <x:c r="E107" s="14" t="str">
        <x:v>Expansion discovery</x:v>
      </x:c>
      <x:c r="F107" s="17" t="str">
        <x:f>IF(E107="Pilot now",IF(P107&gt;=84,"P1",IF(P107&gt;=72,"P2","P3")),IF(E107="Expansion discovery",IF(Q107&gt;=88,"D1",IF(Q107&gt;=78,"D2","D3")),IF(E107="Later / requirements","L","Legacy")))</x:f>
        <x:v>D1</x:v>
      </x:c>
      <x:c r="G107" s="14" t="str">
        <x:v>tk-build.kiev.ua</x:v>
      </x:c>
      <x:c r="H107" s="14" t="str">
        <x:v>Discovery — вимоги проєкту</x:v>
      </x:c>
      <x:c r="I107" s="16" t="n">
        <x:v>0</x:v>
      </x:c>
      <x:c r="J107" s="16" t="n">
        <x:v>5</x:v>
      </x:c>
      <x:c r="K107" s="16" t="n">
        <x:v>5</x:v>
      </x:c>
      <x:c r="L107" s="16" t="n">
        <x:v>4</x:v>
      </x:c>
      <x:c r="M107" s="16" t="n">
        <x:v>4</x:v>
      </x:c>
      <x:c r="N107" s="16" t="n">
        <x:v>5</x:v>
      </x:c>
      <x:c r="O107" s="16" t="n">
        <x:v>5</x:v>
      </x:c>
      <x:c r="P107" s="16" t="n">
        <x:f>IF(COUNT(I107:O107)&lt;7,"",I107*8+J107*3+K107*2+L107*2+M107*2+N107*2+O107)</x:f>
        <x:v>56</x:v>
      </x:c>
      <x:c r="Q107" s="16" t="n">
        <x:f>IF(COUNT(J107:O107)&lt;6,"",J107*5+K107*4+M107*4+L107*3+N107*2+O107*2)</x:f>
        <x:v>93</x:v>
      </x:c>
      <x:c r="R107" s="14" t="str">
        <x:v>high</x:v>
      </x:c>
      <x:c r="S107" s="14" t="str">
        <x:v>official_source_reverified</x:v>
      </x:c>
      <x:c r="T107" s="14" t="str">
        <x:v>official_source_reachable</x:v>
      </x:c>
      <x:c r="U107" s="14" t="str">
        <x:v>Новий — не контактували</x:v>
      </x:c>
      <x:c r="V107" s="15" t="str">
        <x:v>Discovery-call: отримати 1 реальний артефакт і вимоги проєкту; не обіцяти готове покриття</x:v>
      </x:c>
      <x:c r="W107" s="15" t="str">
        <x:v>Власник / директор; керівник проєктів; виконроб</x:v>
      </x:c>
      <x:c r="X107" s="15" t="str">
        <x:v>Портфоліо 300+ приватних і промислових покрівель по Україні.</x:v>
      </x:c>
      <x:c r="Y107" s="15" t="str">
        <x:v>Пароізоляція, утеплення, кріплення, шви й примикання стають недоступними після завершення покрівельного пирога.</x:v>
      </x:c>
      <x:c r="Z107" s="15" t="str">
        <x:v>https://www.tk-build.kiev.ua/portfolio-pokrivelnyh-robit/</x:v>
      </x:c>
      <x:c r="AA107" s="14" t="str"/>
      <x:c r="AB107" s="14" t="str">
        <x:v>2026-08-24</x:v>
      </x:c>
      <x:c r="AC107" s="14" t="str">
        <x:v>Олександр</x:v>
      </x:c>
      <x:c r="AD107" s="20" t="str"/>
      <x:c r="AE107" s="14" t="str"/>
      <x:c r="AF107" s="14" t="n">
        <x:v>0</x:v>
      </x:c>
      <x:c r="AG107" s="14" t="str">
        <x:v>—</x:v>
      </x:c>
      <x:c r="AH107" s="14" t="n">
        <x:v>0</x:v>
      </x:c>
      <x:c r="AI107" s="14" t="n">
        <x:v>0</x:v>
      </x:c>
      <x:c r="AJ107" s="18" t="n">
        <x:v>0</x:v>
      </x:c>
      <x:c r="AK107" s="14" t="str"/>
      <x:c r="AL107" s="19" t="str"/>
      <x:c r="AM107" s="19" t="str"/>
      <x:c r="AN107" s="15" t="str"/>
      <x:c r="AO107" s="15" t="str">
        <x:v>official_source_reverified</x:v>
      </x:c>
    </x:row>
    <x:row r="108">
      <x:c r="A108" s="14" t="str">
        <x:v>EXP-004</x:v>
      </x:c>
      <x:c r="B108" s="14" t="str">
        <x:v>Розширення ніш — 24.08</x:v>
      </x:c>
      <x:c r="C108" s="14" t="str">
        <x:v>Укргідроізол</x:v>
      </x:c>
      <x:c r="D108" s="14" t="str">
        <x:v>Покрівлі та гідроізоляція</x:v>
      </x:c>
      <x:c r="E108" s="14" t="str">
        <x:v>Expansion discovery</x:v>
      </x:c>
      <x:c r="F108" s="17" t="str">
        <x:f>IF(E108="Pilot now",IF(P108&gt;=84,"P1",IF(P108&gt;=72,"P2","P3")),IF(E108="Expansion discovery",IF(Q108&gt;=88,"D1",IF(Q108&gt;=78,"D2","D3")),IF(E108="Later / requirements","L","Legacy")))</x:f>
        <x:v>D1</x:v>
      </x:c>
      <x:c r="G108" s="14" t="str">
        <x:v>ukrgidroizol.com.ua</x:v>
      </x:c>
      <x:c r="H108" s="14" t="str">
        <x:v>Discovery — вимоги проєкту</x:v>
      </x:c>
      <x:c r="I108" s="16" t="n">
        <x:v>0</x:v>
      </x:c>
      <x:c r="J108" s="16" t="n">
        <x:v>5</x:v>
      </x:c>
      <x:c r="K108" s="16" t="n">
        <x:v>5</x:v>
      </x:c>
      <x:c r="L108" s="16" t="n">
        <x:v>4</x:v>
      </x:c>
      <x:c r="M108" s="16" t="n">
        <x:v>4</x:v>
      </x:c>
      <x:c r="N108" s="16" t="n">
        <x:v>5</x:v>
      </x:c>
      <x:c r="O108" s="16" t="n">
        <x:v>5</x:v>
      </x:c>
      <x:c r="P108" s="16" t="n">
        <x:f>IF(COUNT(I108:O108)&lt;7,"",I108*8+J108*3+K108*2+L108*2+M108*2+N108*2+O108)</x:f>
        <x:v>56</x:v>
      </x:c>
      <x:c r="Q108" s="16" t="n">
        <x:f>IF(COUNT(J108:O108)&lt;6,"",J108*5+K108*4+M108*4+L108*3+N108*2+O108*2)</x:f>
        <x:v>93</x:v>
      </x:c>
      <x:c r="R108" s="14" t="str">
        <x:v>high</x:v>
      </x:c>
      <x:c r="S108" s="14" t="str">
        <x:v>official_source_reverified</x:v>
      </x:c>
      <x:c r="T108" s="14" t="str">
        <x:v>official_source_reachable</x:v>
      </x:c>
      <x:c r="U108" s="14" t="str">
        <x:v>Новий — не контактували</x:v>
      </x:c>
      <x:c r="V108" s="15" t="str">
        <x:v>Discovery-call: отримати 1 реальний артефакт і вимоги проєкту; не обіцяти готове покриття</x:v>
      </x:c>
      <x:c r="W108" s="15" t="str">
        <x:v>Власник / директор; керівник проєктів; виконроб</x:v>
      </x:c>
      <x:c r="X108" s="15" t="str">
        <x:v>15+ років у ПВХ/ТПО покрівлях; повний покрівельний пиріг і галерея робіт.</x:v>
      </x:c>
      <x:c r="Y108" s="15" t="str">
        <x:v>Пароізоляція, утеплення, кріплення, шви й примикання стають недоступними після завершення покрівельного пирога.</x:v>
      </x:c>
      <x:c r="Z108" s="15" t="str">
        <x:v>https://ukrgidroizol.com.ua/</x:v>
      </x:c>
      <x:c r="AA108" s="14" t="str"/>
      <x:c r="AB108" s="14" t="str">
        <x:v>2026-08-24</x:v>
      </x:c>
      <x:c r="AC108" s="14" t="str">
        <x:v>Олександр</x:v>
      </x:c>
      <x:c r="AD108" s="20" t="str"/>
      <x:c r="AE108" s="14" t="str"/>
      <x:c r="AF108" s="14" t="n">
        <x:v>0</x:v>
      </x:c>
      <x:c r="AG108" s="14" t="str">
        <x:v>—</x:v>
      </x:c>
      <x:c r="AH108" s="14" t="n">
        <x:v>0</x:v>
      </x:c>
      <x:c r="AI108" s="14" t="n">
        <x:v>0</x:v>
      </x:c>
      <x:c r="AJ108" s="18" t="n">
        <x:v>0</x:v>
      </x:c>
      <x:c r="AK108" s="14" t="str"/>
      <x:c r="AL108" s="19" t="str"/>
      <x:c r="AM108" s="19" t="str"/>
      <x:c r="AN108" s="15" t="str"/>
      <x:c r="AO108" s="15" t="str">
        <x:v>official_source_reverified</x:v>
      </x:c>
    </x:row>
    <x:row r="109">
      <x:c r="A109" s="14" t="str">
        <x:v>EXP-013</x:v>
      </x:c>
      <x:c r="B109" s="14" t="str">
        <x:v>Розширення ніш — 24.08</x:v>
      </x:c>
      <x:c r="C109" s="14" t="str">
        <x:v>УКРФАСАДМОНТАЖ</x:v>
      </x:c>
      <x:c r="D109" s="14" t="str">
        <x:v>Вентильовані фасади та скління</x:v>
      </x:c>
      <x:c r="E109" s="14" t="str">
        <x:v>Expansion discovery</x:v>
      </x:c>
      <x:c r="F109" s="17" t="str">
        <x:f>IF(E109="Pilot now",IF(P109&gt;=84,"P1",IF(P109&gt;=72,"P2","P3")),IF(E109="Expansion discovery",IF(Q109&gt;=88,"D1",IF(Q109&gt;=78,"D2","D3")),IF(E109="Later / requirements","L","Legacy")))</x:f>
        <x:v>D1</x:v>
      </x:c>
      <x:c r="G109" s="14" t="str">
        <x:v>facade-ua.com</x:v>
      </x:c>
      <x:c r="H109" s="14" t="str">
        <x:v>Discovery — вимоги проєкту</x:v>
      </x:c>
      <x:c r="I109" s="16" t="n">
        <x:v>0</x:v>
      </x:c>
      <x:c r="J109" s="16" t="n">
        <x:v>5</x:v>
      </x:c>
      <x:c r="K109" s="16" t="n">
        <x:v>5</x:v>
      </x:c>
      <x:c r="L109" s="16" t="n">
        <x:v>4</x:v>
      </x:c>
      <x:c r="M109" s="16" t="n">
        <x:v>4</x:v>
      </x:c>
      <x:c r="N109" s="16" t="n">
        <x:v>5</x:v>
      </x:c>
      <x:c r="O109" s="16" t="n">
        <x:v>5</x:v>
      </x:c>
      <x:c r="P109" s="16" t="n">
        <x:f>IF(COUNT(I109:O109)&lt;7,"",I109*8+J109*3+K109*2+L109*2+M109*2+N109*2+O109)</x:f>
        <x:v>56</x:v>
      </x:c>
      <x:c r="Q109" s="16" t="n">
        <x:f>IF(COUNT(J109:O109)&lt;6,"",J109*5+K109*4+M109*4+L109*3+N109*2+O109*2)</x:f>
        <x:v>93</x:v>
      </x:c>
      <x:c r="R109" s="14" t="str">
        <x:v>high</x:v>
      </x:c>
      <x:c r="S109" s="14" t="str">
        <x:v>official_source_reverified</x:v>
      </x:c>
      <x:c r="T109" s="14" t="str">
        <x:v>official_source_reachable</x:v>
      </x:c>
      <x:c r="U109" s="14" t="str">
        <x:v>Новий — не контактували</x:v>
      </x:c>
      <x:c r="V109" s="15" t="str">
        <x:v>Discovery-call: отримати 1 реальний артефакт і вимоги проєкту; не обіцяти готове покриття</x:v>
      </x:c>
      <x:c r="W109" s="15" t="str">
        <x:v>Власник / директор; керівник фасадних проєктів; ПТО</x:v>
      </x:c>
      <x:c r="X109" s="15" t="str">
        <x:v>Фасадне скління, вентильовані фасади з утепленням і портфоліо бізнес-об’єктів.</x:v>
      </x:c>
      <x:c r="Y109" s="15" t="str">
        <x:v>Кронштейни, анкери, утеплення, мембрани й протипожежні відсічки закриваються облицюванням.</x:v>
      </x:c>
      <x:c r="Z109" s="15" t="str">
        <x:v>https://facade-ua.com/</x:v>
      </x:c>
      <x:c r="AA109" s="14" t="str"/>
      <x:c r="AB109" s="14" t="str">
        <x:v>2026-08-24</x:v>
      </x:c>
      <x:c r="AC109" s="14" t="str">
        <x:v>Олександр</x:v>
      </x:c>
      <x:c r="AD109" s="20" t="str"/>
      <x:c r="AE109" s="14" t="str"/>
      <x:c r="AF109" s="14" t="n">
        <x:v>0</x:v>
      </x:c>
      <x:c r="AG109" s="14" t="str">
        <x:v>—</x:v>
      </x:c>
      <x:c r="AH109" s="14" t="n">
        <x:v>0</x:v>
      </x:c>
      <x:c r="AI109" s="14" t="n">
        <x:v>0</x:v>
      </x:c>
      <x:c r="AJ109" s="18" t="n">
        <x:v>0</x:v>
      </x:c>
      <x:c r="AK109" s="14" t="str"/>
      <x:c r="AL109" s="19" t="str"/>
      <x:c r="AM109" s="19" t="str"/>
      <x:c r="AN109" s="15" t="str"/>
      <x:c r="AO109" s="15" t="str">
        <x:v>official_source_reverified</x:v>
      </x:c>
    </x:row>
    <x:row r="110">
      <x:c r="A110" s="14" t="str">
        <x:v>EXP-009</x:v>
      </x:c>
      <x:c r="B110" s="14" t="str">
        <x:v>Розширення ніш — 24.08</x:v>
      </x:c>
      <x:c r="C110" s="14" t="str">
        <x:v>AMKO</x:v>
      </x:c>
      <x:c r="D110" s="14" t="str">
        <x:v>Покрівлі та гідроізоляція</x:v>
      </x:c>
      <x:c r="E110" s="14" t="str">
        <x:v>Expansion discovery</x:v>
      </x:c>
      <x:c r="F110" s="17" t="str">
        <x:f>IF(E110="Pilot now",IF(P110&gt;=84,"P1",IF(P110&gt;=72,"P2","P3")),IF(E110="Expansion discovery",IF(Q110&gt;=88,"D1",IF(Q110&gt;=78,"D2","D3")),IF(E110="Later / requirements","L","Legacy")))</x:f>
        <x:v>D1</x:v>
      </x:c>
      <x:c r="G110" s="14" t="str">
        <x:v>amko.com.ua</x:v>
      </x:c>
      <x:c r="H110" s="14" t="str">
        <x:v>Discovery — вимоги проєкту</x:v>
      </x:c>
      <x:c r="I110" s="16" t="n">
        <x:v>0</x:v>
      </x:c>
      <x:c r="J110" s="16" t="n">
        <x:v>5</x:v>
      </x:c>
      <x:c r="K110" s="16" t="n">
        <x:v>5</x:v>
      </x:c>
      <x:c r="L110" s="16" t="n">
        <x:v>4</x:v>
      </x:c>
      <x:c r="M110" s="16" t="n">
        <x:v>4</x:v>
      </x:c>
      <x:c r="N110" s="16" t="n">
        <x:v>5</x:v>
      </x:c>
      <x:c r="O110" s="16" t="n">
        <x:v>5</x:v>
      </x:c>
      <x:c r="P110" s="16" t="n">
        <x:f>IF(COUNT(I110:O110)&lt;7,"",I110*8+J110*3+K110*2+L110*2+M110*2+N110*2+O110)</x:f>
        <x:v>56</x:v>
      </x:c>
      <x:c r="Q110" s="16" t="n">
        <x:f>IF(COUNT(J110:O110)&lt;6,"",J110*5+K110*4+M110*4+L110*3+N110*2+O110*2)</x:f>
        <x:v>93</x:v>
      </x:c>
      <x:c r="R110" s="14" t="str">
        <x:v>high</x:v>
      </x:c>
      <x:c r="S110" s="14" t="str">
        <x:v>official_source_reverified</x:v>
      </x:c>
      <x:c r="T110" s="14" t="str">
        <x:v>official_source_reachable</x:v>
      </x:c>
      <x:c r="U110" s="14" t="str">
        <x:v>Новий — не контактували</x:v>
      </x:c>
      <x:c r="V110" s="15" t="str">
        <x:v>Discovery-call: отримати 1 реальний артефакт і вимоги проєкту; не обіцяти готове покриття</x:v>
      </x:c>
      <x:c r="W110" s="15" t="str">
        <x:v>Власник / директор; керівник проєктів; виконроб</x:v>
      </x:c>
      <x:c r="X110" s="15" t="str">
        <x:v>Повний цикл мембранної покрівлі: основа, шари, шви, примикання й контроль.</x:v>
      </x:c>
      <x:c r="Y110" s="15" t="str">
        <x:v>Пароізоляція, утеплення, кріплення, шви й примикання стають недоступними після завершення покрівельного пирога.</x:v>
      </x:c>
      <x:c r="Z110" s="15" t="str">
        <x:v>https://amko.com.ua/pokrivelni-roboty/montazh-pvkh-membrany/</x:v>
      </x:c>
      <x:c r="AA110" s="14" t="str"/>
      <x:c r="AB110" s="14" t="str">
        <x:v>2026-08-24</x:v>
      </x:c>
      <x:c r="AC110" s="14" t="str">
        <x:v>Олександр</x:v>
      </x:c>
      <x:c r="AD110" s="20" t="str"/>
      <x:c r="AE110" s="14" t="str"/>
      <x:c r="AF110" s="14" t="n">
        <x:v>0</x:v>
      </x:c>
      <x:c r="AG110" s="14" t="str">
        <x:v>—</x:v>
      </x:c>
      <x:c r="AH110" s="14" t="n">
        <x:v>0</x:v>
      </x:c>
      <x:c r="AI110" s="14" t="n">
        <x:v>0</x:v>
      </x:c>
      <x:c r="AJ110" s="18" t="n">
        <x:v>0</x:v>
      </x:c>
      <x:c r="AK110" s="14" t="str"/>
      <x:c r="AL110" s="19" t="str"/>
      <x:c r="AM110" s="19" t="str"/>
      <x:c r="AN110" s="15" t="str"/>
      <x:c r="AO110" s="15" t="str">
        <x:v>official_source_reverified</x:v>
      </x:c>
    </x:row>
    <x:row r="111">
      <x:c r="A111" s="14" t="str">
        <x:v>EXP-001</x:v>
      </x:c>
      <x:c r="B111" s="14" t="str">
        <x:v>Розширення ніш — 24.08</x:v>
      </x:c>
      <x:c r="C111" s="14" t="str">
        <x:v>ATNI GROUP</x:v>
      </x:c>
      <x:c r="D111" s="14" t="str">
        <x:v>Покрівлі та гідроізоляція</x:v>
      </x:c>
      <x:c r="E111" s="14" t="str">
        <x:v>Expansion discovery</x:v>
      </x:c>
      <x:c r="F111" s="17" t="str">
        <x:f>IF(E111="Pilot now",IF(P111&gt;=84,"P1",IF(P111&gt;=72,"P2","P3")),IF(E111="Expansion discovery",IF(Q111&gt;=88,"D1",IF(Q111&gt;=78,"D2","D3")),IF(E111="Later / requirements","L","Legacy")))</x:f>
        <x:v>D1</x:v>
      </x:c>
      <x:c r="G111" s="14" t="str">
        <x:v>atnigroup.com.ua</x:v>
      </x:c>
      <x:c r="H111" s="14" t="str">
        <x:v>Discovery — вимоги проєкту</x:v>
      </x:c>
      <x:c r="I111" s="16" t="n">
        <x:v>0</x:v>
      </x:c>
      <x:c r="J111" s="16" t="n">
        <x:v>5</x:v>
      </x:c>
      <x:c r="K111" s="16" t="n">
        <x:v>5</x:v>
      </x:c>
      <x:c r="L111" s="16" t="n">
        <x:v>4</x:v>
      </x:c>
      <x:c r="M111" s="16" t="n">
        <x:v>4</x:v>
      </x:c>
      <x:c r="N111" s="16" t="n">
        <x:v>5</x:v>
      </x:c>
      <x:c r="O111" s="16" t="n">
        <x:v>5</x:v>
      </x:c>
      <x:c r="P111" s="16" t="n">
        <x:f>IF(COUNT(I111:O111)&lt;7,"",I111*8+J111*3+K111*2+L111*2+M111*2+N111*2+O111)</x:f>
        <x:v>56</x:v>
      </x:c>
      <x:c r="Q111" s="16" t="n">
        <x:f>IF(COUNT(J111:O111)&lt;6,"",J111*5+K111*4+M111*4+L111*3+N111*2+O111*2)</x:f>
        <x:v>93</x:v>
      </x:c>
      <x:c r="R111" s="14" t="str">
        <x:v>high</x:v>
      </x:c>
      <x:c r="S111" s="14" t="str">
        <x:v>official_source_reverified</x:v>
      </x:c>
      <x:c r="T111" s="14" t="str">
        <x:v>official_source_reachable</x:v>
      </x:c>
      <x:c r="U111" s="14" t="str">
        <x:v>Новий — не контактували</x:v>
      </x:c>
      <x:c r="V111" s="15" t="str">
        <x:v>Discovery-call: отримати 1 реальний артефакт і вимоги проєкту; не обіцяти готове покриття</x:v>
      </x:c>
      <x:c r="W111" s="15" t="str">
        <x:v>Власник / директор; керівник проєктів; виконроб</x:v>
      </x:c>
      <x:c r="X111" s="15" t="str">
        <x:v>ПВХ/ТПО мембрани, утеплення і реалізовані покрівлі 420–4670 м².</x:v>
      </x:c>
      <x:c r="Y111" s="15" t="str">
        <x:v>Пароізоляція, утеплення, кріплення, шви й примикання стають недоступними після завершення покрівельного пирога.</x:v>
      </x:c>
      <x:c r="Z111" s="15" t="str">
        <x:v>https://atnigroup.com.ua/</x:v>
      </x:c>
      <x:c r="AA111" s="14" t="str"/>
      <x:c r="AB111" s="14" t="str">
        <x:v>2026-08-24</x:v>
      </x:c>
      <x:c r="AC111" s="14" t="str">
        <x:v>Олександр</x:v>
      </x:c>
      <x:c r="AD111" s="20" t="str"/>
      <x:c r="AE111" s="14" t="str"/>
      <x:c r="AF111" s="14" t="n">
        <x:v>0</x:v>
      </x:c>
      <x:c r="AG111" s="14" t="str">
        <x:v>—</x:v>
      </x:c>
      <x:c r="AH111" s="14" t="n">
        <x:v>0</x:v>
      </x:c>
      <x:c r="AI111" s="14" t="n">
        <x:v>0</x:v>
      </x:c>
      <x:c r="AJ111" s="18" t="n">
        <x:v>0</x:v>
      </x:c>
      <x:c r="AK111" s="14" t="str"/>
      <x:c r="AL111" s="19" t="str"/>
      <x:c r="AM111" s="19" t="str"/>
      <x:c r="AN111" s="15" t="str"/>
      <x:c r="AO111" s="15" t="str">
        <x:v>official_source_reverified</x:v>
      </x:c>
    </x:row>
    <x:row r="112">
      <x:c r="A112" s="14" t="str">
        <x:v>EXP-019</x:v>
      </x:c>
      <x:c r="B112" s="14" t="str">
        <x:v>Розширення ніш — 24.08</x:v>
      </x:c>
      <x:c r="C112" s="14" t="str">
        <x:v>DENBETON</x:v>
      </x:c>
      <x:c r="D112" s="14" t="str">
        <x:v>Промислові підлоги та бетон</x:v>
      </x:c>
      <x:c r="E112" s="14" t="str">
        <x:v>Expansion discovery</x:v>
      </x:c>
      <x:c r="F112" s="17" t="str">
        <x:f>IF(E112="Pilot now",IF(P112&gt;=84,"P1",IF(P112&gt;=72,"P2","P3")),IF(E112="Expansion discovery",IF(Q112&gt;=88,"D1",IF(Q112&gt;=78,"D2","D3")),IF(E112="Later / requirements","L","Legacy")))</x:f>
        <x:v>D1</x:v>
      </x:c>
      <x:c r="G112" s="14" t="str">
        <x:v>denbeton.com.ua</x:v>
      </x:c>
      <x:c r="H112" s="14" t="str">
        <x:v>Discovery — вимоги проєкту</x:v>
      </x:c>
      <x:c r="I112" s="16" t="n">
        <x:v>0</x:v>
      </x:c>
      <x:c r="J112" s="16" t="n">
        <x:v>5</x:v>
      </x:c>
      <x:c r="K112" s="16" t="n">
        <x:v>4</x:v>
      </x:c>
      <x:c r="L112" s="16" t="n">
        <x:v>5</x:v>
      </x:c>
      <x:c r="M112" s="16" t="n">
        <x:v>4</x:v>
      </x:c>
      <x:c r="N112" s="16" t="n">
        <x:v>5</x:v>
      </x:c>
      <x:c r="O112" s="16" t="n">
        <x:v>5</x:v>
      </x:c>
      <x:c r="P112" s="16" t="n">
        <x:f>IF(COUNT(I112:O112)&lt;7,"",I112*8+J112*3+K112*2+L112*2+M112*2+N112*2+O112)</x:f>
        <x:v>56</x:v>
      </x:c>
      <x:c r="Q112" s="16" t="n">
        <x:f>IF(COUNT(J112:O112)&lt;6,"",J112*5+K112*4+M112*4+L112*3+N112*2+O112*2)</x:f>
        <x:v>92</x:v>
      </x:c>
      <x:c r="R112" s="14" t="str">
        <x:v>high</x:v>
      </x:c>
      <x:c r="S112" s="14" t="str">
        <x:v>official_source_reverified</x:v>
      </x:c>
      <x:c r="T112" s="14" t="str">
        <x:v>official_source_reachable</x:v>
      </x:c>
      <x:c r="U112" s="14" t="str">
        <x:v>Новий — не контактували</x:v>
      </x:c>
      <x:c r="V112" s="15" t="str">
        <x:v>Discovery-call: отримати 1 реальний артефакт і вимоги проєкту; не обіцяти готове покриття</x:v>
      </x:c>
      <x:c r="W112" s="15" t="str">
        <x:v>Власник / директор; керівник проєктів; технолог / ПТО</x:v>
      </x:c>
      <x:c r="X112" s="15" t="str">
        <x:v>200+ проєктів і 645 000 м² промислових підлог; власний масштаб виконання.</x:v>
      </x:c>
      <x:c r="Y112" s="15" t="str">
        <x:v>Підготовка основи, армування, шви, вологість і технологічні шари потрібно зафіксувати до заливки або нанесення фінішу.</x:v>
      </x:c>
      <x:c r="Z112" s="15" t="str">
        <x:v>https://www.denbeton.com.ua/</x:v>
      </x:c>
      <x:c r="AA112" s="14" t="str"/>
      <x:c r="AB112" s="14" t="str">
        <x:v>2026-08-24</x:v>
      </x:c>
      <x:c r="AC112" s="14" t="str">
        <x:v>Олександр</x:v>
      </x:c>
      <x:c r="AD112" s="20" t="str"/>
      <x:c r="AE112" s="14" t="str"/>
      <x:c r="AF112" s="14" t="n">
        <x:v>0</x:v>
      </x:c>
      <x:c r="AG112" s="14" t="str">
        <x:v>—</x:v>
      </x:c>
      <x:c r="AH112" s="14" t="n">
        <x:v>0</x:v>
      </x:c>
      <x:c r="AI112" s="14" t="n">
        <x:v>0</x:v>
      </x:c>
      <x:c r="AJ112" s="18" t="n">
        <x:v>0</x:v>
      </x:c>
      <x:c r="AK112" s="14" t="str"/>
      <x:c r="AL112" s="19" t="str"/>
      <x:c r="AM112" s="19" t="str"/>
      <x:c r="AN112" s="15" t="str"/>
      <x:c r="AO112" s="15" t="str">
        <x:v>official_source_reverified</x:v>
      </x:c>
    </x:row>
    <x:row r="113">
      <x:c r="A113" s="14" t="str">
        <x:v>EXP-015</x:v>
      </x:c>
      <x:c r="B113" s="14" t="str">
        <x:v>Розширення ніш — 24.08</x:v>
      </x:c>
      <x:c r="C113" s="14" t="str">
        <x:v>EKZO.HAUS</x:v>
      </x:c>
      <x:c r="D113" s="14" t="str">
        <x:v>Вентильовані фасади та скління</x:v>
      </x:c>
      <x:c r="E113" s="14" t="str">
        <x:v>Expansion discovery</x:v>
      </x:c>
      <x:c r="F113" s="17" t="str">
        <x:f>IF(E113="Pilot now",IF(P113&gt;=84,"P1",IF(P113&gt;=72,"P2","P3")),IF(E113="Expansion discovery",IF(Q113&gt;=88,"D1",IF(Q113&gt;=78,"D2","D3")),IF(E113="Later / requirements","L","Legacy")))</x:f>
        <x:v>D1</x:v>
      </x:c>
      <x:c r="G113" s="14" t="str">
        <x:v>ekzo.haus</x:v>
      </x:c>
      <x:c r="H113" s="14" t="str">
        <x:v>Discovery — вимоги проєкту</x:v>
      </x:c>
      <x:c r="I113" s="16" t="n">
        <x:v>0</x:v>
      </x:c>
      <x:c r="J113" s="16" t="n">
        <x:v>5</x:v>
      </x:c>
      <x:c r="K113" s="16" t="n">
        <x:v>5</x:v>
      </x:c>
      <x:c r="L113" s="16" t="n">
        <x:v>4</x:v>
      </x:c>
      <x:c r="M113" s="16" t="n">
        <x:v>4</x:v>
      </x:c>
      <x:c r="N113" s="16" t="n">
        <x:v>5</x:v>
      </x:c>
      <x:c r="O113" s="16" t="n">
        <x:v>5</x:v>
      </x:c>
      <x:c r="P113" s="16" t="n">
        <x:f>IF(COUNT(I113:O113)&lt;7,"",I113*8+J113*3+K113*2+L113*2+M113*2+N113*2+O113)</x:f>
        <x:v>56</x:v>
      </x:c>
      <x:c r="Q113" s="16" t="n">
        <x:f>IF(COUNT(J113:O113)&lt;6,"",J113*5+K113*4+M113*4+L113*3+N113*2+O113*2)</x:f>
        <x:v>93</x:v>
      </x:c>
      <x:c r="R113" s="14" t="str">
        <x:v>high</x:v>
      </x:c>
      <x:c r="S113" s="14" t="str">
        <x:v>official_source_reverified</x:v>
      </x:c>
      <x:c r="T113" s="14" t="str">
        <x:v>official_source_reachable</x:v>
      </x:c>
      <x:c r="U113" s="14" t="str">
        <x:v>Новий — не контактували</x:v>
      </x:c>
      <x:c r="V113" s="15" t="str">
        <x:v>Discovery-call: отримати 1 реальний артефакт і вимоги проєкту; не обіцяти готове покриття</x:v>
      </x:c>
      <x:c r="W113" s="15" t="str">
        <x:v>Власник / директор; керівник фасадних проєктів; ПТО</x:v>
      </x:c>
      <x:c r="X113" s="15" t="str">
        <x:v>Виробництво систем і організація монтажних бригад для вентфасадів та покрівель.</x:v>
      </x:c>
      <x:c r="Y113" s="15" t="str">
        <x:v>Кронштейни, анкери, утеплення, мембрани й протипожежні відсічки закриваються облицюванням.</x:v>
      </x:c>
      <x:c r="Z113" s="15" t="str">
        <x:v>https://ekzo.haus/</x:v>
      </x:c>
      <x:c r="AA113" s="14" t="str"/>
      <x:c r="AB113" s="14" t="str">
        <x:v>2026-08-24</x:v>
      </x:c>
      <x:c r="AC113" s="14" t="str">
        <x:v>Олександр</x:v>
      </x:c>
      <x:c r="AD113" s="20" t="str"/>
      <x:c r="AE113" s="14" t="str"/>
      <x:c r="AF113" s="14" t="n">
        <x:v>0</x:v>
      </x:c>
      <x:c r="AG113" s="14" t="str">
        <x:v>—</x:v>
      </x:c>
      <x:c r="AH113" s="14" t="n">
        <x:v>0</x:v>
      </x:c>
      <x:c r="AI113" s="14" t="n">
        <x:v>0</x:v>
      </x:c>
      <x:c r="AJ113" s="18" t="n">
        <x:v>0</x:v>
      </x:c>
      <x:c r="AK113" s="14" t="str"/>
      <x:c r="AL113" s="19" t="str"/>
      <x:c r="AM113" s="19" t="str"/>
      <x:c r="AN113" s="15" t="str"/>
      <x:c r="AO113" s="15" t="str">
        <x:v>official_source_reverified</x:v>
      </x:c>
    </x:row>
    <x:row r="114">
      <x:c r="A114" s="14" t="str">
        <x:v>EXP-018</x:v>
      </x:c>
      <x:c r="B114" s="14" t="str">
        <x:v>Розширення ніш — 24.08</x:v>
      </x:c>
      <x:c r="C114" s="14" t="str">
        <x:v>Olis-Group</x:v>
      </x:c>
      <x:c r="D114" s="14" t="str">
        <x:v>Промислові підлоги та бетон</x:v>
      </x:c>
      <x:c r="E114" s="14" t="str">
        <x:v>Expansion discovery</x:v>
      </x:c>
      <x:c r="F114" s="17" t="str">
        <x:f>IF(E114="Pilot now",IF(P114&gt;=84,"P1",IF(P114&gt;=72,"P2","P3")),IF(E114="Expansion discovery",IF(Q114&gt;=88,"D1",IF(Q114&gt;=78,"D2","D3")),IF(E114="Later / requirements","L","Legacy")))</x:f>
        <x:v>D1</x:v>
      </x:c>
      <x:c r="G114" s="14" t="str">
        <x:v>olis-group.com.ua</x:v>
      </x:c>
      <x:c r="H114" s="14" t="str">
        <x:v>Discovery — вимоги проєкту</x:v>
      </x:c>
      <x:c r="I114" s="16" t="n">
        <x:v>0</x:v>
      </x:c>
      <x:c r="J114" s="16" t="n">
        <x:v>5</x:v>
      </x:c>
      <x:c r="K114" s="16" t="n">
        <x:v>4</x:v>
      </x:c>
      <x:c r="L114" s="16" t="n">
        <x:v>5</x:v>
      </x:c>
      <x:c r="M114" s="16" t="n">
        <x:v>4</x:v>
      </x:c>
      <x:c r="N114" s="16" t="n">
        <x:v>5</x:v>
      </x:c>
      <x:c r="O114" s="16" t="n">
        <x:v>5</x:v>
      </x:c>
      <x:c r="P114" s="16" t="n">
        <x:f>IF(COUNT(I114:O114)&lt;7,"",I114*8+J114*3+K114*2+L114*2+M114*2+N114*2+O114)</x:f>
        <x:v>56</x:v>
      </x:c>
      <x:c r="Q114" s="16" t="n">
        <x:f>IF(COUNT(J114:O114)&lt;6,"",J114*5+K114*4+M114*4+L114*3+N114*2+O114*2)</x:f>
        <x:v>92</x:v>
      </x:c>
      <x:c r="R114" s="14" t="str">
        <x:v>high</x:v>
      </x:c>
      <x:c r="S114" s="14" t="str">
        <x:v>official_source_reverified</x:v>
      </x:c>
      <x:c r="T114" s="14" t="str">
        <x:v>official_source_reachable</x:v>
      </x:c>
      <x:c r="U114" s="14" t="str">
        <x:v>Новий — не контактували</x:v>
      </x:c>
      <x:c r="V114" s="15" t="str">
        <x:v>Discovery-call: отримати 1 реальний артефакт і вимоги проєкту; не обіцяти готове покриття</x:v>
      </x:c>
      <x:c r="W114" s="15" t="str">
        <x:v>Власник / директор; керівник проєктів; технолог / ПТО</x:v>
      </x:c>
      <x:c r="X114" s="15" t="str">
        <x:v>1850+ промислових підлог для великих заводів і харчових підприємств.</x:v>
      </x:c>
      <x:c r="Y114" s="15" t="str">
        <x:v>Підготовка основи, армування, шви, вологість і технологічні шари потрібно зафіксувати до заливки або нанесення фінішу.</x:v>
      </x:c>
      <x:c r="Z114" s="15" t="str">
        <x:v>https://olis-group.com.ua/</x:v>
      </x:c>
      <x:c r="AA114" s="14" t="str"/>
      <x:c r="AB114" s="14" t="str">
        <x:v>2026-08-24</x:v>
      </x:c>
      <x:c r="AC114" s="14" t="str">
        <x:v>Олександр</x:v>
      </x:c>
      <x:c r="AD114" s="20" t="str"/>
      <x:c r="AE114" s="14" t="str"/>
      <x:c r="AF114" s="14" t="n">
        <x:v>0</x:v>
      </x:c>
      <x:c r="AG114" s="14" t="str">
        <x:v>—</x:v>
      </x:c>
      <x:c r="AH114" s="14" t="n">
        <x:v>0</x:v>
      </x:c>
      <x:c r="AI114" s="14" t="n">
        <x:v>0</x:v>
      </x:c>
      <x:c r="AJ114" s="18" t="n">
        <x:v>0</x:v>
      </x:c>
      <x:c r="AK114" s="14" t="str"/>
      <x:c r="AL114" s="19" t="str"/>
      <x:c r="AM114" s="19" t="str"/>
      <x:c r="AN114" s="15" t="str"/>
      <x:c r="AO114" s="15" t="str">
        <x:v>official_source_reverified</x:v>
      </x:c>
    </x:row>
    <x:row r="115">
      <x:c r="A115" s="14" t="str">
        <x:v>EXP-016</x:v>
      </x:c>
      <x:c r="B115" s="14" t="str">
        <x:v>Розширення ніш — 24.08</x:v>
      </x:c>
      <x:c r="C115" s="14" t="str">
        <x:v>SCANROC Україна</x:v>
      </x:c>
      <x:c r="D115" s="14" t="str">
        <x:v>Вентильовані фасади та скління</x:v>
      </x:c>
      <x:c r="E115" s="14" t="str">
        <x:v>Expansion discovery</x:v>
      </x:c>
      <x:c r="F115" s="17" t="str">
        <x:f>IF(E115="Pilot now",IF(P115&gt;=84,"P1",IF(P115&gt;=72,"P2","P3")),IF(E115="Expansion discovery",IF(Q115&gt;=88,"D1",IF(Q115&gt;=78,"D2","D3")),IF(E115="Later / requirements","L","Legacy")))</x:f>
        <x:v>D1</x:v>
      </x:c>
      <x:c r="G115" s="14" t="str">
        <x:v>scanroc.ua</x:v>
      </x:c>
      <x:c r="H115" s="14" t="str">
        <x:v>Discovery — вимоги проєкту</x:v>
      </x:c>
      <x:c r="I115" s="16" t="n">
        <x:v>0</x:v>
      </x:c>
      <x:c r="J115" s="16" t="n">
        <x:v>5</x:v>
      </x:c>
      <x:c r="K115" s="16" t="n">
        <x:v>5</x:v>
      </x:c>
      <x:c r="L115" s="16" t="n">
        <x:v>5</x:v>
      </x:c>
      <x:c r="M115" s="16" t="n">
        <x:v>4</x:v>
      </x:c>
      <x:c r="N115" s="16" t="n">
        <x:v>5</x:v>
      </x:c>
      <x:c r="O115" s="16" t="n">
        <x:v>3</x:v>
      </x:c>
      <x:c r="P115" s="16" t="n">
        <x:f>IF(COUNT(I115:O115)&lt;7,"",I115*8+J115*3+K115*2+L115*2+M115*2+N115*2+O115)</x:f>
        <x:v>56</x:v>
      </x:c>
      <x:c r="Q115" s="16" t="n">
        <x:f>IF(COUNT(J115:O115)&lt;6,"",J115*5+K115*4+M115*4+L115*3+N115*2+O115*2)</x:f>
        <x:v>92</x:v>
      </x:c>
      <x:c r="R115" s="14" t="str">
        <x:v>high</x:v>
      </x:c>
      <x:c r="S115" s="14" t="str">
        <x:v>official_source_reverified</x:v>
      </x:c>
      <x:c r="T115" s="14" t="str">
        <x:v>official_source_reachable</x:v>
      </x:c>
      <x:c r="U115" s="14" t="str">
        <x:v>Новий — не контактували</x:v>
      </x:c>
      <x:c r="V115" s="15" t="str">
        <x:v>Discovery-call: отримати 1 реальний артефакт і вимоги проєкту; не обіцяти готове покриття</x:v>
      </x:c>
      <x:c r="W115" s="15" t="str">
        <x:v>Власник / директор; керівник фасадних проєктів; ПТО</x:v>
      </x:c>
      <x:c r="X115" s="15" t="str">
        <x:v>Близько 5 млн м² змонтованих фасадних систем; великий перелік реалізованих об’єктів.</x:v>
      </x:c>
      <x:c r="Y115" s="15" t="str">
        <x:v>Кронштейни, анкери, утеплення, мембрани й протипожежні відсічки закриваються облицюванням.</x:v>
      </x:c>
      <x:c r="Z115" s="15" t="str">
        <x:v>https://scanroc.ua/</x:v>
      </x:c>
      <x:c r="AA115" s="14" t="str"/>
      <x:c r="AB115" s="14" t="str">
        <x:v>2026-08-24</x:v>
      </x:c>
      <x:c r="AC115" s="14" t="str">
        <x:v>Олександр</x:v>
      </x:c>
      <x:c r="AD115" s="20" t="str"/>
      <x:c r="AE115" s="14" t="str"/>
      <x:c r="AF115" s="14" t="n">
        <x:v>0</x:v>
      </x:c>
      <x:c r="AG115" s="14" t="str">
        <x:v>—</x:v>
      </x:c>
      <x:c r="AH115" s="14" t="n">
        <x:v>0</x:v>
      </x:c>
      <x:c r="AI115" s="14" t="n">
        <x:v>0</x:v>
      </x:c>
      <x:c r="AJ115" s="18" t="n">
        <x:v>0</x:v>
      </x:c>
      <x:c r="AK115" s="14" t="str"/>
      <x:c r="AL115" s="19" t="str"/>
      <x:c r="AM115" s="19" t="str"/>
      <x:c r="AN115" s="15" t="str"/>
      <x:c r="AO115" s="15" t="str">
        <x:v>official_source_reverified</x:v>
      </x:c>
    </x:row>
    <x:row r="116">
      <x:c r="A116" s="14" t="str">
        <x:v>EXP-011</x:v>
      </x:c>
      <x:c r="B116" s="14" t="str">
        <x:v>Розширення ніш — 24.08</x:v>
      </x:c>
      <x:c r="C116" s="14" t="str">
        <x:v>VEMAKS</x:v>
      </x:c>
      <x:c r="D116" s="14" t="str">
        <x:v>Покрівлі та гідроізоляція</x:v>
      </x:c>
      <x:c r="E116" s="14" t="str">
        <x:v>Expansion discovery</x:v>
      </x:c>
      <x:c r="F116" s="17" t="str">
        <x:f>IF(E116="Pilot now",IF(P116&gt;=84,"P1",IF(P116&gt;=72,"P2","P3")),IF(E116="Expansion discovery",IF(Q116&gt;=88,"D1",IF(Q116&gt;=78,"D2","D3")),IF(E116="Later / requirements","L","Legacy")))</x:f>
        <x:v>D1</x:v>
      </x:c>
      <x:c r="G116" s="14" t="str">
        <x:v>vemaks.com.ua</x:v>
      </x:c>
      <x:c r="H116" s="14" t="str">
        <x:v>Discovery — вимоги проєкту</x:v>
      </x:c>
      <x:c r="I116" s="16" t="n">
        <x:v>0</x:v>
      </x:c>
      <x:c r="J116" s="16" t="n">
        <x:v>5</x:v>
      </x:c>
      <x:c r="K116" s="16" t="n">
        <x:v>5</x:v>
      </x:c>
      <x:c r="L116" s="16" t="n">
        <x:v>4</x:v>
      </x:c>
      <x:c r="M116" s="16" t="n">
        <x:v>4</x:v>
      </x:c>
      <x:c r="N116" s="16" t="n">
        <x:v>5</x:v>
      </x:c>
      <x:c r="O116" s="16" t="n">
        <x:v>5</x:v>
      </x:c>
      <x:c r="P116" s="16" t="n">
        <x:f>IF(COUNT(I116:O116)&lt;7,"",I116*8+J116*3+K116*2+L116*2+M116*2+N116*2+O116)</x:f>
        <x:v>56</x:v>
      </x:c>
      <x:c r="Q116" s="16" t="n">
        <x:f>IF(COUNT(J116:O116)&lt;6,"",J116*5+K116*4+M116*4+L116*3+N116*2+O116*2)</x:f>
        <x:v>93</x:v>
      </x:c>
      <x:c r="R116" s="14" t="str">
        <x:v>high</x:v>
      </x:c>
      <x:c r="S116" s="14" t="str">
        <x:v>official_source_reverified</x:v>
      </x:c>
      <x:c r="T116" s="14" t="str">
        <x:v>official_source_reachable</x:v>
      </x:c>
      <x:c r="U116" s="14" t="str">
        <x:v>Новий — не контактували</x:v>
      </x:c>
      <x:c r="V116" s="15" t="str">
        <x:v>Discovery-call: отримати 1 реальний артефакт і вимоги проєкту; не обіцяти готове покриття</x:v>
      </x:c>
      <x:c r="W116" s="15" t="str">
        <x:v>Власник / директор; керівник проєктів; виконроб</x:v>
      </x:c>
      <x:c r="X116" s="15" t="str">
        <x:v>Публічний кейс ПВХ-покрівлі супермаркету АТБ з опрацюванням вузлів і гарантією.</x:v>
      </x:c>
      <x:c r="Y116" s="15" t="str">
        <x:v>Пароізоляція, утеплення, кріплення, шви й примикання стають недоступними після завершення покрівельного пирога.</x:v>
      </x:c>
      <x:c r="Z116" s="15" t="str">
        <x:v>https://vemaks.com.ua/our_objects/ustroystvo-pvkh-krovli-supermarketa-atb-v-g-poltava/</x:v>
      </x:c>
      <x:c r="AA116" s="14" t="str"/>
      <x:c r="AB116" s="14" t="str">
        <x:v>2026-08-24</x:v>
      </x:c>
      <x:c r="AC116" s="14" t="str">
        <x:v>Олександр</x:v>
      </x:c>
      <x:c r="AD116" s="20" t="str"/>
      <x:c r="AE116" s="14" t="str"/>
      <x:c r="AF116" s="14" t="n">
        <x:v>0</x:v>
      </x:c>
      <x:c r="AG116" s="14" t="str">
        <x:v>—</x:v>
      </x:c>
      <x:c r="AH116" s="14" t="n">
        <x:v>0</x:v>
      </x:c>
      <x:c r="AI116" s="14" t="n">
        <x:v>0</x:v>
      </x:c>
      <x:c r="AJ116" s="18" t="n">
        <x:v>0</x:v>
      </x:c>
      <x:c r="AK116" s="14" t="str"/>
      <x:c r="AL116" s="19" t="str"/>
      <x:c r="AM116" s="19" t="str"/>
      <x:c r="AN116" s="15" t="str"/>
      <x:c r="AO116" s="15" t="str">
        <x:v>official_source_reverified</x:v>
      </x:c>
    </x:row>
    <x:row r="117">
      <x:c r="A117" s="14" t="str">
        <x:v>EXP-021</x:v>
      </x:c>
      <x:c r="B117" s="14" t="str">
        <x:v>Розширення ніш — 24.08</x:v>
      </x:c>
      <x:c r="C117" s="14" t="str">
        <x:v>БК ЮММА</x:v>
      </x:c>
      <x:c r="D117" s="14" t="str">
        <x:v>Промислові підлоги та бетон</x:v>
      </x:c>
      <x:c r="E117" s="14" t="str">
        <x:v>Expansion discovery</x:v>
      </x:c>
      <x:c r="F117" s="17" t="str">
        <x:f>IF(E117="Pilot now",IF(P117&gt;=84,"P1",IF(P117&gt;=72,"P2","P3")),IF(E117="Expansion discovery",IF(Q117&gt;=88,"D1",IF(Q117&gt;=78,"D2","D3")),IF(E117="Later / requirements","L","Legacy")))</x:f>
        <x:v>D1</x:v>
      </x:c>
      <x:c r="G117" s="14" t="str">
        <x:v>umma-bud.com.ua</x:v>
      </x:c>
      <x:c r="H117" s="14" t="str">
        <x:v>Discovery — вимоги проєкту</x:v>
      </x:c>
      <x:c r="I117" s="16" t="n">
        <x:v>0</x:v>
      </x:c>
      <x:c r="J117" s="16" t="n">
        <x:v>5</x:v>
      </x:c>
      <x:c r="K117" s="16" t="n">
        <x:v>4</x:v>
      </x:c>
      <x:c r="L117" s="16" t="n">
        <x:v>4</x:v>
      </x:c>
      <x:c r="M117" s="16" t="n">
        <x:v>4</x:v>
      </x:c>
      <x:c r="N117" s="16" t="n">
        <x:v>5</x:v>
      </x:c>
      <x:c r="O117" s="16" t="n">
        <x:v>5</x:v>
      </x:c>
      <x:c r="P117" s="16" t="n">
        <x:f>IF(COUNT(I117:O117)&lt;7,"",I117*8+J117*3+K117*2+L117*2+M117*2+N117*2+O117)</x:f>
        <x:v>54</x:v>
      </x:c>
      <x:c r="Q117" s="16" t="n">
        <x:f>IF(COUNT(J117:O117)&lt;6,"",J117*5+K117*4+M117*4+L117*3+N117*2+O117*2)</x:f>
        <x:v>89</x:v>
      </x:c>
      <x:c r="R117" s="14" t="str">
        <x:v>high</x:v>
      </x:c>
      <x:c r="S117" s="14" t="str">
        <x:v>official_source_reverified</x:v>
      </x:c>
      <x:c r="T117" s="14" t="str">
        <x:v>official_source_reachable</x:v>
      </x:c>
      <x:c r="U117" s="14" t="str">
        <x:v>Новий — не контактували</x:v>
      </x:c>
      <x:c r="V117" s="15" t="str">
        <x:v>Discovery-call: отримати 1 реальний артефакт і вимоги проєкту; не обіцяти готове покриття</x:v>
      </x:c>
      <x:c r="W117" s="15" t="str">
        <x:v>Власник / директор; керівник проєктів; технолог / ПТО</x:v>
      </x:c>
      <x:c r="X117" s="15" t="str">
        <x:v>Промислові бетонні підлоги для виробництв, логістики, торгівлі й медичних об’єктів.</x:v>
      </x:c>
      <x:c r="Y117" s="15" t="str">
        <x:v>Підготовка основи, армування, шви, вологість і технологічні шари потрібно зафіксувати до заливки або нанесення фінішу.</x:v>
      </x:c>
      <x:c r="Z117" s="15" t="str">
        <x:v>https://umma-bud.com.ua/</x:v>
      </x:c>
      <x:c r="AA117" s="14" t="str"/>
      <x:c r="AB117" s="14" t="str">
        <x:v>2026-08-24</x:v>
      </x:c>
      <x:c r="AC117" s="14" t="str">
        <x:v>Олександр</x:v>
      </x:c>
      <x:c r="AD117" s="20" t="str"/>
      <x:c r="AE117" s="14" t="str"/>
      <x:c r="AF117" s="14" t="n">
        <x:v>0</x:v>
      </x:c>
      <x:c r="AG117" s="14" t="str">
        <x:v>—</x:v>
      </x:c>
      <x:c r="AH117" s="14" t="n">
        <x:v>0</x:v>
      </x:c>
      <x:c r="AI117" s="14" t="n">
        <x:v>0</x:v>
      </x:c>
      <x:c r="AJ117" s="18" t="n">
        <x:v>0</x:v>
      </x:c>
      <x:c r="AK117" s="14" t="str"/>
      <x:c r="AL117" s="19" t="str"/>
      <x:c r="AM117" s="19" t="str"/>
      <x:c r="AN117" s="15" t="str"/>
      <x:c r="AO117" s="15" t="str">
        <x:v>official_source_reverified</x:v>
      </x:c>
    </x:row>
    <x:row r="118">
      <x:c r="A118" s="14" t="str">
        <x:v>EXP-020</x:v>
      </x:c>
      <x:c r="B118" s="14" t="str">
        <x:v>Розширення ніш — 24.08</x:v>
      </x:c>
      <x:c r="C118" s="14" t="str">
        <x:v>БСК Poliflo</x:v>
      </x:c>
      <x:c r="D118" s="14" t="str">
        <x:v>Промислові підлоги та бетон</x:v>
      </x:c>
      <x:c r="E118" s="14" t="str">
        <x:v>Expansion discovery</x:v>
      </x:c>
      <x:c r="F118" s="17" t="str">
        <x:f>IF(E118="Pilot now",IF(P118&gt;=84,"P1",IF(P118&gt;=72,"P2","P3")),IF(E118="Expansion discovery",IF(Q118&gt;=88,"D1",IF(Q118&gt;=78,"D2","D3")),IF(E118="Later / requirements","L","Legacy")))</x:f>
        <x:v>D1</x:v>
      </x:c>
      <x:c r="G118" s="14" t="str">
        <x:v>poliflo.com.ua</x:v>
      </x:c>
      <x:c r="H118" s="14" t="str">
        <x:v>Discovery — вимоги проєкту</x:v>
      </x:c>
      <x:c r="I118" s="16" t="n">
        <x:v>0</x:v>
      </x:c>
      <x:c r="J118" s="16" t="n">
        <x:v>5</x:v>
      </x:c>
      <x:c r="K118" s="16" t="n">
        <x:v>4</x:v>
      </x:c>
      <x:c r="L118" s="16" t="n">
        <x:v>4</x:v>
      </x:c>
      <x:c r="M118" s="16" t="n">
        <x:v>4</x:v>
      </x:c>
      <x:c r="N118" s="16" t="n">
        <x:v>5</x:v>
      </x:c>
      <x:c r="O118" s="16" t="n">
        <x:v>5</x:v>
      </x:c>
      <x:c r="P118" s="16" t="n">
        <x:f>IF(COUNT(I118:O118)&lt;7,"",I118*8+J118*3+K118*2+L118*2+M118*2+N118*2+O118)</x:f>
        <x:v>54</x:v>
      </x:c>
      <x:c r="Q118" s="16" t="n">
        <x:f>IF(COUNT(J118:O118)&lt;6,"",J118*5+K118*4+M118*4+L118*3+N118*2+O118*2)</x:f>
        <x:v>89</x:v>
      </x:c>
      <x:c r="R118" s="14" t="str">
        <x:v>high</x:v>
      </x:c>
      <x:c r="S118" s="14" t="str">
        <x:v>official_source_reverified</x:v>
      </x:c>
      <x:c r="T118" s="14" t="str">
        <x:v>official_source_reachable</x:v>
      </x:c>
      <x:c r="U118" s="14" t="str">
        <x:v>Новий — не контактували</x:v>
      </x:c>
      <x:c r="V118" s="15" t="str">
        <x:v>Discovery-call: отримати 1 реальний артефакт і вимоги проєкту; не обіцяти готове покриття</x:v>
      </x:c>
      <x:c r="W118" s="15" t="str">
        <x:v>Власник / директор; керівник проєктів; технолог / ПТО</x:v>
      </x:c>
      <x:c r="X118" s="15" t="str">
        <x:v>Портфоліо полімерних, бетонних і топінгових підлог з вимогами замовників.</x:v>
      </x:c>
      <x:c r="Y118" s="15" t="str">
        <x:v>Підготовка основи, армування, шви, вологість і технологічні шари потрібно зафіксувати до заливки або нанесення фінішу.</x:v>
      </x:c>
      <x:c r="Z118" s="15" t="str">
        <x:v>https://poliflo.com.ua/portfolio</x:v>
      </x:c>
      <x:c r="AA118" s="14" t="str"/>
      <x:c r="AB118" s="14" t="str">
        <x:v>2026-08-24</x:v>
      </x:c>
      <x:c r="AC118" s="14" t="str">
        <x:v>Олександр</x:v>
      </x:c>
      <x:c r="AD118" s="20" t="str"/>
      <x:c r="AE118" s="14" t="str"/>
      <x:c r="AF118" s="14" t="n">
        <x:v>0</x:v>
      </x:c>
      <x:c r="AG118" s="14" t="str">
        <x:v>—</x:v>
      </x:c>
      <x:c r="AH118" s="14" t="n">
        <x:v>0</x:v>
      </x:c>
      <x:c r="AI118" s="14" t="n">
        <x:v>0</x:v>
      </x:c>
      <x:c r="AJ118" s="18" t="n">
        <x:v>0</x:v>
      </x:c>
      <x:c r="AK118" s="14" t="str"/>
      <x:c r="AL118" s="19" t="str"/>
      <x:c r="AM118" s="19" t="str"/>
      <x:c r="AN118" s="15" t="str"/>
      <x:c r="AO118" s="15" t="str">
        <x:v>official_source_reverified</x:v>
      </x:c>
    </x:row>
    <x:row r="119">
      <x:c r="A119" s="14" t="str">
        <x:v>EXP-017</x:v>
      </x:c>
      <x:c r="B119" s="14" t="str">
        <x:v>Розширення ніш — 24.08</x:v>
      </x:c>
      <x:c r="C119" s="14" t="str">
        <x:v>КУБ Моноліт</x:v>
      </x:c>
      <x:c r="D119" s="14" t="str">
        <x:v>Промислові підлоги та бетон</x:v>
      </x:c>
      <x:c r="E119" s="14" t="str">
        <x:v>Expansion discovery</x:v>
      </x:c>
      <x:c r="F119" s="17" t="str">
        <x:f>IF(E119="Pilot now",IF(P119&gt;=84,"P1",IF(P119&gt;=72,"P2","P3")),IF(E119="Expansion discovery",IF(Q119&gt;=88,"D1",IF(Q119&gt;=78,"D2","D3")),IF(E119="Later / requirements","L","Legacy")))</x:f>
        <x:v>D1</x:v>
      </x:c>
      <x:c r="G119" s="14" t="str">
        <x:v>kubmonolit.com</x:v>
      </x:c>
      <x:c r="H119" s="14" t="str">
        <x:v>Discovery — вимоги проєкту</x:v>
      </x:c>
      <x:c r="I119" s="16" t="n">
        <x:v>0</x:v>
      </x:c>
      <x:c r="J119" s="16" t="n">
        <x:v>5</x:v>
      </x:c>
      <x:c r="K119" s="16" t="n">
        <x:v>4</x:v>
      </x:c>
      <x:c r="L119" s="16" t="n">
        <x:v>4</x:v>
      </x:c>
      <x:c r="M119" s="16" t="n">
        <x:v>4</x:v>
      </x:c>
      <x:c r="N119" s="16" t="n">
        <x:v>5</x:v>
      </x:c>
      <x:c r="O119" s="16" t="n">
        <x:v>5</x:v>
      </x:c>
      <x:c r="P119" s="16" t="n">
        <x:f>IF(COUNT(I119:O119)&lt;7,"",I119*8+J119*3+K119*2+L119*2+M119*2+N119*2+O119)</x:f>
        <x:v>54</x:v>
      </x:c>
      <x:c r="Q119" s="16" t="n">
        <x:f>IF(COUNT(J119:O119)&lt;6,"",J119*5+K119*4+M119*4+L119*3+N119*2+O119*2)</x:f>
        <x:v>89</x:v>
      </x:c>
      <x:c r="R119" s="14" t="str">
        <x:v>high</x:v>
      </x:c>
      <x:c r="S119" s="14" t="str">
        <x:v>official_source_reverified</x:v>
      </x:c>
      <x:c r="T119" s="14" t="str">
        <x:v>official_source_reachable</x:v>
      </x:c>
      <x:c r="U119" s="14" t="str">
        <x:v>Новий — не контактували</x:v>
      </x:c>
      <x:c r="V119" s="15" t="str">
        <x:v>Discovery-call: отримати 1 реальний артефакт і вимоги проєкту; не обіцяти готове покриття</x:v>
      </x:c>
      <x:c r="W119" s="15" t="str">
        <x:v>Власник / директор; керівник проєктів; технолог / ПТО</x:v>
      </x:c>
      <x:c r="X119" s="15" t="str">
        <x:v>22 кейси бетонних підлог і 17 монолітно-каркасних об’єктів у портфоліо.</x:v>
      </x:c>
      <x:c r="Y119" s="15" t="str">
        <x:v>Підготовка основи, армування, шви, вологість і технологічні шари потрібно зафіксувати до заливки або нанесення фінішу.</x:v>
      </x:c>
      <x:c r="Z119" s="15" t="str">
        <x:v>https://kubmonolit.com/portfolio/</x:v>
      </x:c>
      <x:c r="AA119" s="14" t="str"/>
      <x:c r="AB119" s="14" t="str">
        <x:v>2026-08-24</x:v>
      </x:c>
      <x:c r="AC119" s="14" t="str">
        <x:v>Олександр</x:v>
      </x:c>
      <x:c r="AD119" s="20" t="str"/>
      <x:c r="AE119" s="14" t="str"/>
      <x:c r="AF119" s="14" t="n">
        <x:v>0</x:v>
      </x:c>
      <x:c r="AG119" s="14" t="str">
        <x:v>—</x:v>
      </x:c>
      <x:c r="AH119" s="14" t="n">
        <x:v>0</x:v>
      </x:c>
      <x:c r="AI119" s="14" t="n">
        <x:v>0</x:v>
      </x:c>
      <x:c r="AJ119" s="18" t="n">
        <x:v>0</x:v>
      </x:c>
      <x:c r="AK119" s="14" t="str"/>
      <x:c r="AL119" s="19" t="str"/>
      <x:c r="AM119" s="19" t="str"/>
      <x:c r="AN119" s="15" t="str"/>
      <x:c r="AO119" s="15" t="str">
        <x:v>official_source_reverified</x:v>
      </x:c>
    </x:row>
    <x:row r="120">
      <x:c r="A120" s="14" t="str">
        <x:v>EXP-010</x:v>
      </x:c>
      <x:c r="B120" s="14" t="str">
        <x:v>Розширення ніш — 24.08</x:v>
      </x:c>
      <x:c r="C120" s="14" t="str">
        <x:v>GRD MEMBRANA</x:v>
      </x:c>
      <x:c r="D120" s="14" t="str">
        <x:v>Покрівлі та гідроізоляція</x:v>
      </x:c>
      <x:c r="E120" s="14" t="str">
        <x:v>Expansion discovery</x:v>
      </x:c>
      <x:c r="F120" s="17" t="str">
        <x:f>IF(E120="Pilot now",IF(P120&gt;=84,"P1",IF(P120&gt;=72,"P2","P3")),IF(E120="Expansion discovery",IF(Q120&gt;=88,"D1",IF(Q120&gt;=78,"D2","D3")),IF(E120="Later / requirements","L","Legacy")))</x:f>
        <x:v>D1</x:v>
      </x:c>
      <x:c r="G120" s="14" t="str">
        <x:v>grdmembrana.com.ua</x:v>
      </x:c>
      <x:c r="H120" s="14" t="str">
        <x:v>Discovery — вимоги проєкту</x:v>
      </x:c>
      <x:c r="I120" s="16" t="n">
        <x:v>0</x:v>
      </x:c>
      <x:c r="J120" s="16" t="n">
        <x:v>5</x:v>
      </x:c>
      <x:c r="K120" s="16" t="n">
        <x:v>5</x:v>
      </x:c>
      <x:c r="L120" s="16" t="n">
        <x:v>3</x:v>
      </x:c>
      <x:c r="M120" s="16" t="n">
        <x:v>4</x:v>
      </x:c>
      <x:c r="N120" s="16" t="n">
        <x:v>5</x:v>
      </x:c>
      <x:c r="O120" s="16" t="n">
        <x:v>5</x:v>
      </x:c>
      <x:c r="P120" s="16" t="n">
        <x:f>IF(COUNT(I120:O120)&lt;7,"",I120*8+J120*3+K120*2+L120*2+M120*2+N120*2+O120)</x:f>
        <x:v>54</x:v>
      </x:c>
      <x:c r="Q120" s="16" t="n">
        <x:f>IF(COUNT(J120:O120)&lt;6,"",J120*5+K120*4+M120*4+L120*3+N120*2+O120*2)</x:f>
        <x:v>90</x:v>
      </x:c>
      <x:c r="R120" s="14" t="str">
        <x:v>high</x:v>
      </x:c>
      <x:c r="S120" s="14" t="str">
        <x:v>official_source_reverified</x:v>
      </x:c>
      <x:c r="T120" s="14" t="str">
        <x:v>official_source_reachable</x:v>
      </x:c>
      <x:c r="U120" s="14" t="str">
        <x:v>Новий — не контактували</x:v>
      </x:c>
      <x:c r="V120" s="15" t="str">
        <x:v>Discovery-call: отримати 1 реальний артефакт і вимоги проєкту; не обіцяти готове покриття</x:v>
      </x:c>
      <x:c r="W120" s="15" t="str">
        <x:v>Власник / директор; керівник проєктів; виконроб</x:v>
      </x:c>
      <x:c r="X120" s="15" t="str">
        <x:v>Мембранні промислові покрівлі та ремонти в Закарпатті.</x:v>
      </x:c>
      <x:c r="Y120" s="15" t="str">
        <x:v>Пароізоляція, утеплення, кріплення, шви й примикання стають недоступними після завершення покрівельного пирога.</x:v>
      </x:c>
      <x:c r="Z120" s="15" t="str">
        <x:v>https://grdmembrana.com.ua/</x:v>
      </x:c>
      <x:c r="AA120" s="14" t="str"/>
      <x:c r="AB120" s="14" t="str">
        <x:v>2026-08-24</x:v>
      </x:c>
      <x:c r="AC120" s="14" t="str">
        <x:v>Олександр</x:v>
      </x:c>
      <x:c r="AD120" s="20" t="str"/>
      <x:c r="AE120" s="14" t="str"/>
      <x:c r="AF120" s="14" t="n">
        <x:v>0</x:v>
      </x:c>
      <x:c r="AG120" s="14" t="str">
        <x:v>—</x:v>
      </x:c>
      <x:c r="AH120" s="14" t="n">
        <x:v>0</x:v>
      </x:c>
      <x:c r="AI120" s="14" t="n">
        <x:v>0</x:v>
      </x:c>
      <x:c r="AJ120" s="18" t="n">
        <x:v>0</x:v>
      </x:c>
      <x:c r="AK120" s="14" t="str"/>
      <x:c r="AL120" s="19" t="str"/>
      <x:c r="AM120" s="19" t="str"/>
      <x:c r="AN120" s="15" t="str"/>
      <x:c r="AO120" s="15" t="str">
        <x:v>official_source_reverified</x:v>
      </x:c>
    </x:row>
    <x:row r="121">
      <x:c r="A121" s="14" t="str">
        <x:v>AUG-038</x:v>
      </x:c>
      <x:c r="B121" s="14" t="str">
        <x:v>Перевірено 51 — 24.08</x:v>
      </x:c>
      <x:c r="C121" s="14" t="str">
        <x:v>СПЗ-МОНТАЖ</x:v>
      </x:c>
      <x:c r="D121" s="14" t="str">
        <x:v>Пожежні системи</x:v>
      </x:c>
      <x:c r="E121" s="14" t="str">
        <x:v>Expansion discovery</x:v>
      </x:c>
      <x:c r="F121" s="17" t="str">
        <x:f>IF(E121="Pilot now",IF(P121&gt;=84,"P1",IF(P121&gt;=72,"P2","P3")),IF(E121="Expansion discovery",IF(Q121&gt;=88,"D1",IF(Q121&gt;=78,"D2","D3")),IF(E121="Later / requirements","L","Legacy")))</x:f>
        <x:v>D2</x:v>
      </x:c>
      <x:c r="G121" s="14" t="str">
        <x:v>spz-montage.com.ua</x:v>
      </x:c>
      <x:c r="H121" s="14" t="str">
        <x:v>Discovery — частково Н.15 + вимоги проєкту</x:v>
      </x:c>
      <x:c r="I121" s="16" t="n">
        <x:v>4</x:v>
      </x:c>
      <x:c r="J121" s="16" t="n">
        <x:v>5</x:v>
      </x:c>
      <x:c r="K121" s="16" t="n">
        <x:v>4</x:v>
      </x:c>
      <x:c r="L121" s="16" t="n">
        <x:v>4</x:v>
      </x:c>
      <x:c r="M121" s="16" t="n">
        <x:v>5</x:v>
      </x:c>
      <x:c r="N121" s="16" t="n">
        <x:v>5</x:v>
      </x:c>
      <x:c r="O121" s="16" t="n">
        <x:v>2</x:v>
      </x:c>
      <x:c r="P121" s="16" t="n">
        <x:f>IF(COUNT(I121:O121)&lt;7,"",I121*8+J121*3+K121*2+L121*2+M121*2+N121*2+O121)</x:f>
        <x:v>85</x:v>
      </x:c>
      <x:c r="Q121" s="16" t="n">
        <x:f>IF(COUNT(J121:O121)&lt;6,"",J121*5+K121*4+M121*4+L121*3+N121*2+O121*2)</x:f>
        <x:v>87</x:v>
      </x:c>
      <x:c r="R121" s="14" t="str">
        <x:v>high</x:v>
      </x:c>
      <x:c r="S121" s="14" t="str">
        <x:v>official_content_reverified_via_search_index</x:v>
      </x:c>
      <x:c r="T121" s="14" t="str">
        <x:v>live_site_bad_ssl_certificate</x:v>
      </x:c>
      <x:c r="U121" s="14" t="str">
        <x:v>Новий — не контактували</x:v>
      </x:c>
      <x:c r="V121" s="15" t="str">
        <x:v>Discovery-call: перевірити процес і отримати вимоги конкретного проєкту</x:v>
      </x:c>
      <x:c r="W121" s="15" t="str">
        <x:v>Директор; руководитель ПТО</x:v>
      </x:c>
      <x:c r="X121" s="15" t="str">
        <x:v>100+ клиентов, проектирование и монтаж всех систем противопожарной защиты; свежие проекты 2026 года.</x:v>
      </x:c>
      <x:c r="Y121" s="15" t="str">
        <x:v>Есть активные объекты и приёмка систем; пилот ограничить электрическими и санитарно-техническими этапами.</x:v>
      </x:c>
      <x:c r="Z121" s="15" t="str">
        <x:v>https://spz-montage.com.ua/</x:v>
      </x:c>
      <x:c r="AA121" s="14" t="str"/>
      <x:c r="AB121" s="14" t="str">
        <x:v>2026-08-24</x:v>
      </x:c>
      <x:c r="AC121" s="14" t="str">
        <x:v>Олександр</x:v>
      </x:c>
      <x:c r="AD121" s="20" t="str"/>
      <x:c r="AE121" s="14" t="str"/>
      <x:c r="AF121" s="14" t="n">
        <x:v>0</x:v>
      </x:c>
      <x:c r="AG121" s="14" t="str">
        <x:v>—</x:v>
      </x:c>
      <x:c r="AH121" s="14" t="n">
        <x:v>0</x:v>
      </x:c>
      <x:c r="AI121" s="14" t="n">
        <x:v>0</x:v>
      </x:c>
      <x:c r="AJ121" s="18" t="n">
        <x:v>0</x:v>
      </x:c>
      <x:c r="AK121" s="14" t="str"/>
      <x:c r="AL121" s="19" t="str"/>
      <x:c r="AM121" s="19" t="str"/>
      <x:c r="AN121" s="15" t="str"/>
      <x:c r="AO121" s="15" t="str">
        <x:v>official_content_reverified_via_search_index</x:v>
      </x:c>
    </x:row>
    <x:row r="122">
      <x:c r="A122" s="14" t="str">
        <x:v>AUG-021</x:v>
      </x:c>
      <x:c r="B122" s="14" t="str">
        <x:v>Перевірено 51 — 24.08</x:v>
      </x:c>
      <x:c r="C122" s="14" t="str">
        <x:v>Ваша Безпека</x:v>
      </x:c>
      <x:c r="D122" s="14" t="str">
        <x:v>Пожежна безпека + охорона</x:v>
      </x:c>
      <x:c r="E122" s="14" t="str">
        <x:v>Expansion discovery</x:v>
      </x:c>
      <x:c r="F122" s="17" t="str">
        <x:f>IF(E122="Pilot now",IF(P122&gt;=84,"P1",IF(P122&gt;=72,"P2","P3")),IF(E122="Expansion discovery",IF(Q122&gt;=88,"D1",IF(Q122&gt;=78,"D2","D3")),IF(E122="Later / requirements","L","Legacy")))</x:f>
        <x:v>D2</x:v>
      </x:c>
      <x:c r="G122" s="14" t="str">
        <x:v>vbezpeka.com.ua</x:v>
      </x:c>
      <x:c r="H122" s="14" t="str">
        <x:v>Discovery — частково Н.15 + вимоги проєкту</x:v>
      </x:c>
      <x:c r="I122" s="16" t="n">
        <x:v>4</x:v>
      </x:c>
      <x:c r="J122" s="16" t="n">
        <x:v>5</x:v>
      </x:c>
      <x:c r="K122" s="16" t="n">
        <x:v>4</x:v>
      </x:c>
      <x:c r="L122" s="16" t="n">
        <x:v>3</x:v>
      </x:c>
      <x:c r="M122" s="16" t="n">
        <x:v>4</x:v>
      </x:c>
      <x:c r="N122" s="16" t="n">
        <x:v>5</x:v>
      </x:c>
      <x:c r="O122" s="16" t="n">
        <x:v>5</x:v>
      </x:c>
      <x:c r="P122" s="16" t="n">
        <x:f>IF(COUNT(I122:O122)&lt;7,"",I122*8+J122*3+K122*2+L122*2+M122*2+N122*2+O122)</x:f>
        <x:v>84</x:v>
      </x:c>
      <x:c r="Q122" s="16" t="n">
        <x:f>IF(COUNT(J122:O122)&lt;6,"",J122*5+K122*4+M122*4+L122*3+N122*2+O122*2)</x:f>
        <x:v>86</x:v>
      </x:c>
      <x:c r="R122" s="14" t="str">
        <x:v>high</x:v>
      </x:c>
      <x:c r="S122" s="14" t="str">
        <x:v>official_source_reverified</x:v>
      </x:c>
      <x:c r="T122" s="14" t="str">
        <x:v>official_source_reachable</x:v>
      </x:c>
      <x:c r="U122" s="14" t="str">
        <x:v>Новий — не контактували</x:v>
      </x:c>
      <x:c r="V122" s="15" t="str">
        <x:v>Discovery-call: перевірити процес і отримати вимоги конкретного проєкту</x:v>
      </x:c>
      <x:c r="W122" s="15" t="str">
        <x:v>Директор; главный инженер</x:v>
      </x:c>
      <x:c r="X122" s="15" t="str">
        <x:v>Проектирование, монтаж и обслуживание пожарной/охранной сигнализации, пожарного водопровода и дымоудаления.</x:v>
      </x:c>
      <x:c r="Y122" s="15" t="str">
        <x:v>Кабельные шлейфы и автоматика скрываются; для пожарного водопровода нужен документ заказчика.</x:v>
      </x:c>
      <x:c r="Z122" s="15" t="str">
        <x:v>https://vbezpeka.com.ua/uk/golovna/</x:v>
      </x:c>
      <x:c r="AA122" s="14" t="str"/>
      <x:c r="AB122" s="14" t="str">
        <x:v>2026-08-24</x:v>
      </x:c>
      <x:c r="AC122" s="14" t="str">
        <x:v>Олександр</x:v>
      </x:c>
      <x:c r="AD122" s="20" t="str"/>
      <x:c r="AE122" s="14" t="str"/>
      <x:c r="AF122" s="14" t="n">
        <x:v>0</x:v>
      </x:c>
      <x:c r="AG122" s="14" t="str">
        <x:v>—</x:v>
      </x:c>
      <x:c r="AH122" s="14" t="n">
        <x:v>0</x:v>
      </x:c>
      <x:c r="AI122" s="14" t="n">
        <x:v>0</x:v>
      </x:c>
      <x:c r="AJ122" s="18" t="n">
        <x:v>0</x:v>
      </x:c>
      <x:c r="AK122" s="14" t="str"/>
      <x:c r="AL122" s="19" t="str"/>
      <x:c r="AM122" s="19" t="str"/>
      <x:c r="AN122" s="15" t="str"/>
      <x:c r="AO122" s="15" t="str">
        <x:v>official_source_reverified</x:v>
      </x:c>
    </x:row>
    <x:row r="123">
      <x:c r="A123" s="14" t="str">
        <x:v>AUG-018</x:v>
      </x:c>
      <x:c r="B123" s="14" t="str">
        <x:v>Перевірено 51 — 24.08</x:v>
      </x:c>
      <x:c r="C123" s="14" t="str">
        <x:v>Страж</x:v>
      </x:c>
      <x:c r="D123" s="14" t="str">
        <x:v>Пожежні системи</x:v>
      </x:c>
      <x:c r="E123" s="14" t="str">
        <x:v>Expansion discovery</x:v>
      </x:c>
      <x:c r="F123" s="17" t="str">
        <x:f>IF(E123="Pilot now",IF(P123&gt;=84,"P1",IF(P123&gt;=72,"P2","P3")),IF(E123="Expansion discovery",IF(Q123&gt;=88,"D1",IF(Q123&gt;=78,"D2","D3")),IF(E123="Later / requirements","L","Legacy")))</x:f>
        <x:v>D2</x:v>
      </x:c>
      <x:c r="G123" s="14" t="str">
        <x:v>straj.net</x:v>
      </x:c>
      <x:c r="H123" s="14" t="str">
        <x:v>Discovery — частково Н.15 + вимоги проєкту</x:v>
      </x:c>
      <x:c r="I123" s="16" t="n">
        <x:v>4</x:v>
      </x:c>
      <x:c r="J123" s="16" t="n">
        <x:v>5</x:v>
      </x:c>
      <x:c r="K123" s="16" t="n">
        <x:v>4</x:v>
      </x:c>
      <x:c r="L123" s="16" t="n">
        <x:v>3</x:v>
      </x:c>
      <x:c r="M123" s="16" t="n">
        <x:v>4</x:v>
      </x:c>
      <x:c r="N123" s="16" t="n">
        <x:v>5</x:v>
      </x:c>
      <x:c r="O123" s="16" t="n">
        <x:v>5</x:v>
      </x:c>
      <x:c r="P123" s="16" t="n">
        <x:f>IF(COUNT(I123:O123)&lt;7,"",I123*8+J123*3+K123*2+L123*2+M123*2+N123*2+O123)</x:f>
        <x:v>84</x:v>
      </x:c>
      <x:c r="Q123" s="16" t="n">
        <x:f>IF(COUNT(J123:O123)&lt;6,"",J123*5+K123*4+M123*4+L123*3+N123*2+O123*2)</x:f>
        <x:v>86</x:v>
      </x:c>
      <x:c r="R123" s="14" t="str">
        <x:v>high</x:v>
      </x:c>
      <x:c r="S123" s="14" t="str">
        <x:v>official_source_reverified</x:v>
      </x:c>
      <x:c r="T123" s="14" t="str">
        <x:v>official_source_reachable</x:v>
      </x:c>
      <x:c r="U123" s="14" t="str">
        <x:v>Новий — не контактували</x:v>
      </x:c>
      <x:c r="V123" s="15" t="str">
        <x:v>Discovery-call: перевірити процес і отримати вимоги конкретного проєкту</x:v>
      </x:c>
      <x:c r="W123" s="15" t="str">
        <x:v>Директор; руководитель монтажной службы</x:v>
      </x:c>
      <x:c r="X123" s="15" t="str">
        <x:v>Начинает работы с технического проекта и выполняет монтаж пожарной сигнализации на коммерческих объектах.</x:v>
      </x:c>
      <x:c r="Y123" s="15" t="str">
        <x:v>Скрытые кабели и исполнительное подтверждение можно отделить от специфических пожарных актов.</x:v>
      </x:c>
      <x:c r="Z123" s="15" t="str">
        <x:v>https://straj.net/</x:v>
      </x:c>
      <x:c r="AA123" s="14" t="str"/>
      <x:c r="AB123" s="14" t="str">
        <x:v>2026-08-24</x:v>
      </x:c>
      <x:c r="AC123" s="14" t="str">
        <x:v>Олександр</x:v>
      </x:c>
      <x:c r="AD123" s="20" t="str"/>
      <x:c r="AE123" s="14" t="str"/>
      <x:c r="AF123" s="14" t="n">
        <x:v>0</x:v>
      </x:c>
      <x:c r="AG123" s="14" t="str">
        <x:v>—</x:v>
      </x:c>
      <x:c r="AH123" s="14" t="n">
        <x:v>0</x:v>
      </x:c>
      <x:c r="AI123" s="14" t="n">
        <x:v>0</x:v>
      </x:c>
      <x:c r="AJ123" s="18" t="n">
        <x:v>0</x:v>
      </x:c>
      <x:c r="AK123" s="14" t="str"/>
      <x:c r="AL123" s="19" t="str"/>
      <x:c r="AM123" s="19" t="str"/>
      <x:c r="AN123" s="15" t="str"/>
      <x:c r="AO123" s="15" t="str">
        <x:v>official_source_reverified</x:v>
      </x:c>
    </x:row>
    <x:row r="124">
      <x:c r="A124" s="14" t="str">
        <x:v>AUG-016</x:v>
      </x:c>
      <x:c r="B124" s="14" t="str">
        <x:v>Перевірено 51 — 24.08</x:v>
      </x:c>
      <x:c r="C124" s="14" t="str">
        <x:v>Fire Security</x:v>
      </x:c>
      <x:c r="D124" s="14" t="str">
        <x:v>Пожежні системи</x:v>
      </x:c>
      <x:c r="E124" s="14" t="str">
        <x:v>Expansion discovery</x:v>
      </x:c>
      <x:c r="F124" s="17" t="str">
        <x:f>IF(E124="Pilot now",IF(P124&gt;=84,"P1",IF(P124&gt;=72,"P2","P3")),IF(E124="Expansion discovery",IF(Q124&gt;=88,"D1",IF(Q124&gt;=78,"D2","D3")),IF(E124="Later / requirements","L","Legacy")))</x:f>
        <x:v>D2</x:v>
      </x:c>
      <x:c r="G124" s="14" t="str">
        <x:v>firesecurity.com.ua</x:v>
      </x:c>
      <x:c r="H124" s="14" t="str">
        <x:v>Discovery — частково Н.15 + вимоги проєкту</x:v>
      </x:c>
      <x:c r="I124" s="16" t="n">
        <x:v>4</x:v>
      </x:c>
      <x:c r="J124" s="16" t="n">
        <x:v>5</x:v>
      </x:c>
      <x:c r="K124" s="16" t="n">
        <x:v>4</x:v>
      </x:c>
      <x:c r="L124" s="16" t="n">
        <x:v>3</x:v>
      </x:c>
      <x:c r="M124" s="16" t="n">
        <x:v>4</x:v>
      </x:c>
      <x:c r="N124" s="16" t="n">
        <x:v>5</x:v>
      </x:c>
      <x:c r="O124" s="16" t="n">
        <x:v>5</x:v>
      </x:c>
      <x:c r="P124" s="16" t="n">
        <x:f>IF(COUNT(I124:O124)&lt;7,"",I124*8+J124*3+K124*2+L124*2+M124*2+N124*2+O124)</x:f>
        <x:v>84</x:v>
      </x:c>
      <x:c r="Q124" s="16" t="n">
        <x:f>IF(COUNT(J124:O124)&lt;6,"",J124*5+K124*4+M124*4+L124*3+N124*2+O124*2)</x:f>
        <x:v>86</x:v>
      </x:c>
      <x:c r="R124" s="14" t="str">
        <x:v>high</x:v>
      </x:c>
      <x:c r="S124" s="14" t="str">
        <x:v>official_source_reverified</x:v>
      </x:c>
      <x:c r="T124" s="14" t="str">
        <x:v>official_source_reachable</x:v>
      </x:c>
      <x:c r="U124" s="14" t="str">
        <x:v>Новий — не контактували</x:v>
      </x:c>
      <x:c r="V124" s="15" t="str">
        <x:v>Discovery-call: перевірити процес і отримати вимоги конкретного проєкту</x:v>
      </x:c>
      <x:c r="W124" s="15" t="str">
        <x:v>Владелец; руководитель проектно-монтажного отдела</x:v>
      </x:c>
      <x:c r="X124" s="15" t="str">
        <x:v>Проектирование, монтаж и обслуживание охранно-пожарных систем с передачей готового проекта заказчику.</x:v>
      </x:c>
      <x:c r="Y124" s="15" t="str">
        <x:v>Скрытые шлейфы и кабельные трассы подходят, но специфические пожарные требования нужно валидировать на их документации.</x:v>
      </x:c>
      <x:c r="Z124" s="15" t="str">
        <x:v>https://firesecurity.com.ua/uk/montazh-pozharnoi-signalizatcii/</x:v>
      </x:c>
      <x:c r="AA124" s="14" t="str"/>
      <x:c r="AB124" s="14" t="str">
        <x:v>2026-08-24</x:v>
      </x:c>
      <x:c r="AC124" s="14" t="str">
        <x:v>Олександр</x:v>
      </x:c>
      <x:c r="AD124" s="20" t="str"/>
      <x:c r="AE124" s="14" t="str"/>
      <x:c r="AF124" s="14" t="n">
        <x:v>0</x:v>
      </x:c>
      <x:c r="AG124" s="14" t="str">
        <x:v>—</x:v>
      </x:c>
      <x:c r="AH124" s="14" t="n">
        <x:v>0</x:v>
      </x:c>
      <x:c r="AI124" s="14" t="n">
        <x:v>0</x:v>
      </x:c>
      <x:c r="AJ124" s="18" t="n">
        <x:v>0</x:v>
      </x:c>
      <x:c r="AK124" s="14" t="str"/>
      <x:c r="AL124" s="19" t="str"/>
      <x:c r="AM124" s="19" t="str"/>
      <x:c r="AN124" s="15" t="str"/>
      <x:c r="AO124" s="15" t="str">
        <x:v>official_source_reverified</x:v>
      </x:c>
    </x:row>
    <x:row r="125">
      <x:c r="A125" s="14" t="str">
        <x:v>EXP-043</x:v>
      </x:c>
      <x:c r="B125" s="14" t="str">
        <x:v>Розширення ніш — 24.08</x:v>
      </x:c>
      <x:c r="C125" s="14" t="str">
        <x:v>ЕНРЕМО</x:v>
      </x:c>
      <x:c r="D125" s="14" t="str">
        <x:v>Промислова теплоізоляція</x:v>
      </x:c>
      <x:c r="E125" s="14" t="str">
        <x:v>Expansion discovery</x:v>
      </x:c>
      <x:c r="F125" s="17" t="str">
        <x:f>IF(E125="Pilot now",IF(P125&gt;=84,"P1",IF(P125&gt;=72,"P2","P3")),IF(E125="Expansion discovery",IF(Q125&gt;=88,"D1",IF(Q125&gt;=78,"D2","D3")),IF(E125="Later / requirements","L","Legacy")))</x:f>
        <x:v>D2</x:v>
      </x:c>
      <x:c r="G125" s="14" t="str">
        <x:v>enremo.ua</x:v>
      </x:c>
      <x:c r="H125" s="14" t="str">
        <x:v>Discovery — вимоги проєкту</x:v>
      </x:c>
      <x:c r="I125" s="16" t="n">
        <x:v>1</x:v>
      </x:c>
      <x:c r="J125" s="16" t="n">
        <x:v>5</x:v>
      </x:c>
      <x:c r="K125" s="16" t="n">
        <x:v>5</x:v>
      </x:c>
      <x:c r="L125" s="16" t="n">
        <x:v>4</x:v>
      </x:c>
      <x:c r="M125" s="16" t="n">
        <x:v>4</x:v>
      </x:c>
      <x:c r="N125" s="16" t="n">
        <x:v>5</x:v>
      </x:c>
      <x:c r="O125" s="16" t="n">
        <x:v>2</x:v>
      </x:c>
      <x:c r="P125" s="16" t="n">
        <x:f>IF(COUNT(I125:O125)&lt;7,"",I125*8+J125*3+K125*2+L125*2+M125*2+N125*2+O125)</x:f>
        <x:v>61</x:v>
      </x:c>
      <x:c r="Q125" s="16" t="n">
        <x:f>IF(COUNT(J125:O125)&lt;6,"",J125*5+K125*4+M125*4+L125*3+N125*2+O125*2)</x:f>
        <x:v>87</x:v>
      </x:c>
      <x:c r="R125" s="14" t="str">
        <x:v>medium</x:v>
      </x:c>
      <x:c r="S125" s="14" t="str">
        <x:v>official_content_reverified_via_search_index</x:v>
      </x:c>
      <x:c r="T125" s="14" t="str">
        <x:v>live_site_unreachable_in_browser</x:v>
      </x:c>
      <x:c r="U125" s="14" t="str">
        <x:v>Новий — не контактували</x:v>
      </x:c>
      <x:c r="V125" s="15" t="str">
        <x:v>Discovery-call: отримати 1 реальний артефакт і вимоги проєкту; не обіцяти готове покриття</x:v>
      </x:c>
      <x:c r="W125" s="15" t="str">
        <x:v>Директор; головний інженер; керівник промислового монтажу</x:v>
      </x:c>
      <x:c r="X125" s="15" t="str">
        <x:v>Ізоляція трубопроводів, резервуарів, газоходів і обладнання ТЕС/ТЕЦ та промисловості.</x:v>
      </x:c>
      <x:c r="Y125" s="15" t="str">
        <x:v>Стан трубопроводу, товщина й суцільність ізоляції закриваються металевим кожухом; важливі фото по етапах.</x:v>
      </x:c>
      <x:c r="Z125" s="15" t="str">
        <x:v>https://www.v.enremo.ua/uk/services</x:v>
      </x:c>
      <x:c r="AA125" s="14" t="str"/>
      <x:c r="AB125" s="14" t="str">
        <x:v>2026-08-24</x:v>
      </x:c>
      <x:c r="AC125" s="14" t="str">
        <x:v>Олександр</x:v>
      </x:c>
      <x:c r="AD125" s="20" t="str"/>
      <x:c r="AE125" s="14" t="str"/>
      <x:c r="AF125" s="14" t="n">
        <x:v>0</x:v>
      </x:c>
      <x:c r="AG125" s="14" t="str">
        <x:v>—</x:v>
      </x:c>
      <x:c r="AH125" s="14" t="n">
        <x:v>0</x:v>
      </x:c>
      <x:c r="AI125" s="14" t="n">
        <x:v>0</x:v>
      </x:c>
      <x:c r="AJ125" s="18" t="n">
        <x:v>0</x:v>
      </x:c>
      <x:c r="AK125" s="14" t="str"/>
      <x:c r="AL125" s="19" t="str"/>
      <x:c r="AM125" s="19" t="str"/>
      <x:c r="AN125" s="15" t="str"/>
      <x:c r="AO125" s="15" t="str">
        <x:v>official_content_reverified_via_search_index</x:v>
      </x:c>
    </x:row>
    <x:row r="126">
      <x:c r="A126" s="14" t="str">
        <x:v>EXP-031</x:v>
      </x:c>
      <x:c r="B126" s="14" t="str">
        <x:v>Розширення ніш — 24.08</x:v>
      </x:c>
      <x:c r="C126" s="14" t="str">
        <x:v>РИТМ КИЇВ</x:v>
      </x:c>
      <x:c r="D126" s="14" t="str">
        <x:v>Металоконструкції та промисловий монтаж</x:v>
      </x:c>
      <x:c r="E126" s="14" t="str">
        <x:v>Expansion discovery</x:v>
      </x:c>
      <x:c r="F126" s="17" t="str">
        <x:f>IF(E126="Pilot now",IF(P126&gt;=84,"P1",IF(P126&gt;=72,"P2","P3")),IF(E126="Expansion discovery",IF(Q126&gt;=88,"D1",IF(Q126&gt;=78,"D2","D3")),IF(E126="Later / requirements","L","Legacy")))</x:f>
        <x:v>D2</x:v>
      </x:c>
      <x:c r="G126" s="14" t="str">
        <x:v>ritm.com.ua</x:v>
      </x:c>
      <x:c r="H126" s="14" t="str">
        <x:v>Discovery — вимоги проєкту</x:v>
      </x:c>
      <x:c r="I126" s="16" t="n">
        <x:v>1</x:v>
      </x:c>
      <x:c r="J126" s="16" t="n">
        <x:v>4</x:v>
      </x:c>
      <x:c r="K126" s="16" t="n">
        <x:v>3</x:v>
      </x:c>
      <x:c r="L126" s="16" t="n">
        <x:v>5</x:v>
      </x:c>
      <x:c r="M126" s="16" t="n">
        <x:v>5</x:v>
      </x:c>
      <x:c r="N126" s="16" t="n">
        <x:v>5</x:v>
      </x:c>
      <x:c r="O126" s="16" t="n">
        <x:v>5</x:v>
      </x:c>
      <x:c r="P126" s="16" t="n">
        <x:f>IF(COUNT(I126:O126)&lt;7,"",I126*8+J126*3+K126*2+L126*2+M126*2+N126*2+O126)</x:f>
        <x:v>61</x:v>
      </x:c>
      <x:c r="Q126" s="16" t="n">
        <x:f>IF(COUNT(J126:O126)&lt;6,"",J126*5+K126*4+M126*4+L126*3+N126*2+O126*2)</x:f>
        <x:v>87</x:v>
      </x:c>
      <x:c r="R126" s="14" t="str">
        <x:v>high</x:v>
      </x:c>
      <x:c r="S126" s="14" t="str">
        <x:v>official_source_reverified</x:v>
      </x:c>
      <x:c r="T126" s="14" t="str">
        <x:v>official_source_reachable</x:v>
      </x:c>
      <x:c r="U126" s="14" t="str">
        <x:v>Новий — не контактували</x:v>
      </x:c>
      <x:c r="V126" s="15" t="str">
        <x:v>Discovery-call: отримати 1 реальний артефакт і вимоги проєкту; не обіцяти готове покриття</x:v>
      </x:c>
      <x:c r="W126" s="15" t="str">
        <x:v>Власник / директор; головний інженер; керівник монтажу / ПТО</x:v>
      </x:c>
      <x:c r="X126" s="15" t="str">
        <x:v>Промисловий монтаж з 1991 року, випробування та введення об’єктів в експлуатацію.</x:v>
      </x:c>
      <x:c r="Y126" s="15" t="str">
        <x:v>Зварні й болтові з’єднання, антикорозійний шар, геометрія та акти випробувань формують пакет до приймання.</x:v>
      </x:c>
      <x:c r="Z126" s="15" t="str">
        <x:v>https://ritm.com.ua/</x:v>
      </x:c>
      <x:c r="AA126" s="14" t="str"/>
      <x:c r="AB126" s="14" t="str">
        <x:v>2026-08-24</x:v>
      </x:c>
      <x:c r="AC126" s="14" t="str">
        <x:v>Олександр</x:v>
      </x:c>
      <x:c r="AD126" s="20" t="str"/>
      <x:c r="AE126" s="14" t="str"/>
      <x:c r="AF126" s="14" t="n">
        <x:v>0</x:v>
      </x:c>
      <x:c r="AG126" s="14" t="str">
        <x:v>—</x:v>
      </x:c>
      <x:c r="AH126" s="14" t="n">
        <x:v>0</x:v>
      </x:c>
      <x:c r="AI126" s="14" t="n">
        <x:v>0</x:v>
      </x:c>
      <x:c r="AJ126" s="18" t="n">
        <x:v>0</x:v>
      </x:c>
      <x:c r="AK126" s="14" t="str"/>
      <x:c r="AL126" s="19" t="str"/>
      <x:c r="AM126" s="19" t="str"/>
      <x:c r="AN126" s="15" t="str"/>
      <x:c r="AO126" s="15" t="str">
        <x:v>official_source_reverified</x:v>
      </x:c>
    </x:row>
    <x:row r="127">
      <x:c r="A127" s="14" t="str">
        <x:v>EXP-034</x:v>
      </x:c>
      <x:c r="B127" s="14" t="str">
        <x:v>Розширення ніш — 24.08</x:v>
      </x:c>
      <x:c r="C127" s="14" t="str">
        <x:v>Святобуд</x:v>
      </x:c>
      <x:c r="D127" s="14" t="str">
        <x:v>Металоконструкції та промисловий монтаж</x:v>
      </x:c>
      <x:c r="E127" s="14" t="str">
        <x:v>Expansion discovery</x:v>
      </x:c>
      <x:c r="F127" s="17" t="str">
        <x:f>IF(E127="Pilot now",IF(P127&gt;=84,"P1",IF(P127&gt;=72,"P2","P3")),IF(E127="Expansion discovery",IF(Q127&gt;=88,"D1",IF(Q127&gt;=78,"D2","D3")),IF(E127="Later / requirements","L","Legacy")))</x:f>
        <x:v>D2</x:v>
      </x:c>
      <x:c r="G127" s="14" t="str">
        <x:v>svbud.com.ua</x:v>
      </x:c>
      <x:c r="H127" s="14" t="str">
        <x:v>Discovery — вимоги проєкту</x:v>
      </x:c>
      <x:c r="I127" s="16" t="n">
        <x:v>1</x:v>
      </x:c>
      <x:c r="J127" s="16" t="n">
        <x:v>4</x:v>
      </x:c>
      <x:c r="K127" s="16" t="n">
        <x:v>3</x:v>
      </x:c>
      <x:c r="L127" s="16" t="n">
        <x:v>4</x:v>
      </x:c>
      <x:c r="M127" s="16" t="n">
        <x:v>5</x:v>
      </x:c>
      <x:c r="N127" s="16" t="n">
        <x:v>5</x:v>
      </x:c>
      <x:c r="O127" s="16" t="n">
        <x:v>5</x:v>
      </x:c>
      <x:c r="P127" s="16" t="n">
        <x:f>IF(COUNT(I127:O127)&lt;7,"",I127*8+J127*3+K127*2+L127*2+M127*2+N127*2+O127)</x:f>
        <x:v>59</x:v>
      </x:c>
      <x:c r="Q127" s="16" t="n">
        <x:f>IF(COUNT(J127:O127)&lt;6,"",J127*5+K127*4+M127*4+L127*3+N127*2+O127*2)</x:f>
        <x:v>84</x:v>
      </x:c>
      <x:c r="R127" s="14" t="str">
        <x:v>high</x:v>
      </x:c>
      <x:c r="S127" s="14" t="str">
        <x:v>official_source_reverified</x:v>
      </x:c>
      <x:c r="T127" s="14" t="str">
        <x:v>official_source_reachable</x:v>
      </x:c>
      <x:c r="U127" s="14" t="str">
        <x:v>Новий — не контактували</x:v>
      </x:c>
      <x:c r="V127" s="15" t="str">
        <x:v>Discovery-call: отримати 1 реальний артефакт і вимоги проєкту; не обіцяти готове покриття</x:v>
      </x:c>
      <x:c r="W127" s="15" t="str">
        <x:v>Власник / директор; головний інженер; керівник монтажу / ПТО</x:v>
      </x:c>
      <x:c r="X127" s="15" t="str">
        <x:v>Монтаж і захист металоконструкцій та покрівель на об’єктах по Україні.</x:v>
      </x:c>
      <x:c r="Y127" s="15" t="str">
        <x:v>Зварні й болтові з’єднання, антикорозійний шар, геометрія та акти випробувань формують пакет до приймання.</x:v>
      </x:c>
      <x:c r="Z127" s="15" t="str">
        <x:v>https://svbud.com.ua/stroitelinie-rabotu/</x:v>
      </x:c>
      <x:c r="AA127" s="14" t="str"/>
      <x:c r="AB127" s="14" t="str">
        <x:v>2026-08-24</x:v>
      </x:c>
      <x:c r="AC127" s="14" t="str">
        <x:v>Олександр</x:v>
      </x:c>
      <x:c r="AD127" s="20" t="str"/>
      <x:c r="AE127" s="14" t="str"/>
      <x:c r="AF127" s="14" t="n">
        <x:v>0</x:v>
      </x:c>
      <x:c r="AG127" s="14" t="str">
        <x:v>—</x:v>
      </x:c>
      <x:c r="AH127" s="14" t="n">
        <x:v>0</x:v>
      </x:c>
      <x:c r="AI127" s="14" t="n">
        <x:v>0</x:v>
      </x:c>
      <x:c r="AJ127" s="18" t="n">
        <x:v>0</x:v>
      </x:c>
      <x:c r="AK127" s="14" t="str"/>
      <x:c r="AL127" s="19" t="str"/>
      <x:c r="AM127" s="19" t="str"/>
      <x:c r="AN127" s="15" t="str"/>
      <x:c r="AO127" s="15" t="str">
        <x:v>official_source_reverified</x:v>
      </x:c>
    </x:row>
    <x:row r="128">
      <x:c r="A128" s="14" t="str">
        <x:v>EXP-033</x:v>
      </x:c>
      <x:c r="B128" s="14" t="str">
        <x:v>Розширення ніш — 24.08</x:v>
      </x:c>
      <x:c r="C128" s="14" t="str">
        <x:v>СЕРВІССТРОЙ</x:v>
      </x:c>
      <x:c r="D128" s="14" t="str">
        <x:v>Металоконструкції та промисловий монтаж</x:v>
      </x:c>
      <x:c r="E128" s="14" t="str">
        <x:v>Expansion discovery</x:v>
      </x:c>
      <x:c r="F128" s="17" t="str">
        <x:f>IF(E128="Pilot now",IF(P128&gt;=84,"P1",IF(P128&gt;=72,"P2","P3")),IF(E128="Expansion discovery",IF(Q128&gt;=88,"D1",IF(Q128&gt;=78,"D2","D3")),IF(E128="Later / requirements","L","Legacy")))</x:f>
        <x:v>D2</x:v>
      </x:c>
      <x:c r="G128" s="14" t="str">
        <x:v>servicestroy.com.ua</x:v>
      </x:c>
      <x:c r="H128" s="14" t="str">
        <x:v>Discovery — вимоги проєкту</x:v>
      </x:c>
      <x:c r="I128" s="16" t="n">
        <x:v>1</x:v>
      </x:c>
      <x:c r="J128" s="16" t="n">
        <x:v>4</x:v>
      </x:c>
      <x:c r="K128" s="16" t="n">
        <x:v>3</x:v>
      </x:c>
      <x:c r="L128" s="16" t="n">
        <x:v>4</x:v>
      </x:c>
      <x:c r="M128" s="16" t="n">
        <x:v>5</x:v>
      </x:c>
      <x:c r="N128" s="16" t="n">
        <x:v>5</x:v>
      </x:c>
      <x:c r="O128" s="16" t="n">
        <x:v>5</x:v>
      </x:c>
      <x:c r="P128" s="16" t="n">
        <x:f>IF(COUNT(I128:O128)&lt;7,"",I128*8+J128*3+K128*2+L128*2+M128*2+N128*2+O128)</x:f>
        <x:v>59</x:v>
      </x:c>
      <x:c r="Q128" s="16" t="n">
        <x:f>IF(COUNT(J128:O128)&lt;6,"",J128*5+K128*4+M128*4+L128*3+N128*2+O128*2)</x:f>
        <x:v>84</x:v>
      </x:c>
      <x:c r="R128" s="14" t="str">
        <x:v>high</x:v>
      </x:c>
      <x:c r="S128" s="14" t="str">
        <x:v>official_source_reverified</x:v>
      </x:c>
      <x:c r="T128" s="14" t="str">
        <x:v>official_source_reachable</x:v>
      </x:c>
      <x:c r="U128" s="14" t="str">
        <x:v>Новий — не контактували</x:v>
      </x:c>
      <x:c r="V128" s="15" t="str">
        <x:v>Discovery-call: отримати 1 реальний артефакт і вимоги проєкту; не обіцяти готове покриття</x:v>
      </x:c>
      <x:c r="W128" s="15" t="str">
        <x:v>Власник / директор; головний інженер; керівник монтажу / ПТО</x:v>
      </x:c>
      <x:c r="X128" s="15" t="str">
        <x:v>17 років; портфоліо складів, супермаркетів і великих металоконструкцій.</x:v>
      </x:c>
      <x:c r="Y128" s="15" t="str">
        <x:v>Зварні й болтові з’єднання, антикорозійний шар, геометрія та акти випробувань формують пакет до приймання.</x:v>
      </x:c>
      <x:c r="Z128" s="15" t="str">
        <x:v>https://servicestroy.com.ua/galereya-robit/</x:v>
      </x:c>
      <x:c r="AA128" s="14" t="str"/>
      <x:c r="AB128" s="14" t="str">
        <x:v>2026-08-24</x:v>
      </x:c>
      <x:c r="AC128" s="14" t="str">
        <x:v>Олександр</x:v>
      </x:c>
      <x:c r="AD128" s="20" t="str"/>
      <x:c r="AE128" s="14" t="str"/>
      <x:c r="AF128" s="14" t="n">
        <x:v>0</x:v>
      </x:c>
      <x:c r="AG128" s="14" t="str">
        <x:v>—</x:v>
      </x:c>
      <x:c r="AH128" s="14" t="n">
        <x:v>0</x:v>
      </x:c>
      <x:c r="AI128" s="14" t="n">
        <x:v>0</x:v>
      </x:c>
      <x:c r="AJ128" s="18" t="n">
        <x:v>0</x:v>
      </x:c>
      <x:c r="AK128" s="14" t="str"/>
      <x:c r="AL128" s="19" t="str"/>
      <x:c r="AM128" s="19" t="str"/>
      <x:c r="AN128" s="15" t="str"/>
      <x:c r="AO128" s="15" t="str">
        <x:v>official_source_reverified</x:v>
      </x:c>
    </x:row>
    <x:row r="129">
      <x:c r="A129" s="14" t="str">
        <x:v>EXP-030</x:v>
      </x:c>
      <x:c r="B129" s="14" t="str">
        <x:v>Розширення ніш — 24.08</x:v>
      </x:c>
      <x:c r="C129" s="14" t="str">
        <x:v>ALATEKS</x:v>
      </x:c>
      <x:c r="D129" s="14" t="str">
        <x:v>Металоконструкції та промисловий монтаж</x:v>
      </x:c>
      <x:c r="E129" s="14" t="str">
        <x:v>Expansion discovery</x:v>
      </x:c>
      <x:c r="F129" s="17" t="str">
        <x:f>IF(E129="Pilot now",IF(P129&gt;=84,"P1",IF(P129&gt;=72,"P2","P3")),IF(E129="Expansion discovery",IF(Q129&gt;=88,"D1",IF(Q129&gt;=78,"D2","D3")),IF(E129="Later / requirements","L","Legacy")))</x:f>
        <x:v>D2</x:v>
      </x:c>
      <x:c r="G129" s="14" t="str">
        <x:v>alateks.net</x:v>
      </x:c>
      <x:c r="H129" s="14" t="str">
        <x:v>Discovery — вимоги проєкту</x:v>
      </x:c>
      <x:c r="I129" s="16" t="n">
        <x:v>1</x:v>
      </x:c>
      <x:c r="J129" s="16" t="n">
        <x:v>4</x:v>
      </x:c>
      <x:c r="K129" s="16" t="n">
        <x:v>3</x:v>
      </x:c>
      <x:c r="L129" s="16" t="n">
        <x:v>4</x:v>
      </x:c>
      <x:c r="M129" s="16" t="n">
        <x:v>5</x:v>
      </x:c>
      <x:c r="N129" s="16" t="n">
        <x:v>5</x:v>
      </x:c>
      <x:c r="O129" s="16" t="n">
        <x:v>5</x:v>
      </x:c>
      <x:c r="P129" s="16" t="n">
        <x:f>IF(COUNT(I129:O129)&lt;7,"",I129*8+J129*3+K129*2+L129*2+M129*2+N129*2+O129)</x:f>
        <x:v>59</x:v>
      </x:c>
      <x:c r="Q129" s="16" t="n">
        <x:f>IF(COUNT(J129:O129)&lt;6,"",J129*5+K129*4+M129*4+L129*3+N129*2+O129*2)</x:f>
        <x:v>84</x:v>
      </x:c>
      <x:c r="R129" s="14" t="str">
        <x:v>high</x:v>
      </x:c>
      <x:c r="S129" s="14" t="str">
        <x:v>official_source_reverified</x:v>
      </x:c>
      <x:c r="T129" s="14" t="str">
        <x:v>official_source_reachable</x:v>
      </x:c>
      <x:c r="U129" s="14" t="str">
        <x:v>Новий — не контактували</x:v>
      </x:c>
      <x:c r="V129" s="15" t="str">
        <x:v>Discovery-call: отримати 1 реальний артефакт і вимоги проєкту; не обіцяти готове покриття</x:v>
      </x:c>
      <x:c r="W129" s="15" t="str">
        <x:v>Власник / директор; головний інженер; керівник монтажу / ПТО</x:v>
      </x:c>
      <x:c r="X129" s="15" t="str">
        <x:v>Повний цикл металоконструкцій для промислових, аграрних та інженерних об’єктів.</x:v>
      </x:c>
      <x:c r="Y129" s="15" t="str">
        <x:v>Зварні й болтові з’єднання, антикорозійний шар, геометрія та акти випробувань формують пакет до приймання.</x:v>
      </x:c>
      <x:c r="Z129" s="15" t="str">
        <x:v>https://alateks.net/</x:v>
      </x:c>
      <x:c r="AA129" s="14" t="str"/>
      <x:c r="AB129" s="14" t="str">
        <x:v>2026-08-24</x:v>
      </x:c>
      <x:c r="AC129" s="14" t="str">
        <x:v>Олександр</x:v>
      </x:c>
      <x:c r="AD129" s="20" t="str"/>
      <x:c r="AE129" s="14" t="str"/>
      <x:c r="AF129" s="14" t="n">
        <x:v>0</x:v>
      </x:c>
      <x:c r="AG129" s="14" t="str">
        <x:v>—</x:v>
      </x:c>
      <x:c r="AH129" s="14" t="n">
        <x:v>0</x:v>
      </x:c>
      <x:c r="AI129" s="14" t="n">
        <x:v>0</x:v>
      </x:c>
      <x:c r="AJ129" s="18" t="n">
        <x:v>0</x:v>
      </x:c>
      <x:c r="AK129" s="14" t="str"/>
      <x:c r="AL129" s="19" t="str"/>
      <x:c r="AM129" s="19" t="str"/>
      <x:c r="AN129" s="15" t="str"/>
      <x:c r="AO129" s="15" t="str">
        <x:v>official_source_reverified</x:v>
      </x:c>
    </x:row>
    <x:row r="130">
      <x:c r="A130" s="14" t="str">
        <x:v>EXP-029</x:v>
      </x:c>
      <x:c r="B130" s="14" t="str">
        <x:v>Розширення ніш — 24.08</x:v>
      </x:c>
      <x:c r="C130" s="14" t="str">
        <x:v>M7 Construction</x:v>
      </x:c>
      <x:c r="D130" s="14" t="str">
        <x:v>Металоконструкції та промисловий монтаж</x:v>
      </x:c>
      <x:c r="E130" s="14" t="str">
        <x:v>Expansion discovery</x:v>
      </x:c>
      <x:c r="F130" s="17" t="str">
        <x:f>IF(E130="Pilot now",IF(P130&gt;=84,"P1",IF(P130&gt;=72,"P2","P3")),IF(E130="Expansion discovery",IF(Q130&gt;=88,"D1",IF(Q130&gt;=78,"D2","D3")),IF(E130="Later / requirements","L","Legacy")))</x:f>
        <x:v>D2</x:v>
      </x:c>
      <x:c r="G130" s="14" t="str">
        <x:v>m7construction.com.ua</x:v>
      </x:c>
      <x:c r="H130" s="14" t="str">
        <x:v>Discovery — вимоги проєкту</x:v>
      </x:c>
      <x:c r="I130" s="16" t="n">
        <x:v>1</x:v>
      </x:c>
      <x:c r="J130" s="16" t="n">
        <x:v>4</x:v>
      </x:c>
      <x:c r="K130" s="16" t="n">
        <x:v>3</x:v>
      </x:c>
      <x:c r="L130" s="16" t="n">
        <x:v>4</x:v>
      </x:c>
      <x:c r="M130" s="16" t="n">
        <x:v>5</x:v>
      </x:c>
      <x:c r="N130" s="16" t="n">
        <x:v>5</x:v>
      </x:c>
      <x:c r="O130" s="16" t="n">
        <x:v>5</x:v>
      </x:c>
      <x:c r="P130" s="16" t="n">
        <x:f>IF(COUNT(I130:O130)&lt;7,"",I130*8+J130*3+K130*2+L130*2+M130*2+N130*2+O130)</x:f>
        <x:v>59</x:v>
      </x:c>
      <x:c r="Q130" s="16" t="n">
        <x:f>IF(COUNT(J130:O130)&lt;6,"",J130*5+K130*4+M130*4+L130*3+N130*2+O130*2)</x:f>
        <x:v>84</x:v>
      </x:c>
      <x:c r="R130" s="14" t="str">
        <x:v>high</x:v>
      </x:c>
      <x:c r="S130" s="14" t="str">
        <x:v>official_source_reverified</x:v>
      </x:c>
      <x:c r="T130" s="14" t="str">
        <x:v>official_source_reachable</x:v>
      </x:c>
      <x:c r="U130" s="14" t="str">
        <x:v>Новий — не контактували</x:v>
      </x:c>
      <x:c r="V130" s="15" t="str">
        <x:v>Discovery-call: отримати 1 реальний артефакт і вимоги проєкту; не обіцяти готове покриття</x:v>
      </x:c>
      <x:c r="W130" s="15" t="str">
        <x:v>Власник / директор; головний інженер; керівник монтажу / ПТО</x:v>
      </x:c>
      <x:c r="X130" s="15" t="str">
        <x:v>Промислові будівлі, склади, металоконструкції, сендвіч-панелі й монтаж.</x:v>
      </x:c>
      <x:c r="Y130" s="15" t="str">
        <x:v>Зварні й болтові з’єднання, антикорозійний шар, геометрія та акти випробувань формують пакет до приймання.</x:v>
      </x:c>
      <x:c r="Z130" s="15" t="str">
        <x:v>https://m7construction.com.ua/projects</x:v>
      </x:c>
      <x:c r="AA130" s="14" t="str"/>
      <x:c r="AB130" s="14" t="str">
        <x:v>2026-08-24</x:v>
      </x:c>
      <x:c r="AC130" s="14" t="str">
        <x:v>Олександр</x:v>
      </x:c>
      <x:c r="AD130" s="20" t="str"/>
      <x:c r="AE130" s="14" t="str"/>
      <x:c r="AF130" s="14" t="n">
        <x:v>0</x:v>
      </x:c>
      <x:c r="AG130" s="14" t="str">
        <x:v>—</x:v>
      </x:c>
      <x:c r="AH130" s="14" t="n">
        <x:v>0</x:v>
      </x:c>
      <x:c r="AI130" s="14" t="n">
        <x:v>0</x:v>
      </x:c>
      <x:c r="AJ130" s="18" t="n">
        <x:v>0</x:v>
      </x:c>
      <x:c r="AK130" s="14" t="str"/>
      <x:c r="AL130" s="19" t="str"/>
      <x:c r="AM130" s="19" t="str"/>
      <x:c r="AN130" s="15" t="str"/>
      <x:c r="AO130" s="15" t="str">
        <x:v>official_source_reverified</x:v>
      </x:c>
    </x:row>
    <x:row r="131">
      <x:c r="A131" s="14" t="str">
        <x:v>EXP-038</x:v>
      </x:c>
      <x:c r="B131" s="14" t="str">
        <x:v>Розширення ніш — 24.08</x:v>
      </x:c>
      <x:c r="C131" s="14" t="str">
        <x:v>Sand Trade</x:v>
      </x:c>
      <x:c r="D131" s="14" t="str">
        <x:v>Металоконструкції та промисловий монтаж</x:v>
      </x:c>
      <x:c r="E131" s="14" t="str">
        <x:v>Expansion discovery</x:v>
      </x:c>
      <x:c r="F131" s="17" t="str">
        <x:f>IF(E131="Pilot now",IF(P131&gt;=84,"P1",IF(P131&gt;=72,"P2","P3")),IF(E131="Expansion discovery",IF(Q131&gt;=88,"D1",IF(Q131&gt;=78,"D2","D3")),IF(E131="Later / requirements","L","Legacy")))</x:f>
        <x:v>D2</x:v>
      </x:c>
      <x:c r="G131" s="14" t="str">
        <x:v>sandtrade.com.ua</x:v>
      </x:c>
      <x:c r="H131" s="14" t="str">
        <x:v>Discovery — вимоги проєкту</x:v>
      </x:c>
      <x:c r="I131" s="16" t="n">
        <x:v>1</x:v>
      </x:c>
      <x:c r="J131" s="16" t="n">
        <x:v>4</x:v>
      </x:c>
      <x:c r="K131" s="16" t="n">
        <x:v>3</x:v>
      </x:c>
      <x:c r="L131" s="16" t="n">
        <x:v>4</x:v>
      </x:c>
      <x:c r="M131" s="16" t="n">
        <x:v>5</x:v>
      </x:c>
      <x:c r="N131" s="16" t="n">
        <x:v>5</x:v>
      </x:c>
      <x:c r="O131" s="16" t="n">
        <x:v>5</x:v>
      </x:c>
      <x:c r="P131" s="16" t="n">
        <x:f>IF(COUNT(I131:O131)&lt;7,"",I131*8+J131*3+K131*2+L131*2+M131*2+N131*2+O131)</x:f>
        <x:v>59</x:v>
      </x:c>
      <x:c r="Q131" s="16" t="n">
        <x:f>IF(COUNT(J131:O131)&lt;6,"",J131*5+K131*4+M131*4+L131*3+N131*2+O131*2)</x:f>
        <x:v>84</x:v>
      </x:c>
      <x:c r="R131" s="14" t="str">
        <x:v>high</x:v>
      </x:c>
      <x:c r="S131" s="14" t="str">
        <x:v>official_source_reverified</x:v>
      </x:c>
      <x:c r="T131" s="14" t="str">
        <x:v>official_source_reachable</x:v>
      </x:c>
      <x:c r="U131" s="14" t="str">
        <x:v>Новий — не контактували</x:v>
      </x:c>
      <x:c r="V131" s="15" t="str">
        <x:v>Discovery-call: отримати 1 реальний артефакт і вимоги проєкту; не обіцяти готове покриття</x:v>
      </x:c>
      <x:c r="W131" s="15" t="str">
        <x:v>Власник / директор; головний інженер; керівник монтажу / ПТО</x:v>
      </x:c>
      <x:c r="X131" s="15" t="str">
        <x:v>Виїзне очищення, фарбування й підготовка великих металоконструкцій до нанесення вогнезахисту.</x:v>
      </x:c>
      <x:c r="Y131" s="15" t="str">
        <x:v>Зварні й болтові з’єднання, антикорозійний шар, геометрія та акти випробувань формують пакет до приймання.</x:v>
      </x:c>
      <x:c r="Z131" s="15" t="str">
        <x:v>https://www.sandtrade.com.ua/</x:v>
      </x:c>
      <x:c r="AA131" s="14" t="str"/>
      <x:c r="AB131" s="14" t="str">
        <x:v>2026-08-24</x:v>
      </x:c>
      <x:c r="AC131" s="14" t="str">
        <x:v>Олександр</x:v>
      </x:c>
      <x:c r="AD131" s="20" t="str"/>
      <x:c r="AE131" s="14" t="str"/>
      <x:c r="AF131" s="14" t="n">
        <x:v>0</x:v>
      </x:c>
      <x:c r="AG131" s="14" t="str">
        <x:v>—</x:v>
      </x:c>
      <x:c r="AH131" s="14" t="n">
        <x:v>0</x:v>
      </x:c>
      <x:c r="AI131" s="14" t="n">
        <x:v>0</x:v>
      </x:c>
      <x:c r="AJ131" s="18" t="n">
        <x:v>0</x:v>
      </x:c>
      <x:c r="AK131" s="14" t="str"/>
      <x:c r="AL131" s="19" t="str"/>
      <x:c r="AM131" s="19" t="str"/>
      <x:c r="AN131" s="15" t="str"/>
      <x:c r="AO131" s="15" t="str">
        <x:v>official_source_reverified</x:v>
      </x:c>
    </x:row>
    <x:row r="132">
      <x:c r="A132" s="14" t="str">
        <x:v>EXP-032</x:v>
      </x:c>
      <x:c r="B132" s="14" t="str">
        <x:v>Розширення ніш — 24.08</x:v>
      </x:c>
      <x:c r="C132" s="14" t="str">
        <x:v>STERNAT</x:v>
      </x:c>
      <x:c r="D132" s="14" t="str">
        <x:v>Металоконструкції та промисловий монтаж</x:v>
      </x:c>
      <x:c r="E132" s="14" t="str">
        <x:v>Expansion discovery</x:v>
      </x:c>
      <x:c r="F132" s="17" t="str">
        <x:f>IF(E132="Pilot now",IF(P132&gt;=84,"P1",IF(P132&gt;=72,"P2","P3")),IF(E132="Expansion discovery",IF(Q132&gt;=88,"D1",IF(Q132&gt;=78,"D2","D3")),IF(E132="Later / requirements","L","Legacy")))</x:f>
        <x:v>D2</x:v>
      </x:c>
      <x:c r="G132" s="14" t="str">
        <x:v>sternat.com.ua</x:v>
      </x:c>
      <x:c r="H132" s="14" t="str">
        <x:v>Discovery — вимоги проєкту</x:v>
      </x:c>
      <x:c r="I132" s="16" t="n">
        <x:v>1</x:v>
      </x:c>
      <x:c r="J132" s="16" t="n">
        <x:v>4</x:v>
      </x:c>
      <x:c r="K132" s="16" t="n">
        <x:v>3</x:v>
      </x:c>
      <x:c r="L132" s="16" t="n">
        <x:v>4</x:v>
      </x:c>
      <x:c r="M132" s="16" t="n">
        <x:v>5</x:v>
      </x:c>
      <x:c r="N132" s="16" t="n">
        <x:v>5</x:v>
      </x:c>
      <x:c r="O132" s="16" t="n">
        <x:v>5</x:v>
      </x:c>
      <x:c r="P132" s="16" t="n">
        <x:f>IF(COUNT(I132:O132)&lt;7,"",I132*8+J132*3+K132*2+L132*2+M132*2+N132*2+O132)</x:f>
        <x:v>59</x:v>
      </x:c>
      <x:c r="Q132" s="16" t="n">
        <x:f>IF(COUNT(J132:O132)&lt;6,"",J132*5+K132*4+M132*4+L132*3+N132*2+O132*2)</x:f>
        <x:v>84</x:v>
      </x:c>
      <x:c r="R132" s="14" t="str">
        <x:v>high</x:v>
      </x:c>
      <x:c r="S132" s="14" t="str">
        <x:v>official_source_reverified</x:v>
      </x:c>
      <x:c r="T132" s="14" t="str">
        <x:v>official_source_reachable</x:v>
      </x:c>
      <x:c r="U132" s="14" t="str">
        <x:v>Новий — не контактували</x:v>
      </x:c>
      <x:c r="V132" s="15" t="str">
        <x:v>Discovery-call: отримати 1 реальний артефакт і вимоги проєкту; не обіцяти готове покриття</x:v>
      </x:c>
      <x:c r="W132" s="15" t="str">
        <x:v>Власник / директор; головний інженер; керівник монтажу / ПТО</x:v>
      </x:c>
      <x:c r="X132" s="15" t="str">
        <x:v>Виготовлення та монтаж металоконструкцій від ангарів до індивідуальних рішень.</x:v>
      </x:c>
      <x:c r="Y132" s="15" t="str">
        <x:v>Зварні й болтові з’єднання, антикорозійний шар, геометрія та акти випробувань формують пакет до приймання.</x:v>
      </x:c>
      <x:c r="Z132" s="15" t="str">
        <x:v>https://www.sternat.com.ua/</x:v>
      </x:c>
      <x:c r="AA132" s="14" t="str"/>
      <x:c r="AB132" s="14" t="str">
        <x:v>2026-08-24</x:v>
      </x:c>
      <x:c r="AC132" s="14" t="str">
        <x:v>Олександр</x:v>
      </x:c>
      <x:c r="AD132" s="20" t="str"/>
      <x:c r="AE132" s="14" t="str"/>
      <x:c r="AF132" s="14" t="n">
        <x:v>0</x:v>
      </x:c>
      <x:c r="AG132" s="14" t="str">
        <x:v>—</x:v>
      </x:c>
      <x:c r="AH132" s="14" t="n">
        <x:v>0</x:v>
      </x:c>
      <x:c r="AI132" s="14" t="n">
        <x:v>0</x:v>
      </x:c>
      <x:c r="AJ132" s="18" t="n">
        <x:v>0</x:v>
      </x:c>
      <x:c r="AK132" s="14" t="str"/>
      <x:c r="AL132" s="19" t="str"/>
      <x:c r="AM132" s="19" t="str"/>
      <x:c r="AN132" s="15" t="str"/>
      <x:c r="AO132" s="15" t="str">
        <x:v>official_source_reverified</x:v>
      </x:c>
    </x:row>
    <x:row r="133">
      <x:c r="A133" s="14" t="str">
        <x:v>EXP-060</x:v>
      </x:c>
      <x:c r="B133" s="14" t="str">
        <x:v>Розширення ніш — 24.08</x:v>
      </x:c>
      <x:c r="C133" s="14" t="str">
        <x:v>UNIT-L</x:v>
      </x:c>
      <x:c r="D133" s="14" t="str">
        <x:v>Ліфти, ескалатори та підйомники</x:v>
      </x:c>
      <x:c r="E133" s="14" t="str">
        <x:v>Expansion discovery</x:v>
      </x:c>
      <x:c r="F133" s="17" t="str">
        <x:f>IF(E133="Pilot now",IF(P133&gt;=84,"P1",IF(P133&gt;=72,"P2","P3")),IF(E133="Expansion discovery",IF(Q133&gt;=88,"D1",IF(Q133&gt;=78,"D2","D3")),IF(E133="Later / requirements","L","Legacy")))</x:f>
        <x:v>D2</x:v>
      </x:c>
      <x:c r="G133" s="14" t="str">
        <x:v>unit-l.com</x:v>
      </x:c>
      <x:c r="H133" s="14" t="str">
        <x:v>Discovery — вимоги проєкту</x:v>
      </x:c>
      <x:c r="I133" s="16" t="n">
        <x:v>1</x:v>
      </x:c>
      <x:c r="J133" s="16" t="n">
        <x:v>4</x:v>
      </x:c>
      <x:c r="K133" s="16" t="n">
        <x:v>4</x:v>
      </x:c>
      <x:c r="L133" s="16" t="n">
        <x:v>3</x:v>
      </x:c>
      <x:c r="M133" s="16" t="n">
        <x:v>5</x:v>
      </x:c>
      <x:c r="N133" s="16" t="n">
        <x:v>5</x:v>
      </x:c>
      <x:c r="O133" s="16" t="n">
        <x:v>5</x:v>
      </x:c>
      <x:c r="P133" s="16" t="n">
        <x:f>IF(COUNT(I133:O133)&lt;7,"",I133*8+J133*3+K133*2+L133*2+M133*2+N133*2+O133)</x:f>
        <x:v>59</x:v>
      </x:c>
      <x:c r="Q133" s="16" t="n">
        <x:f>IF(COUNT(J133:O133)&lt;6,"",J133*5+K133*4+M133*4+L133*3+N133*2+O133*2)</x:f>
        <x:v>85</x:v>
      </x:c>
      <x:c r="R133" s="14" t="str">
        <x:v>high</x:v>
      </x:c>
      <x:c r="S133" s="14" t="str">
        <x:v>official_source_reverified</x:v>
      </x:c>
      <x:c r="T133" s="14" t="str">
        <x:v>official_source_reachable</x:v>
      </x:c>
      <x:c r="U133" s="14" t="str">
        <x:v>Новий — не контактували</x:v>
      </x:c>
      <x:c r="V133" s="15" t="str">
        <x:v>Discovery-call: отримати 1 реальний артефакт і вимоги проєкту; не обіцяти готове покриття</x:v>
      </x:c>
      <x:c r="W133" s="15" t="str">
        <x:v>Директор; керівник монтажу; відповідальний за введення в експлуатацію</x:v>
      </x:c>
      <x:c r="X133" s="15" t="str">
        <x:v>Монтаж по Україні, технічний огляд, ремонт і сертифіковане обладнання.</x:v>
      </x:c>
      <x:c r="Y133" s="15" t="str">
        <x:v>Закладні, напрямні, електрика, випробування й постановка на облік мають поетапну приймальну документацію.</x:v>
      </x:c>
      <x:c r="Z133" s="15" t="str">
        <x:v>https://unit-l.com/uk/golovna/</x:v>
      </x:c>
      <x:c r="AA133" s="14" t="str"/>
      <x:c r="AB133" s="14" t="str">
        <x:v>2026-08-24</x:v>
      </x:c>
      <x:c r="AC133" s="14" t="str">
        <x:v>Олександр</x:v>
      </x:c>
      <x:c r="AD133" s="20" t="str"/>
      <x:c r="AE133" s="14" t="str"/>
      <x:c r="AF133" s="14" t="n">
        <x:v>0</x:v>
      </x:c>
      <x:c r="AG133" s="14" t="str">
        <x:v>—</x:v>
      </x:c>
      <x:c r="AH133" s="14" t="n">
        <x:v>0</x:v>
      </x:c>
      <x:c r="AI133" s="14" t="n">
        <x:v>0</x:v>
      </x:c>
      <x:c r="AJ133" s="18" t="n">
        <x:v>0</x:v>
      </x:c>
      <x:c r="AK133" s="14" t="str"/>
      <x:c r="AL133" s="19" t="str"/>
      <x:c r="AM133" s="19" t="str"/>
      <x:c r="AN133" s="15" t="str"/>
      <x:c r="AO133" s="15" t="str">
        <x:v>official_source_reverified</x:v>
      </x:c>
    </x:row>
    <x:row r="134">
      <x:c r="A134" s="14" t="str">
        <x:v>AUG-001</x:v>
      </x:c>
      <x:c r="B134" s="14" t="str">
        <x:v>Перевірено 51 — 24.08</x:v>
      </x:c>
      <x:c r="C134" s="14" t="str">
        <x:v>GES GROUP</x:v>
      </x:c>
      <x:c r="D134" s="14" t="str">
        <x:v>Зовнішні мережі</x:v>
      </x:c>
      <x:c r="E134" s="14" t="str">
        <x:v>Later / requirements</x:v>
      </x:c>
      <x:c r="F134" s="17" t="str">
        <x:f>IF(E134="Pilot now",IF(P134&gt;=84,"P1",IF(P134&gt;=72,"P2","P3")),IF(E134="Expansion discovery",IF(Q134&gt;=88,"D1",IF(Q134&gt;=78,"D2","D3")),IF(E134="Later / requirements","L","Legacy")))</x:f>
        <x:v>L</x:v>
      </x:c>
      <x:c r="G134" s="14" t="str">
        <x:v>ges-group.com.ua</x:v>
      </x:c>
      <x:c r="H134" s="14" t="str">
        <x:v>Пізніше — вимоги проєкту</x:v>
      </x:c>
      <x:c r="I134" s="16" t="n">
        <x:v>2</x:v>
      </x:c>
      <x:c r="J134" s="16" t="n">
        <x:v>5</x:v>
      </x:c>
      <x:c r="K134" s="16" t="n">
        <x:v>5</x:v>
      </x:c>
      <x:c r="L134" s="16" t="n">
        <x:v>5</x:v>
      </x:c>
      <x:c r="M134" s="16" t="n">
        <x:v>5</x:v>
      </x:c>
      <x:c r="N134" s="16" t="n">
        <x:v>5</x:v>
      </x:c>
      <x:c r="O134" s="16" t="n">
        <x:v>5</x:v>
      </x:c>
      <x:c r="P134" s="16" t="n">
        <x:f>IF(COUNT(I134:O134)&lt;7,"",I134*8+J134*3+K134*2+L134*2+M134*2+N134*2+O134)</x:f>
        <x:v>76</x:v>
      </x:c>
      <x:c r="Q134" s="16" t="n">
        <x:f>IF(COUNT(J134:O134)&lt;6,"",J134*5+K134*4+M134*4+L134*3+N134*2+O134*2)</x:f>
        <x:v>100</x:v>
      </x:c>
      <x:c r="R134" s="14" t="str">
        <x:v>high</x:v>
      </x:c>
      <x:c r="S134" s="14" t="str">
        <x:v>official_source_reverified</x:v>
      </x:c>
      <x:c r="T134" s="14" t="str">
        <x:v>official_source_reachable</x:v>
      </x:c>
      <x:c r="U134" s="14" t="str">
        <x:v>Новий — не контактували</x:v>
      </x:c>
      <x:c r="V134" s="15" t="str">
        <x:v>Discovery-call: перевірити процес і отримати вимоги конкретного проєкту</x:v>
      </x:c>
      <x:c r="W134" s="15" t="str">
        <x:v>Владелец / коммерческий директор; руководитель ПТО</x:v>
      </x:c>
      <x:c r="X134" s="15" t="str">
        <x:v>Полный цикл внешних водопроводных, канализационных и тепловых сетей; 50+ сотрудников, собственная техника и многомесячные проекты.</x:v>
      </x:c>
      <x:c r="Y134" s="15" t="str">
        <x:v>Траншеи, коллекторы, КНС и сети должны быть зафиксированы до засыпки.</x:v>
      </x:c>
      <x:c r="Z134" s="15" t="str">
        <x:v>https://ges-group.com.ua/company</x:v>
      </x:c>
      <x:c r="AA134" s="14" t="str"/>
      <x:c r="AB134" s="14" t="str">
        <x:v>2026-08-24</x:v>
      </x:c>
      <x:c r="AC134" s="14" t="str">
        <x:v>Олександр</x:v>
      </x:c>
      <x:c r="AD134" s="20" t="str"/>
      <x:c r="AE134" s="14" t="str"/>
      <x:c r="AF134" s="14" t="n">
        <x:v>0</x:v>
      </x:c>
      <x:c r="AG134" s="14" t="str">
        <x:v>—</x:v>
      </x:c>
      <x:c r="AH134" s="14" t="n">
        <x:v>0</x:v>
      </x:c>
      <x:c r="AI134" s="14" t="n">
        <x:v>0</x:v>
      </x:c>
      <x:c r="AJ134" s="18" t="n">
        <x:v>0</x:v>
      </x:c>
      <x:c r="AK134" s="14" t="str"/>
      <x:c r="AL134" s="19" t="str"/>
      <x:c r="AM134" s="19" t="str"/>
      <x:c r="AN134" s="15" t="str"/>
      <x:c r="AO134" s="15" t="str">
        <x:v>official_source_reverified</x:v>
      </x:c>
    </x:row>
    <x:row r="135">
      <x:c r="A135" s="14" t="str">
        <x:v>V3-042</x:v>
      </x:c>
      <x:c r="B135" s="14" t="str">
        <x:v>Досліджено 28.07</x:v>
      </x:c>
      <x:c r="C135" s="14" t="str">
        <x:v>ТОВ «СБК САРГОН»</x:v>
      </x:c>
      <x:c r="D135" s="14" t="str">
        <x:v>Зовнішні мережі</x:v>
      </x:c>
      <x:c r="E135" s="14" t="str">
        <x:v>Later / requirements</x:v>
      </x:c>
      <x:c r="F135" s="17" t="str">
        <x:f>IF(E135="Pilot now",IF(P135&gt;=84,"P1",IF(P135&gt;=72,"P2","P3")),IF(E135="Expansion discovery",IF(Q135&gt;=88,"D1",IF(Q135&gt;=78,"D2","D3")),IF(E135="Later / requirements","L","Legacy")))</x:f>
        <x:v>L</x:v>
      </x:c>
      <x:c r="G135" s="14" t="str">
        <x:v>sargon.com.ua</x:v>
      </x:c>
      <x:c r="H135" s="14" t="str">
        <x:v>Пізніше — вимоги проєкту</x:v>
      </x:c>
      <x:c r="I135" s="16" t="n">
        <x:v>1</x:v>
      </x:c>
      <x:c r="J135" s="16" t="n">
        <x:v>5</x:v>
      </x:c>
      <x:c r="K135" s="16" t="n">
        <x:v>5</x:v>
      </x:c>
      <x:c r="L135" s="16" t="n">
        <x:v>5</x:v>
      </x:c>
      <x:c r="M135" s="16" t="n">
        <x:v>5</x:v>
      </x:c>
      <x:c r="N135" s="16" t="n">
        <x:v>5</x:v>
      </x:c>
      <x:c r="O135" s="16" t="n">
        <x:v>5</x:v>
      </x:c>
      <x:c r="P135" s="16" t="n">
        <x:f>IF(COUNT(I135:O135)&lt;7,"",I135*8+J135*3+K135*2+L135*2+M135*2+N135*2+O135)</x:f>
        <x:v>68</x:v>
      </x:c>
      <x:c r="Q135" s="16" t="n">
        <x:f>IF(COUNT(J135:O135)&lt;6,"",J135*5+K135*4+M135*4+L135*3+N135*2+O135*2)</x:f>
        <x:v>100</x:v>
      </x:c>
      <x:c r="R135" s="14" t="str">
        <x:v>medium</x:v>
      </x:c>
      <x:c r="S135" s="14" t="str">
        <x:v>historical_research_2026-07-28</x:v>
      </x:c>
      <x:c r="T135" s="14" t="str">
        <x:v>historical_official_research</x:v>
      </x:c>
      <x:c r="U135" s="14" t="str">
        <x:v>Надіслано 28.07 — follow-up</x:v>
      </x:c>
      <x:c r="V135" s="15" t="str">
        <x:v>Follow-up з review-link; далі попросити 1 анонімізований артефакт</x:v>
      </x:c>
      <x:c r="W135" s="15" t="str">
        <x:v>Власник / директор; керівник ПТО</x:v>
      </x:c>
      <x:c r="X135" s="15" t="str">
        <x:v>45+ зданих об’єктів, 78 фахівців, ліцензії СС2/СС3; повний цикл зовнішніх мереж від проєкту до введення.</x:v>
      </x:c>
      <x:c r="Y135" s="15" t="str">
        <x:v>Траншеї, труби, кабелі, колодязі, підключення й випробування незворотно закриваються засипанням.</x:v>
      </x:c>
      <x:c r="Z135" s="15" t="str">
        <x:v>https://www.sargon.com.ua/budivnictvo-zovnishnih-inzhenernih-merezh</x:v>
      </x:c>
      <x:c r="AA135" s="14" t="str">
        <x:v>44549311</x:v>
      </x:c>
      <x:c r="AB135" s="14" t="str">
        <x:v>2026-07-28</x:v>
      </x:c>
      <x:c r="AC135" s="14" t="str">
        <x:v>Олександр</x:v>
      </x:c>
      <x:c r="AD135" s="20" t="str"/>
      <x:c r="AE135" s="14" t="str"/>
      <x:c r="AF135" s="14" t="n">
        <x:v>0</x:v>
      </x:c>
      <x:c r="AG135" s="14" t="str">
        <x:v>—</x:v>
      </x:c>
      <x:c r="AH135" s="14" t="n">
        <x:v>0</x:v>
      </x:c>
      <x:c r="AI135" s="14" t="n">
        <x:v>0</x:v>
      </x:c>
      <x:c r="AJ135" s="18" t="n">
        <x:v>0</x:v>
      </x:c>
      <x:c r="AK135" s="14" t="str"/>
      <x:c r="AL135" s="19" t="str"/>
      <x:c r="AM135" s="19" t="str"/>
      <x:c r="AN135" s="15" t="str"/>
      <x:c r="AO135" s="15" t="str">
        <x:v>historical_research_2026-07-28</x:v>
      </x:c>
    </x:row>
    <x:row r="136">
      <x:c r="A136" s="14" t="str">
        <x:v>V3-044</x:v>
      </x:c>
      <x:c r="B136" s="14" t="str">
        <x:v>Досліджено 28.07</x:v>
      </x:c>
      <x:c r="C136" s="14" t="str">
        <x:v>ПроектАкваБуд</x:v>
      </x:c>
      <x:c r="D136" s="14" t="str">
        <x:v>Зовнішні мережі</x:v>
      </x:c>
      <x:c r="E136" s="14" t="str">
        <x:v>Later / requirements</x:v>
      </x:c>
      <x:c r="F136" s="17" t="str">
        <x:f>IF(E136="Pilot now",IF(P136&gt;=84,"P1",IF(P136&gt;=72,"P2","P3")),IF(E136="Expansion discovery",IF(Q136&gt;=88,"D1",IF(Q136&gt;=78,"D2","D3")),IF(E136="Later / requirements","L","Legacy")))</x:f>
        <x:v>L</x:v>
      </x:c>
      <x:c r="G136" s="14" t="str">
        <x:v>abproekt.com.ua</x:v>
      </x:c>
      <x:c r="H136" s="14" t="str">
        <x:v>Пізніше — вимоги проєкту</x:v>
      </x:c>
      <x:c r="I136" s="16" t="n">
        <x:v>1</x:v>
      </x:c>
      <x:c r="J136" s="16" t="n">
        <x:v>5</x:v>
      </x:c>
      <x:c r="K136" s="16" t="n">
        <x:v>5</x:v>
      </x:c>
      <x:c r="L136" s="16" t="n">
        <x:v>4</x:v>
      </x:c>
      <x:c r="M136" s="16" t="n">
        <x:v>5</x:v>
      </x:c>
      <x:c r="N136" s="16" t="n">
        <x:v>5</x:v>
      </x:c>
      <x:c r="O136" s="16" t="n">
        <x:v>5</x:v>
      </x:c>
      <x:c r="P136" s="16" t="n">
        <x:f>IF(COUNT(I136:O136)&lt;7,"",I136*8+J136*3+K136*2+L136*2+M136*2+N136*2+O136)</x:f>
        <x:v>66</x:v>
      </x:c>
      <x:c r="Q136" s="16" t="n">
        <x:f>IF(COUNT(J136:O136)&lt;6,"",J136*5+K136*4+M136*4+L136*3+N136*2+O136*2)</x:f>
        <x:v>97</x:v>
      </x:c>
      <x:c r="R136" s="14" t="str">
        <x:v>medium</x:v>
      </x:c>
      <x:c r="S136" s="14" t="str">
        <x:v>historical_research_2026-07-28</x:v>
      </x:c>
      <x:c r="T136" s="14" t="str">
        <x:v>historical_official_research</x:v>
      </x:c>
      <x:c r="U136" s="14" t="str">
        <x:v>Надіслано 28.07 — follow-up</x:v>
      </x:c>
      <x:c r="V136" s="15" t="str">
        <x:v>Follow-up з review-link; далі попросити 1 анонімізований артефакт</x:v>
      </x:c>
      <x:c r="W136" s="15" t="str">
        <x:v>Власник / директор; керівник ПТО</x:v>
      </x:c>
      <x:c r="X136" s="15" t="str">
        <x:v>Проєктування й монтаж зовнішніх інженерних мереж, водопостачання та водовідведення.</x:v>
      </x:c>
      <x:c r="Y136" s="15" t="str">
        <x:v>Труби, колодязі, основи й приєднання стають недоступними після засипання; критичні фото та акти.</x:v>
      </x:c>
      <x:c r="Z136" s="15" t="str">
        <x:v>https://abproekt.com.ua/uslugi/montazh-inzhenernykh-setei.html</x:v>
      </x:c>
      <x:c r="AA136" s="14" t="str"/>
      <x:c r="AB136" s="14" t="str">
        <x:v>2026-07-28</x:v>
      </x:c>
      <x:c r="AC136" s="14" t="str">
        <x:v>Олександр</x:v>
      </x:c>
      <x:c r="AD136" s="20" t="str"/>
      <x:c r="AE136" s="14" t="str"/>
      <x:c r="AF136" s="14" t="n">
        <x:v>0</x:v>
      </x:c>
      <x:c r="AG136" s="14" t="str">
        <x:v>—</x:v>
      </x:c>
      <x:c r="AH136" s="14" t="n">
        <x:v>0</x:v>
      </x:c>
      <x:c r="AI136" s="14" t="n">
        <x:v>0</x:v>
      </x:c>
      <x:c r="AJ136" s="18" t="n">
        <x:v>0</x:v>
      </x:c>
      <x:c r="AK136" s="14" t="str"/>
      <x:c r="AL136" s="19" t="str"/>
      <x:c r="AM136" s="19" t="str"/>
      <x:c r="AN136" s="15" t="str"/>
      <x:c r="AO136" s="15" t="str">
        <x:v>historical_research_2026-07-28</x:v>
      </x:c>
    </x:row>
    <x:row r="137">
      <x:c r="A137" s="14" t="str">
        <x:v>V3-045</x:v>
      </x:c>
      <x:c r="B137" s="14" t="str">
        <x:v>Досліджено 28.07</x:v>
      </x:c>
      <x:c r="C137" s="14" t="str">
        <x:v>Project Water &amp; Canalization</x:v>
      </x:c>
      <x:c r="D137" s="14" t="str">
        <x:v>Зовнішні мережі</x:v>
      </x:c>
      <x:c r="E137" s="14" t="str">
        <x:v>Later / requirements</x:v>
      </x:c>
      <x:c r="F137" s="17" t="str">
        <x:f>IF(E137="Pilot now",IF(P137&gt;=84,"P1",IF(P137&gt;=72,"P2","P3")),IF(E137="Expansion discovery",IF(Q137&gt;=88,"D1",IF(Q137&gt;=78,"D2","D3")),IF(E137="Later / requirements","L","Legacy")))</x:f>
        <x:v>L</x:v>
      </x:c>
      <x:c r="G137" s="14" t="str">
        <x:v>project-wc.kiev.ua</x:v>
      </x:c>
      <x:c r="H137" s="14" t="str">
        <x:v>Пізніше — вимоги проєкту</x:v>
      </x:c>
      <x:c r="I137" s="16" t="n">
        <x:v>1</x:v>
      </x:c>
      <x:c r="J137" s="16" t="n">
        <x:v>5</x:v>
      </x:c>
      <x:c r="K137" s="16" t="n">
        <x:v>5</x:v>
      </x:c>
      <x:c r="L137" s="16" t="n">
        <x:v>4</x:v>
      </x:c>
      <x:c r="M137" s="16" t="n">
        <x:v>5</x:v>
      </x:c>
      <x:c r="N137" s="16" t="n">
        <x:v>5</x:v>
      </x:c>
      <x:c r="O137" s="16" t="n">
        <x:v>5</x:v>
      </x:c>
      <x:c r="P137" s="16" t="n">
        <x:f>IF(COUNT(I137:O137)&lt;7,"",I137*8+J137*3+K137*2+L137*2+M137*2+N137*2+O137)</x:f>
        <x:v>66</x:v>
      </x:c>
      <x:c r="Q137" s="16" t="n">
        <x:f>IF(COUNT(J137:O137)&lt;6,"",J137*5+K137*4+M137*4+L137*3+N137*2+O137*2)</x:f>
        <x:v>97</x:v>
      </x:c>
      <x:c r="R137" s="14" t="str">
        <x:v>medium</x:v>
      </x:c>
      <x:c r="S137" s="14" t="str">
        <x:v>historical_research_2026-07-28</x:v>
      </x:c>
      <x:c r="T137" s="14" t="str">
        <x:v>historical_official_research</x:v>
      </x:c>
      <x:c r="U137" s="14" t="str">
        <x:v>Надіслано 28.07 — follow-up</x:v>
      </x:c>
      <x:c r="V137" s="15" t="str">
        <x:v>Follow-up з review-link; далі попросити 1 анонімізований артефакт</x:v>
      </x:c>
      <x:c r="W137" s="15" t="str">
        <x:v>Власник / директор; керівник ПТО</x:v>
      </x:c>
      <x:c r="X137" s="15" t="str">
        <x:v>Повний цикл від проєктування до введення: зовнішній водопровід, напірна/самопливна/зливова каналізація, КНС і резервуари.</x:v>
      </x:c>
      <x:c r="Y137" s="15" t="str">
        <x:v>Глибокі траншеї, ухили, стики, випробування й виконавчі схеми мають бути прийняті до закриття.</x:v>
      </x:c>
      <x:c r="Z137" s="15" t="str">
        <x:v>https://www.project-wc.kiev.ua/</x:v>
      </x:c>
      <x:c r="AA137" s="14" t="str"/>
      <x:c r="AB137" s="14" t="str">
        <x:v>2026-07-28</x:v>
      </x:c>
      <x:c r="AC137" s="14" t="str">
        <x:v>Олександр</x:v>
      </x:c>
      <x:c r="AD137" s="20" t="str"/>
      <x:c r="AE137" s="14" t="str"/>
      <x:c r="AF137" s="14" t="n">
        <x:v>0</x:v>
      </x:c>
      <x:c r="AG137" s="14" t="str">
        <x:v>—</x:v>
      </x:c>
      <x:c r="AH137" s="14" t="n">
        <x:v>0</x:v>
      </x:c>
      <x:c r="AI137" s="14" t="n">
        <x:v>0</x:v>
      </x:c>
      <x:c r="AJ137" s="18" t="n">
        <x:v>0</x:v>
      </x:c>
      <x:c r="AK137" s="14" t="str"/>
      <x:c r="AL137" s="19" t="str"/>
      <x:c r="AM137" s="19" t="str"/>
      <x:c r="AN137" s="15" t="str"/>
      <x:c r="AO137" s="15" t="str">
        <x:v>historical_research_2026-07-28</x:v>
      </x:c>
    </x:row>
    <x:row r="138">
      <x:c r="A138" s="14" t="str">
        <x:v>V3-047</x:v>
      </x:c>
      <x:c r="B138" s="14" t="str">
        <x:v>Досліджено 28.07</x:v>
      </x:c>
      <x:c r="C138" s="14" t="str">
        <x:v>VIK</x:v>
      </x:c>
      <x:c r="D138" s="14" t="str">
        <x:v>Зовнішні мережі</x:v>
      </x:c>
      <x:c r="E138" s="14" t="str">
        <x:v>Later / requirements</x:v>
      </x:c>
      <x:c r="F138" s="17" t="str">
        <x:f>IF(E138="Pilot now",IF(P138&gt;=84,"P1",IF(P138&gt;=72,"P2","P3")),IF(E138="Expansion discovery",IF(Q138&gt;=88,"D1",IF(Q138&gt;=78,"D2","D3")),IF(E138="Later / requirements","L","Legacy")))</x:f>
        <x:v>L</x:v>
      </x:c>
      <x:c r="G138" s="14" t="str">
        <x:v>vik.com.ua</x:v>
      </x:c>
      <x:c r="H138" s="14" t="str">
        <x:v>Пізніше — вимоги проєкту</x:v>
      </x:c>
      <x:c r="I138" s="16" t="n">
        <x:v>1</x:v>
      </x:c>
      <x:c r="J138" s="16" t="n">
        <x:v>5</x:v>
      </x:c>
      <x:c r="K138" s="16" t="n">
        <x:v>5</x:v>
      </x:c>
      <x:c r="L138" s="16" t="n">
        <x:v>4</x:v>
      </x:c>
      <x:c r="M138" s="16" t="n">
        <x:v>5</x:v>
      </x:c>
      <x:c r="N138" s="16" t="n">
        <x:v>5</x:v>
      </x:c>
      <x:c r="O138" s="16" t="n">
        <x:v>5</x:v>
      </x:c>
      <x:c r="P138" s="16" t="n">
        <x:f>IF(COUNT(I138:O138)&lt;7,"",I138*8+J138*3+K138*2+L138*2+M138*2+N138*2+O138)</x:f>
        <x:v>66</x:v>
      </x:c>
      <x:c r="Q138" s="16" t="n">
        <x:f>IF(COUNT(J138:O138)&lt;6,"",J138*5+K138*4+M138*4+L138*3+N138*2+O138*2)</x:f>
        <x:v>97</x:v>
      </x:c>
      <x:c r="R138" s="14" t="str">
        <x:v>medium</x:v>
      </x:c>
      <x:c r="S138" s="14" t="str">
        <x:v>historical_research_2026-07-28</x:v>
      </x:c>
      <x:c r="T138" s="14" t="str">
        <x:v>historical_official_research</x:v>
      </x:c>
      <x:c r="U138" s="14" t="str">
        <x:v>Надіслано 28.07 — follow-up</x:v>
      </x:c>
      <x:c r="V138" s="15" t="str">
        <x:v>Follow-up з review-link; далі попросити 1 анонімізований артефакт</x:v>
      </x:c>
      <x:c r="W138" s="15" t="str">
        <x:v>Власник / директор; керівник ПТО</x:v>
      </x:c>
      <x:c r="X138" s="15" t="str">
        <x:v>Проєктування, будівництво й реконструкція мереж водопостачання/каналізації, насосних станцій і дренажу.</x:v>
      </x:c>
      <x:c r="Y138" s="15" t="str">
        <x:v>Трубопроводи, колодязі, КНС і дренажні системи вимагають поетапних актів та випробувань до засипання.</x:v>
      </x:c>
      <x:c r="Z138" s="15" t="str">
        <x:v>https://vik.com.ua/pages/view/proektuvannya</x:v>
      </x:c>
      <x:c r="AA138" s="14" t="str"/>
      <x:c r="AB138" s="14" t="str">
        <x:v>2026-07-28</x:v>
      </x:c>
      <x:c r="AC138" s="14" t="str">
        <x:v>Олександр</x:v>
      </x:c>
      <x:c r="AD138" s="20" t="str"/>
      <x:c r="AE138" s="14" t="str"/>
      <x:c r="AF138" s="14" t="n">
        <x:v>0</x:v>
      </x:c>
      <x:c r="AG138" s="14" t="str">
        <x:v>—</x:v>
      </x:c>
      <x:c r="AH138" s="14" t="n">
        <x:v>0</x:v>
      </x:c>
      <x:c r="AI138" s="14" t="n">
        <x:v>0</x:v>
      </x:c>
      <x:c r="AJ138" s="18" t="n">
        <x:v>0</x:v>
      </x:c>
      <x:c r="AK138" s="14" t="str"/>
      <x:c r="AL138" s="19" t="str"/>
      <x:c r="AM138" s="19" t="str"/>
      <x:c r="AN138" s="15" t="str"/>
      <x:c r="AO138" s="15" t="str">
        <x:v>historical_research_2026-07-28</x:v>
      </x:c>
    </x:row>
    <x:row r="139">
      <x:c r="A139" s="14" t="str">
        <x:v>V3-043</x:v>
      </x:c>
      <x:c r="B139" s="14" t="str">
        <x:v>Досліджено 28.07</x:v>
      </x:c>
      <x:c r="C139" s="14" t="str">
        <x:v>ТОВ «БМК «МІСТО ГРУП»</x:v>
      </x:c>
      <x:c r="D139" s="14" t="str">
        <x:v>Зовнішні мережі</x:v>
      </x:c>
      <x:c r="E139" s="14" t="str">
        <x:v>Later / requirements</x:v>
      </x:c>
      <x:c r="F139" s="17" t="str">
        <x:f>IF(E139="Pilot now",IF(P139&gt;=84,"P1",IF(P139&gt;=72,"P2","P3")),IF(E139="Expansion discovery",IF(Q139&gt;=88,"D1",IF(Q139&gt;=78,"D2","D3")),IF(E139="Later / requirements","L","Legacy")))</x:f>
        <x:v>L</x:v>
      </x:c>
      <x:c r="G139" s="14" t="str">
        <x:v>bmk-misto.com.ua</x:v>
      </x:c>
      <x:c r="H139" s="14" t="str">
        <x:v>Пізніше — вимоги проєкту</x:v>
      </x:c>
      <x:c r="I139" s="16" t="n">
        <x:v>1</x:v>
      </x:c>
      <x:c r="J139" s="16" t="n">
        <x:v>5</x:v>
      </x:c>
      <x:c r="K139" s="16" t="n">
        <x:v>5</x:v>
      </x:c>
      <x:c r="L139" s="16" t="n">
        <x:v>4</x:v>
      </x:c>
      <x:c r="M139" s="16" t="n">
        <x:v>4</x:v>
      </x:c>
      <x:c r="N139" s="16" t="n">
        <x:v>5</x:v>
      </x:c>
      <x:c r="O139" s="16" t="n">
        <x:v>5</x:v>
      </x:c>
      <x:c r="P139" s="16" t="n">
        <x:f>IF(COUNT(I139:O139)&lt;7,"",I139*8+J139*3+K139*2+L139*2+M139*2+N139*2+O139)</x:f>
        <x:v>64</x:v>
      </x:c>
      <x:c r="Q139" s="16" t="n">
        <x:f>IF(COUNT(J139:O139)&lt;6,"",J139*5+K139*4+M139*4+L139*3+N139*2+O139*2)</x:f>
        <x:v>93</x:v>
      </x:c>
      <x:c r="R139" s="14" t="str">
        <x:v>medium</x:v>
      </x:c>
      <x:c r="S139" s="14" t="str">
        <x:v>historical_research_2026-07-28</x:v>
      </x:c>
      <x:c r="T139" s="14" t="str">
        <x:v>historical_official_research</x:v>
      </x:c>
      <x:c r="U139" s="14" t="str">
        <x:v>Надіслано 28.07 — follow-up</x:v>
      </x:c>
      <x:c r="V139" s="15" t="str">
        <x:v>Follow-up з review-link; далі попросити 1 анонімізований артефакт</x:v>
      </x:c>
      <x:c r="W139" s="15" t="str">
        <x:v>Власник / директор; керівник ПТО</x:v>
      </x:c>
      <x:c r="X139" s="15" t="str">
        <x:v>Будівництво, реконструкція й ремонт зовнішніх мереж; труби до 1600 мм, колодязі, КНС, гідравлічні випробування.</x:v>
      </x:c>
      <x:c r="Y139" s="15" t="str">
        <x:v>Проєктні відмітки, стики труб, основи колодязів і випробування треба прийняти до засипання траншей.</x:v>
      </x:c>
      <x:c r="Z139" s="15" t="str">
        <x:v>https://bmk-misto.com.ua/merejy-vodopostachannya-i-vodovidvedennya</x:v>
      </x:c>
      <x:c r="AA139" s="14" t="str">
        <x:v>45989415</x:v>
      </x:c>
      <x:c r="AB139" s="14" t="str">
        <x:v>2026-07-28</x:v>
      </x:c>
      <x:c r="AC139" s="14" t="str">
        <x:v>Олександр</x:v>
      </x:c>
      <x:c r="AD139" s="20" t="str"/>
      <x:c r="AE139" s="14" t="str"/>
      <x:c r="AF139" s="14" t="n">
        <x:v>0</x:v>
      </x:c>
      <x:c r="AG139" s="14" t="str">
        <x:v>—</x:v>
      </x:c>
      <x:c r="AH139" s="14" t="n">
        <x:v>0</x:v>
      </x:c>
      <x:c r="AI139" s="14" t="n">
        <x:v>0</x:v>
      </x:c>
      <x:c r="AJ139" s="18" t="n">
        <x:v>0</x:v>
      </x:c>
      <x:c r="AK139" s="14" t="str"/>
      <x:c r="AL139" s="19" t="str"/>
      <x:c r="AM139" s="19" t="str"/>
      <x:c r="AN139" s="15" t="str"/>
      <x:c r="AO139" s="15" t="str">
        <x:v>historical_research_2026-07-28</x:v>
      </x:c>
    </x:row>
    <x:row r="140">
      <x:c r="A140" s="14" t="str">
        <x:v>AUG-006</x:v>
      </x:c>
      <x:c r="B140" s="14" t="str">
        <x:v>Перевірено 51 — 24.08</x:v>
      </x:c>
      <x:c r="C140" s="14" t="str">
        <x:v>BVKS</x:v>
      </x:c>
      <x:c r="D140" s="14" t="str">
        <x:v>Зовнішні мережі</x:v>
      </x:c>
      <x:c r="E140" s="14" t="str">
        <x:v>Later / requirements</x:v>
      </x:c>
      <x:c r="F140" s="17" t="str">
        <x:f>IF(E140="Pilot now",IF(P140&gt;=84,"P1",IF(P140&gt;=72,"P2","P3")),IF(E140="Expansion discovery",IF(Q140&gt;=88,"D1",IF(Q140&gt;=78,"D2","D3")),IF(E140="Later / requirements","L","Legacy")))</x:f>
        <x:v>L</x:v>
      </x:c>
      <x:c r="G140" s="14" t="str">
        <x:v>bvks.com.ua</x:v>
      </x:c>
      <x:c r="H140" s="14" t="str">
        <x:v>Пізніше — вимоги проєкту</x:v>
      </x:c>
      <x:c r="I140" s="16" t="n">
        <x:v>2</x:v>
      </x:c>
      <x:c r="J140" s="16" t="n">
        <x:v>5</x:v>
      </x:c>
      <x:c r="K140" s="16" t="n">
        <x:v>5</x:v>
      </x:c>
      <x:c r="L140" s="16" t="n">
        <x:v>2</x:v>
      </x:c>
      <x:c r="M140" s="16" t="n">
        <x:v>3</x:v>
      </x:c>
      <x:c r="N140" s="16" t="n">
        <x:v>4</x:v>
      </x:c>
      <x:c r="O140" s="16" t="n">
        <x:v>5</x:v>
      </x:c>
      <x:c r="P140" s="16" t="n">
        <x:f>IF(COUNT(I140:O140)&lt;7,"",I140*8+J140*3+K140*2+L140*2+M140*2+N140*2+O140)</x:f>
        <x:v>64</x:v>
      </x:c>
      <x:c r="Q140" s="16" t="n">
        <x:f>IF(COUNT(J140:O140)&lt;6,"",J140*5+K140*4+M140*4+L140*3+N140*2+O140*2)</x:f>
        <x:v>81</x:v>
      </x:c>
      <x:c r="R140" s="14" t="str">
        <x:v>high</x:v>
      </x:c>
      <x:c r="S140" s="14" t="str">
        <x:v>official_source_reverified</x:v>
      </x:c>
      <x:c r="T140" s="14" t="str">
        <x:v>official_source_reachable</x:v>
      </x:c>
      <x:c r="U140" s="14" t="str">
        <x:v>Новий — не контактували</x:v>
      </x:c>
      <x:c r="V140" s="15" t="str">
        <x:v>Discovery-call: перевірити процес і отримати вимоги конкретного проєкту</x:v>
      </x:c>
      <x:c r="W140" s="15" t="str">
        <x:v>Владелец; начальник участка</x:v>
      </x:c>
      <x:c r="X140" s="15" t="str">
        <x:v>Строительство и модернизация наружных водопроводно-канализационных сетей и ГНБ.</x:v>
      </x:c>
      <x:c r="Y140" s="15" t="str">
        <x:v>Трубопроводы и проколы становятся недоступны после засыпки, но текущая библиотека требований их прямо не покрывает.</x:v>
      </x:c>
      <x:c r="Z140" s="15" t="str">
        <x:v>https://bvks.com.ua/</x:v>
      </x:c>
      <x:c r="AA140" s="14" t="str"/>
      <x:c r="AB140" s="14" t="str">
        <x:v>2026-08-24</x:v>
      </x:c>
      <x:c r="AC140" s="14" t="str">
        <x:v>Олександр</x:v>
      </x:c>
      <x:c r="AD140" s="20" t="str"/>
      <x:c r="AE140" s="14" t="str"/>
      <x:c r="AF140" s="14" t="n">
        <x:v>0</x:v>
      </x:c>
      <x:c r="AG140" s="14" t="str">
        <x:v>—</x:v>
      </x:c>
      <x:c r="AH140" s="14" t="n">
        <x:v>0</x:v>
      </x:c>
      <x:c r="AI140" s="14" t="n">
        <x:v>0</x:v>
      </x:c>
      <x:c r="AJ140" s="18" t="n">
        <x:v>0</x:v>
      </x:c>
      <x:c r="AK140" s="14" t="str"/>
      <x:c r="AL140" s="19" t="str"/>
      <x:c r="AM140" s="19" t="str"/>
      <x:c r="AN140" s="15" t="str"/>
      <x:c r="AO140" s="15" t="str">
        <x:v>official_source_reverified</x:v>
      </x:c>
    </x:row>
    <x:row r="141">
      <x:c r="A141" s="14" t="str">
        <x:v>V3-046</x:v>
      </x:c>
      <x:c r="B141" s="14" t="str">
        <x:v>Досліджено 28.07</x:v>
      </x:c>
      <x:c r="C141" s="14" t="str">
        <x:v>MIDA Energy</x:v>
      </x:c>
      <x:c r="D141" s="14" t="str">
        <x:v>Зовнішні мережі</x:v>
      </x:c>
      <x:c r="E141" s="14" t="str">
        <x:v>Later / requirements</x:v>
      </x:c>
      <x:c r="F141" s="17" t="str">
        <x:f>IF(E141="Pilot now",IF(P141&gt;=84,"P1",IF(P141&gt;=72,"P2","P3")),IF(E141="Expansion discovery",IF(Q141&gt;=88,"D1",IF(Q141&gt;=78,"D2","D3")),IF(E141="Later / requirements","L","Legacy")))</x:f>
        <x:v>L</x:v>
      </x:c>
      <x:c r="G141" s="14" t="str">
        <x:v>midaenergy.com.ua</x:v>
      </x:c>
      <x:c r="H141" s="14" t="str">
        <x:v>Пізніше — вимоги проєкту</x:v>
      </x:c>
      <x:c r="I141" s="16" t="n">
        <x:v>1</x:v>
      </x:c>
      <x:c r="J141" s="16" t="n">
        <x:v>5</x:v>
      </x:c>
      <x:c r="K141" s="16" t="n">
        <x:v>5</x:v>
      </x:c>
      <x:c r="L141" s="16" t="n">
        <x:v>4</x:v>
      </x:c>
      <x:c r="M141" s="16" t="n">
        <x:v>4</x:v>
      </x:c>
      <x:c r="N141" s="16" t="n">
        <x:v>5</x:v>
      </x:c>
      <x:c r="O141" s="16" t="n">
        <x:v>5</x:v>
      </x:c>
      <x:c r="P141" s="16" t="n">
        <x:f>IF(COUNT(I141:O141)&lt;7,"",I141*8+J141*3+K141*2+L141*2+M141*2+N141*2+O141)</x:f>
        <x:v>64</x:v>
      </x:c>
      <x:c r="Q141" s="16" t="n">
        <x:f>IF(COUNT(J141:O141)&lt;6,"",J141*5+K141*4+M141*4+L141*3+N141*2+O141*2)</x:f>
        <x:v>93</x:v>
      </x:c>
      <x:c r="R141" s="14" t="str">
        <x:v>medium</x:v>
      </x:c>
      <x:c r="S141" s="14" t="str">
        <x:v>historical_research_2026-07-28</x:v>
      </x:c>
      <x:c r="T141" s="14" t="str">
        <x:v>historical_official_research</x:v>
      </x:c>
      <x:c r="U141" s="14" t="str">
        <x:v>Надіслано 28.07 — follow-up</x:v>
      </x:c>
      <x:c r="V141" s="15" t="str">
        <x:v>Follow-up з review-link; далі попросити 1 анонімізований артефакт</x:v>
      </x:c>
      <x:c r="W141" s="15" t="str">
        <x:v>Власник / директор; керівник ПТО</x:v>
      </x:c>
      <x:c r="X141" s="15" t="str">
        <x:v>Монтаж зовнішніх мереж газу, води, тепла, електрики, каналізації, вентиляції та зв’язку.</x:v>
      </x:c>
      <x:c r="Y141" s="15" t="str">
        <x:v>Різнотипні комунікації створюють багато прихованих переходів, перетинів, випробувань та актів.</x:v>
      </x:c>
      <x:c r="Z141" s="15" t="str">
        <x:v>https://midaenergy.com.ua/services/prokladannja-zovnishnih-inzhenernyh-merezh/</x:v>
      </x:c>
      <x:c r="AA141" s="14" t="str"/>
      <x:c r="AB141" s="14" t="str">
        <x:v>2026-07-28</x:v>
      </x:c>
      <x:c r="AC141" s="14" t="str">
        <x:v>Олександр</x:v>
      </x:c>
      <x:c r="AD141" s="20" t="str"/>
      <x:c r="AE141" s="14" t="str"/>
      <x:c r="AF141" s="14" t="n">
        <x:v>0</x:v>
      </x:c>
      <x:c r="AG141" s="14" t="str">
        <x:v>—</x:v>
      </x:c>
      <x:c r="AH141" s="14" t="n">
        <x:v>0</x:v>
      </x:c>
      <x:c r="AI141" s="14" t="n">
        <x:v>0</x:v>
      </x:c>
      <x:c r="AJ141" s="18" t="n">
        <x:v>0</x:v>
      </x:c>
      <x:c r="AK141" s="14" t="str"/>
      <x:c r="AL141" s="19" t="str"/>
      <x:c r="AM141" s="19" t="str"/>
      <x:c r="AN141" s="15" t="str"/>
      <x:c r="AO141" s="15" t="str">
        <x:v>historical_research_2026-07-28</x:v>
      </x:c>
    </x:row>
    <x:row r="142">
      <x:c r="A142" s="14" t="str">
        <x:v>V2-015</x:v>
      </x:c>
      <x:c r="B142" s="14" t="str">
        <x:v>Legacy 28</x:v>
      </x:c>
      <x:c r="C142" s="14" t="str">
        <x:v>Блок Майстер Україна</x:v>
      </x:c>
      <x:c r="D142" s="14" t="str">
        <x:v>Сонячна енергетика</x:v>
      </x:c>
      <x:c r="E142" s="14" t="str">
        <x:v>Requalify</x:v>
      </x:c>
      <x:c r="F142" s="17" t="str">
        <x:f>IF(E142="Pilot now",IF(P142&gt;=84,"P1",IF(P142&gt;=72,"P2","P3")),IF(E142="Expansion discovery",IF(Q142&gt;=88,"D1",IF(Q142&gt;=78,"D2","D3")),IF(E142="Later / requirements","L","Legacy")))</x:f>
        <x:v>Legacy</x:v>
      </x:c>
      <x:c r="G142" s="14" t="str">
        <x:v>blockmaster.com.ua</x:v>
      </x:c>
      <x:c r="H142" s="14" t="str">
        <x:v>Перекваліфікувати</x:v>
      </x:c>
      <x:c r="I142" s="16" t="str"/>
      <x:c r="J142" s="16" t="str"/>
      <x:c r="K142" s="16" t="str"/>
      <x:c r="L142" s="16" t="str"/>
      <x:c r="M142" s="16" t="str"/>
      <x:c r="N142" s="16" t="str"/>
      <x:c r="O142" s="16" t="str"/>
      <x:c r="P142" s="16" t="str">
        <x:f>IF(COUNT(I142:O142)&lt;7,"",I142*8+J142*3+K142*2+L142*2+M142*2+N142*2+O142)</x:f>
      </x:c>
      <x:c r="Q142" s="16" t="str">
        <x:f>IF(COUNT(J142:O142)&lt;6,"",J142*5+K142*4+M142*4+L142*3+N142*2+O142*2)</x:f>
      </x:c>
      <x:c r="R142" s="14" t="str">
        <x:v>low</x:v>
      </x:c>
      <x:c r="S142" s="14" t="str">
        <x:v>needs_full_reverification</x:v>
      </x:c>
      <x:c r="T142" s="14" t="str">
        <x:v>legacy_not_reverified</x:v>
      </x:c>
      <x:c r="U142" s="14" t="str">
        <x:v>Потрібна повторна перевірка</x:v>
      </x:c>
      <x:c r="V142" s="15" t="str">
        <x:v>Повністю перевірити сайт і поточний проєкт перед контактом</x:v>
      </x:c>
      <x:c r="W142" s="15" t="str">
        <x:v>Власник / директор; керівник ПТО</x:v>
      </x:c>
      <x:c r="X142" s="15" t="str">
        <x:v>Legacy-запис потребує повторної публічної перевірки.</x:v>
      </x:c>
      <x:c r="Y142" s="15" t="str">
        <x:v>Уточнити, які етапи та докази стають недоступними після закриття робіт.</x:v>
      </x:c>
      <x:c r="Z142" s="15" t="str">
        <x:v>https://blockmaster.com.ua</x:v>
      </x:c>
      <x:c r="AA142" s="14" t="str">
        <x:v>36387055</x:v>
      </x:c>
      <x:c r="AB142" s="14" t="str"/>
      <x:c r="AC142" s="14" t="str">
        <x:v>Олександр</x:v>
      </x:c>
      <x:c r="AD142" s="20" t="str"/>
      <x:c r="AE142" s="14" t="str"/>
      <x:c r="AF142" s="14" t="n">
        <x:v>0</x:v>
      </x:c>
      <x:c r="AG142" s="14" t="str">
        <x:v>—</x:v>
      </x:c>
      <x:c r="AH142" s="14" t="n">
        <x:v>0</x:v>
      </x:c>
      <x:c r="AI142" s="14" t="n">
        <x:v>0</x:v>
      </x:c>
      <x:c r="AJ142" s="18" t="n">
        <x:v>0</x:v>
      </x:c>
      <x:c r="AK142" s="14" t="str"/>
      <x:c r="AL142" s="19" t="str"/>
      <x:c r="AM142" s="19" t="str"/>
      <x:c r="AN142" s="15" t="str"/>
      <x:c r="AO142" s="15" t="str">
        <x:v>needs_full_reverification</x:v>
      </x:c>
    </x:row>
    <x:row r="143">
      <x:c r="A143" s="14" t="str">
        <x:v>V2-004</x:v>
      </x:c>
      <x:c r="B143" s="14" t="str">
        <x:v>Legacy 28</x:v>
      </x:c>
      <x:c r="C143" s="14" t="str">
        <x:v>ІБК «Енергокапітал»</x:v>
      </x:c>
      <x:c r="D143" s="14" t="str">
        <x:v>Електромонтаж</x:v>
      </x:c>
      <x:c r="E143" s="14" t="str">
        <x:v>Requalify</x:v>
      </x:c>
      <x:c r="F143" s="17" t="str">
        <x:f>IF(E143="Pilot now",IF(P143&gt;=84,"P1",IF(P143&gt;=72,"P2","P3")),IF(E143="Expansion discovery",IF(Q143&gt;=88,"D1",IF(Q143&gt;=78,"D2","D3")),IF(E143="Later / requirements","L","Legacy")))</x:f>
        <x:v>Legacy</x:v>
      </x:c>
      <x:c r="G143" s="14" t="str">
        <x:v>ibkenergo.com.ua</x:v>
      </x:c>
      <x:c r="H143" s="14" t="str">
        <x:v>Перекваліфікувати</x:v>
      </x:c>
      <x:c r="I143" s="16" t="str"/>
      <x:c r="J143" s="16" t="str"/>
      <x:c r="K143" s="16" t="str"/>
      <x:c r="L143" s="16" t="str"/>
      <x:c r="M143" s="16" t="str"/>
      <x:c r="N143" s="16" t="str"/>
      <x:c r="O143" s="16" t="str"/>
      <x:c r="P143" s="16" t="str">
        <x:f>IF(COUNT(I143:O143)&lt;7,"",I143*8+J143*3+K143*2+L143*2+M143*2+N143*2+O143)</x:f>
      </x:c>
      <x:c r="Q143" s="16" t="str">
        <x:f>IF(COUNT(J143:O143)&lt;6,"",J143*5+K143*4+M143*4+L143*3+N143*2+O143*2)</x:f>
      </x:c>
      <x:c r="R143" s="14" t="str">
        <x:v>low</x:v>
      </x:c>
      <x:c r="S143" s="14" t="str">
        <x:v>needs_full_reverification</x:v>
      </x:c>
      <x:c r="T143" s="14" t="str">
        <x:v>legacy_not_reverified</x:v>
      </x:c>
      <x:c r="U143" s="14" t="str">
        <x:v>Потрібна повторна перевірка</x:v>
      </x:c>
      <x:c r="V143" s="15" t="str">
        <x:v>Повністю перевірити сайт і поточний проєкт перед контактом</x:v>
      </x:c>
      <x:c r="W143" s="15" t="str">
        <x:v>Власник / директор; керівник ПТО</x:v>
      </x:c>
      <x:c r="X143" s="15" t="str">
        <x:v>Legacy-запис потребує повторної публічної перевірки.</x:v>
      </x:c>
      <x:c r="Y143" s="15" t="str">
        <x:v>Уточнити, які етапи та докази стають недоступними після закриття робіт.</x:v>
      </x:c>
      <x:c r="Z143" s="15" t="str">
        <x:v>https://ibkenergo.com.ua</x:v>
      </x:c>
      <x:c r="AA143" s="14" t="str">
        <x:v>39001787</x:v>
      </x:c>
      <x:c r="AB143" s="14" t="str"/>
      <x:c r="AC143" s="14" t="str">
        <x:v>Олександр</x:v>
      </x:c>
      <x:c r="AD143" s="20" t="str"/>
      <x:c r="AE143" s="14" t="str"/>
      <x:c r="AF143" s="14" t="n">
        <x:v>0</x:v>
      </x:c>
      <x:c r="AG143" s="14" t="str">
        <x:v>—</x:v>
      </x:c>
      <x:c r="AH143" s="14" t="n">
        <x:v>0</x:v>
      </x:c>
      <x:c r="AI143" s="14" t="n">
        <x:v>0</x:v>
      </x:c>
      <x:c r="AJ143" s="18" t="n">
        <x:v>0</x:v>
      </x:c>
      <x:c r="AK143" s="14" t="str"/>
      <x:c r="AL143" s="19" t="str"/>
      <x:c r="AM143" s="19" t="str"/>
      <x:c r="AN143" s="15" t="str"/>
      <x:c r="AO143" s="15" t="str">
        <x:v>needs_full_reverification</x:v>
      </x:c>
    </x:row>
    <x:row r="144">
      <x:c r="A144" s="14" t="str">
        <x:v>V2-016</x:v>
      </x:c>
      <x:c r="B144" s="14" t="str">
        <x:v>Legacy 28</x:v>
      </x:c>
      <x:c r="C144" s="14" t="str">
        <x:v>Компанія «РЕЙДЕН»</x:v>
      </x:c>
      <x:c r="D144" s="14" t="str">
        <x:v>Електромонтаж</x:v>
      </x:c>
      <x:c r="E144" s="14" t="str">
        <x:v>Requalify</x:v>
      </x:c>
      <x:c r="F144" s="17" t="str">
        <x:f>IF(E144="Pilot now",IF(P144&gt;=84,"P1",IF(P144&gt;=72,"P2","P3")),IF(E144="Expansion discovery",IF(Q144&gt;=88,"D1",IF(Q144&gt;=78,"D2","D3")),IF(E144="Later / requirements","L","Legacy")))</x:f>
        <x:v>Legacy</x:v>
      </x:c>
      <x:c r="G144" s="14" t="str">
        <x:v>raiden.com.ua</x:v>
      </x:c>
      <x:c r="H144" s="14" t="str">
        <x:v>Перекваліфікувати</x:v>
      </x:c>
      <x:c r="I144" s="16" t="str"/>
      <x:c r="J144" s="16" t="str"/>
      <x:c r="K144" s="16" t="str"/>
      <x:c r="L144" s="16" t="str"/>
      <x:c r="M144" s="16" t="str"/>
      <x:c r="N144" s="16" t="str"/>
      <x:c r="O144" s="16" t="str"/>
      <x:c r="P144" s="16" t="str">
        <x:f>IF(COUNT(I144:O144)&lt;7,"",I144*8+J144*3+K144*2+L144*2+M144*2+N144*2+O144)</x:f>
      </x:c>
      <x:c r="Q144" s="16" t="str">
        <x:f>IF(COUNT(J144:O144)&lt;6,"",J144*5+K144*4+M144*4+L144*3+N144*2+O144*2)</x:f>
      </x:c>
      <x:c r="R144" s="14" t="str">
        <x:v>low</x:v>
      </x:c>
      <x:c r="S144" s="14" t="str">
        <x:v>needs_full_reverification</x:v>
      </x:c>
      <x:c r="T144" s="14" t="str">
        <x:v>legacy_not_reverified</x:v>
      </x:c>
      <x:c r="U144" s="14" t="str">
        <x:v>Потрібна повторна перевірка</x:v>
      </x:c>
      <x:c r="V144" s="15" t="str">
        <x:v>Повністю перевірити сайт і поточний проєкт перед контактом</x:v>
      </x:c>
      <x:c r="W144" s="15" t="str">
        <x:v>Власник / директор; керівник ПТО</x:v>
      </x:c>
      <x:c r="X144" s="15" t="str">
        <x:v>Legacy-запис потребує повторної публічної перевірки.</x:v>
      </x:c>
      <x:c r="Y144" s="15" t="str">
        <x:v>Уточнити, які етапи та докази стають недоступними після закриття робіт.</x:v>
      </x:c>
      <x:c r="Z144" s="15" t="str">
        <x:v>https://raiden.com.ua</x:v>
      </x:c>
      <x:c r="AA144" s="14" t="str">
        <x:v>41162259</x:v>
      </x:c>
      <x:c r="AB144" s="14" t="str"/>
      <x:c r="AC144" s="14" t="str">
        <x:v>Олександр</x:v>
      </x:c>
      <x:c r="AD144" s="20" t="str"/>
      <x:c r="AE144" s="14" t="str"/>
      <x:c r="AF144" s="14" t="n">
        <x:v>0</x:v>
      </x:c>
      <x:c r="AG144" s="14" t="str">
        <x:v>—</x:v>
      </x:c>
      <x:c r="AH144" s="14" t="n">
        <x:v>0</x:v>
      </x:c>
      <x:c r="AI144" s="14" t="n">
        <x:v>0</x:v>
      </x:c>
      <x:c r="AJ144" s="18" t="n">
        <x:v>0</x:v>
      </x:c>
      <x:c r="AK144" s="14" t="str"/>
      <x:c r="AL144" s="19" t="str"/>
      <x:c r="AM144" s="19" t="str"/>
      <x:c r="AN144" s="15" t="str"/>
      <x:c r="AO144" s="15" t="str">
        <x:v>needs_full_reverification</x:v>
      </x:c>
    </x:row>
    <x:row r="145">
      <x:c r="A145" s="14" t="str">
        <x:v>V2-002</x:v>
      </x:c>
      <x:c r="B145" s="14" t="str">
        <x:v>Legacy 28</x:v>
      </x:c>
      <x:c r="C145" s="14" t="str">
        <x:v>НВП «Інтеренерго»</x:v>
      </x:c>
      <x:c r="D145" s="14" t="str">
        <x:v>Сервіс / експлуатація</x:v>
      </x:c>
      <x:c r="E145" s="14" t="str">
        <x:v>Requalify</x:v>
      </x:c>
      <x:c r="F145" s="17" t="str">
        <x:f>IF(E145="Pilot now",IF(P145&gt;=84,"P1",IF(P145&gt;=72,"P2","P3")),IF(E145="Expansion discovery",IF(Q145&gt;=88,"D1",IF(Q145&gt;=78,"D2","D3")),IF(E145="Later / requirements","L","Legacy")))</x:f>
        <x:v>Legacy</x:v>
      </x:c>
      <x:c r="G145" s="14" t="str">
        <x:v>interenergo.net</x:v>
      </x:c>
      <x:c r="H145" s="14" t="str">
        <x:v>Перекваліфікувати</x:v>
      </x:c>
      <x:c r="I145" s="16" t="str"/>
      <x:c r="J145" s="16" t="str"/>
      <x:c r="K145" s="16" t="str"/>
      <x:c r="L145" s="16" t="str"/>
      <x:c r="M145" s="16" t="str"/>
      <x:c r="N145" s="16" t="str"/>
      <x:c r="O145" s="16" t="str"/>
      <x:c r="P145" s="16" t="str">
        <x:f>IF(COUNT(I145:O145)&lt;7,"",I145*8+J145*3+K145*2+L145*2+M145*2+N145*2+O145)</x:f>
      </x:c>
      <x:c r="Q145" s="16" t="str">
        <x:f>IF(COUNT(J145:O145)&lt;6,"",J145*5+K145*4+M145*4+L145*3+N145*2+O145*2)</x:f>
      </x:c>
      <x:c r="R145" s="14" t="str">
        <x:v>low</x:v>
      </x:c>
      <x:c r="S145" s="14" t="str">
        <x:v>needs_full_reverification</x:v>
      </x:c>
      <x:c r="T145" s="14" t="str">
        <x:v>legacy_not_reverified</x:v>
      </x:c>
      <x:c r="U145" s="14" t="str">
        <x:v>Потрібна повторна перевірка</x:v>
      </x:c>
      <x:c r="V145" s="15" t="str">
        <x:v>Повністю перевірити сайт і поточний проєкт перед контактом</x:v>
      </x:c>
      <x:c r="W145" s="15" t="str">
        <x:v>Власник / директор; керівник ПТО</x:v>
      </x:c>
      <x:c r="X145" s="15" t="str">
        <x:v>Legacy-запис потребує повторної публічної перевірки.</x:v>
      </x:c>
      <x:c r="Y145" s="15" t="str">
        <x:v>Уточнити, які етапи та докази стають недоступними після закриття робіт.</x:v>
      </x:c>
      <x:c r="Z145" s="15" t="str">
        <x:v>https://interenergo.net</x:v>
      </x:c>
      <x:c r="AA145" s="14" t="str">
        <x:v>33291690</x:v>
      </x:c>
      <x:c r="AB145" s="14" t="str"/>
      <x:c r="AC145" s="14" t="str">
        <x:v>Олександр</x:v>
      </x:c>
      <x:c r="AD145" s="20" t="str"/>
      <x:c r="AE145" s="14" t="str"/>
      <x:c r="AF145" s="14" t="n">
        <x:v>0</x:v>
      </x:c>
      <x:c r="AG145" s="14" t="str">
        <x:v>—</x:v>
      </x:c>
      <x:c r="AH145" s="14" t="n">
        <x:v>0</x:v>
      </x:c>
      <x:c r="AI145" s="14" t="n">
        <x:v>0</x:v>
      </x:c>
      <x:c r="AJ145" s="18" t="n">
        <x:v>0</x:v>
      </x:c>
      <x:c r="AK145" s="14" t="str"/>
      <x:c r="AL145" s="19" t="str"/>
      <x:c r="AM145" s="19" t="str"/>
      <x:c r="AN145" s="15" t="str"/>
      <x:c r="AO145" s="15" t="str">
        <x:v>needs_full_reverification</x:v>
      </x:c>
    </x:row>
    <x:row r="146">
      <x:c r="A146" s="14" t="str">
        <x:v>V2-008</x:v>
      </x:c>
      <x:c r="B146" s="14" t="str">
        <x:v>Legacy 28</x:v>
      </x:c>
      <x:c r="C146" s="14" t="str">
        <x:v>Правильне Електроживлення</x:v>
      </x:c>
      <x:c r="D146" s="14" t="str">
        <x:v>Сонячна енергетика</x:v>
      </x:c>
      <x:c r="E146" s="14" t="str">
        <x:v>Requalify</x:v>
      </x:c>
      <x:c r="F146" s="17" t="str">
        <x:f>IF(E146="Pilot now",IF(P146&gt;=84,"P1",IF(P146&gt;=72,"P2","P3")),IF(E146="Expansion discovery",IF(Q146&gt;=88,"D1",IF(Q146&gt;=78,"D2","D3")),IF(E146="Later / requirements","L","Legacy")))</x:f>
        <x:v>Legacy</x:v>
      </x:c>
      <x:c r="G146" s="14" t="str">
        <x:v>sun-energy.com.ua</x:v>
      </x:c>
      <x:c r="H146" s="14" t="str">
        <x:v>Перекваліфікувати</x:v>
      </x:c>
      <x:c r="I146" s="16" t="str"/>
      <x:c r="J146" s="16" t="str"/>
      <x:c r="K146" s="16" t="str"/>
      <x:c r="L146" s="16" t="str"/>
      <x:c r="M146" s="16" t="str"/>
      <x:c r="N146" s="16" t="str"/>
      <x:c r="O146" s="16" t="str"/>
      <x:c r="P146" s="16" t="str">
        <x:f>IF(COUNT(I146:O146)&lt;7,"",I146*8+J146*3+K146*2+L146*2+M146*2+N146*2+O146)</x:f>
      </x:c>
      <x:c r="Q146" s="16" t="str">
        <x:f>IF(COUNT(J146:O146)&lt;6,"",J146*5+K146*4+M146*4+L146*3+N146*2+O146*2)</x:f>
      </x:c>
      <x:c r="R146" s="14" t="str">
        <x:v>low</x:v>
      </x:c>
      <x:c r="S146" s="14" t="str">
        <x:v>needs_full_reverification</x:v>
      </x:c>
      <x:c r="T146" s="14" t="str">
        <x:v>legacy_not_reverified</x:v>
      </x:c>
      <x:c r="U146" s="14" t="str">
        <x:v>Потрібна повторна перевірка</x:v>
      </x:c>
      <x:c r="V146" s="15" t="str">
        <x:v>Повністю перевірити сайт і поточний проєкт перед контактом</x:v>
      </x:c>
      <x:c r="W146" s="15" t="str">
        <x:v>Власник / директор; керівник ПТО</x:v>
      </x:c>
      <x:c r="X146" s="15" t="str">
        <x:v>Legacy-запис потребує повторної публічної перевірки.</x:v>
      </x:c>
      <x:c r="Y146" s="15" t="str">
        <x:v>Уточнити, які етапи та докази стають недоступними після закриття робіт.</x:v>
      </x:c>
      <x:c r="Z146" s="15" t="str">
        <x:v>https://sun-energy.com.ua</x:v>
      </x:c>
      <x:c r="AA146" s="14" t="str"/>
      <x:c r="AB146" s="14" t="str"/>
      <x:c r="AC146" s="14" t="str">
        <x:v>Олександр</x:v>
      </x:c>
      <x:c r="AD146" s="20" t="str"/>
      <x:c r="AE146" s="14" t="str"/>
      <x:c r="AF146" s="14" t="n">
        <x:v>0</x:v>
      </x:c>
      <x:c r="AG146" s="14" t="str">
        <x:v>—</x:v>
      </x:c>
      <x:c r="AH146" s="14" t="n">
        <x:v>0</x:v>
      </x:c>
      <x:c r="AI146" s="14" t="n">
        <x:v>0</x:v>
      </x:c>
      <x:c r="AJ146" s="18" t="n">
        <x:v>0</x:v>
      </x:c>
      <x:c r="AK146" s="14" t="str"/>
      <x:c r="AL146" s="19" t="str"/>
      <x:c r="AM146" s="19" t="str"/>
      <x:c r="AN146" s="15" t="str"/>
      <x:c r="AO146" s="15" t="str">
        <x:v>needs_full_reverification</x:v>
      </x:c>
    </x:row>
    <x:row r="147">
      <x:c r="A147" s="14" t="str">
        <x:v>V2-027</x:v>
      </x:c>
      <x:c r="B147" s="14" t="str">
        <x:v>Legacy 28</x:v>
      </x:c>
      <x:c r="C147" s="14" t="str">
        <x:v>ПРИВАТНЕ ПІДПРИЄМСТВО "ЗАХІДЕНЕРГОМОНТАЖ"</x:v>
      </x:c>
      <x:c r="D147" s="14" t="str">
        <x:v>Електромонтаж</x:v>
      </x:c>
      <x:c r="E147" s="14" t="str">
        <x:v>Requalify</x:v>
      </x:c>
      <x:c r="F147" s="17" t="str">
        <x:f>IF(E147="Pilot now",IF(P147&gt;=84,"P1",IF(P147&gt;=72,"P2","P3")),IF(E147="Expansion discovery",IF(Q147&gt;=88,"D1",IF(Q147&gt;=78,"D2","D3")),IF(E147="Later / requirements","L","Legacy")))</x:f>
        <x:v>Legacy</x:v>
      </x:c>
      <x:c r="G147" s="14" t="str">
        <x:v>zem-energo.com.ua</x:v>
      </x:c>
      <x:c r="H147" s="14" t="str">
        <x:v>Перекваліфікувати</x:v>
      </x:c>
      <x:c r="I147" s="16" t="str"/>
      <x:c r="J147" s="16" t="str"/>
      <x:c r="K147" s="16" t="str"/>
      <x:c r="L147" s="16" t="str"/>
      <x:c r="M147" s="16" t="str"/>
      <x:c r="N147" s="16" t="str"/>
      <x:c r="O147" s="16" t="str"/>
      <x:c r="P147" s="16" t="str">
        <x:f>IF(COUNT(I147:O147)&lt;7,"",I147*8+J147*3+K147*2+L147*2+M147*2+N147*2+O147)</x:f>
      </x:c>
      <x:c r="Q147" s="16" t="str">
        <x:f>IF(COUNT(J147:O147)&lt;6,"",J147*5+K147*4+M147*4+L147*3+N147*2+O147*2)</x:f>
      </x:c>
      <x:c r="R147" s="14" t="str">
        <x:v>low</x:v>
      </x:c>
      <x:c r="S147" s="14" t="str">
        <x:v>needs_full_reverification</x:v>
      </x:c>
      <x:c r="T147" s="14" t="str">
        <x:v>legacy_not_reverified</x:v>
      </x:c>
      <x:c r="U147" s="14" t="str">
        <x:v>Потрібна повторна перевірка</x:v>
      </x:c>
      <x:c r="V147" s="15" t="str">
        <x:v>Повністю перевірити сайт і поточний проєкт перед контактом</x:v>
      </x:c>
      <x:c r="W147" s="15" t="str">
        <x:v>Власник / директор; керівник ПТО</x:v>
      </x:c>
      <x:c r="X147" s="15" t="str">
        <x:v>Legacy-запис потребує повторної публічної перевірки.</x:v>
      </x:c>
      <x:c r="Y147" s="15" t="str">
        <x:v>Уточнити, які етапи та докази стають недоступними після закриття робіт.</x:v>
      </x:c>
      <x:c r="Z147" s="15" t="str">
        <x:v>https://zem-energo.com.ua</x:v>
      </x:c>
      <x:c r="AA147" s="14" t="str">
        <x:v>36404211</x:v>
      </x:c>
      <x:c r="AB147" s="14" t="str"/>
      <x:c r="AC147" s="14" t="str">
        <x:v>Олександр</x:v>
      </x:c>
      <x:c r="AD147" s="20" t="str"/>
      <x:c r="AE147" s="14" t="str"/>
      <x:c r="AF147" s="14" t="n">
        <x:v>0</x:v>
      </x:c>
      <x:c r="AG147" s="14" t="str">
        <x:v>—</x:v>
      </x:c>
      <x:c r="AH147" s="14" t="n">
        <x:v>0</x:v>
      </x:c>
      <x:c r="AI147" s="14" t="n">
        <x:v>0</x:v>
      </x:c>
      <x:c r="AJ147" s="18" t="n">
        <x:v>0</x:v>
      </x:c>
      <x:c r="AK147" s="14" t="str"/>
      <x:c r="AL147" s="19" t="str"/>
      <x:c r="AM147" s="19" t="str"/>
      <x:c r="AN147" s="15" t="str"/>
      <x:c r="AO147" s="15" t="str">
        <x:v>needs_full_reverification</x:v>
      </x:c>
    </x:row>
    <x:row r="148">
      <x:c r="A148" s="14" t="str">
        <x:v>V2-026</x:v>
      </x:c>
      <x:c r="B148" s="14" t="str">
        <x:v>Legacy 28</x:v>
      </x:c>
      <x:c r="C148" s="14" t="str">
        <x:v>ПРИВАТНЕ ПІДПРИЄМСТВО "ПОЖМАСТЕР"</x:v>
      </x:c>
      <x:c r="D148" s="14" t="str">
        <x:v>Слаботочні системи</x:v>
      </x:c>
      <x:c r="E148" s="14" t="str">
        <x:v>Requalify</x:v>
      </x:c>
      <x:c r="F148" s="17" t="str">
        <x:f>IF(E148="Pilot now",IF(P148&gt;=84,"P1",IF(P148&gt;=72,"P2","P3")),IF(E148="Expansion discovery",IF(Q148&gt;=88,"D1",IF(Q148&gt;=78,"D2","D3")),IF(E148="Later / requirements","L","Legacy")))</x:f>
        <x:v>Legacy</x:v>
      </x:c>
      <x:c r="G148" s="14" t="str">
        <x:v>pozhmaster.com.ua</x:v>
      </x:c>
      <x:c r="H148" s="14" t="str">
        <x:v>Перекваліфікувати</x:v>
      </x:c>
      <x:c r="I148" s="16" t="str"/>
      <x:c r="J148" s="16" t="str"/>
      <x:c r="K148" s="16" t="str"/>
      <x:c r="L148" s="16" t="str"/>
      <x:c r="M148" s="16" t="str"/>
      <x:c r="N148" s="16" t="str"/>
      <x:c r="O148" s="16" t="str"/>
      <x:c r="P148" s="16" t="str">
        <x:f>IF(COUNT(I148:O148)&lt;7,"",I148*8+J148*3+K148*2+L148*2+M148*2+N148*2+O148)</x:f>
      </x:c>
      <x:c r="Q148" s="16" t="str">
        <x:f>IF(COUNT(J148:O148)&lt;6,"",J148*5+K148*4+M148*4+L148*3+N148*2+O148*2)</x:f>
      </x:c>
      <x:c r="R148" s="14" t="str">
        <x:v>low</x:v>
      </x:c>
      <x:c r="S148" s="14" t="str">
        <x:v>needs_full_reverification</x:v>
      </x:c>
      <x:c r="T148" s="14" t="str">
        <x:v>legacy_not_reverified</x:v>
      </x:c>
      <x:c r="U148" s="14" t="str">
        <x:v>Потрібна повторна перевірка</x:v>
      </x:c>
      <x:c r="V148" s="15" t="str">
        <x:v>Повністю перевірити сайт і поточний проєкт перед контактом</x:v>
      </x:c>
      <x:c r="W148" s="15" t="str">
        <x:v>Власник / директор; керівник ПТО</x:v>
      </x:c>
      <x:c r="X148" s="15" t="str">
        <x:v>Legacy-запис потребує повторної публічної перевірки.</x:v>
      </x:c>
      <x:c r="Y148" s="15" t="str">
        <x:v>Уточнити, які етапи та докази стають недоступними після закриття робіт.</x:v>
      </x:c>
      <x:c r="Z148" s="15" t="str">
        <x:v>https://pozhmaster.com.ua</x:v>
      </x:c>
      <x:c r="AA148" s="14" t="str">
        <x:v>36326591</x:v>
      </x:c>
      <x:c r="AB148" s="14" t="str"/>
      <x:c r="AC148" s="14" t="str">
        <x:v>Олександр</x:v>
      </x:c>
      <x:c r="AD148" s="20" t="str"/>
      <x:c r="AE148" s="14" t="str"/>
      <x:c r="AF148" s="14" t="n">
        <x:v>0</x:v>
      </x:c>
      <x:c r="AG148" s="14" t="str">
        <x:v>—</x:v>
      </x:c>
      <x:c r="AH148" s="14" t="n">
        <x:v>0</x:v>
      </x:c>
      <x:c r="AI148" s="14" t="n">
        <x:v>0</x:v>
      </x:c>
      <x:c r="AJ148" s="18" t="n">
        <x:v>0</x:v>
      </x:c>
      <x:c r="AK148" s="14" t="str"/>
      <x:c r="AL148" s="19" t="str"/>
      <x:c r="AM148" s="19" t="str"/>
      <x:c r="AN148" s="15" t="str"/>
      <x:c r="AO148" s="15" t="str">
        <x:v>needs_full_reverification</x:v>
      </x:c>
    </x:row>
    <x:row r="149">
      <x:c r="A149" s="14" t="str">
        <x:v>V2-012</x:v>
      </x:c>
      <x:c r="B149" s="14" t="str">
        <x:v>Legacy 28</x:v>
      </x:c>
      <x:c r="C149" s="14" t="str">
        <x:v>Променергомонтаж</x:v>
      </x:c>
      <x:c r="D149" s="14" t="str">
        <x:v>Сонячна енергетика</x:v>
      </x:c>
      <x:c r="E149" s="14" t="str">
        <x:v>Requalify</x:v>
      </x:c>
      <x:c r="F149" s="17" t="str">
        <x:f>IF(E149="Pilot now",IF(P149&gt;=84,"P1",IF(P149&gt;=72,"P2","P3")),IF(E149="Expansion discovery",IF(Q149&gt;=88,"D1",IF(Q149&gt;=78,"D2","D3")),IF(E149="Later / requirements","L","Legacy")))</x:f>
        <x:v>Legacy</x:v>
      </x:c>
      <x:c r="G149" s="14" t="str">
        <x:v>promenergo.com.ua</x:v>
      </x:c>
      <x:c r="H149" s="14" t="str">
        <x:v>Перекваліфікувати</x:v>
      </x:c>
      <x:c r="I149" s="16" t="str"/>
      <x:c r="J149" s="16" t="str"/>
      <x:c r="K149" s="16" t="str"/>
      <x:c r="L149" s="16" t="str"/>
      <x:c r="M149" s="16" t="str"/>
      <x:c r="N149" s="16" t="str"/>
      <x:c r="O149" s="16" t="str"/>
      <x:c r="P149" s="16" t="str">
        <x:f>IF(COUNT(I149:O149)&lt;7,"",I149*8+J149*3+K149*2+L149*2+M149*2+N149*2+O149)</x:f>
      </x:c>
      <x:c r="Q149" s="16" t="str">
        <x:f>IF(COUNT(J149:O149)&lt;6,"",J149*5+K149*4+M149*4+L149*3+N149*2+O149*2)</x:f>
      </x:c>
      <x:c r="R149" s="14" t="str">
        <x:v>low</x:v>
      </x:c>
      <x:c r="S149" s="14" t="str">
        <x:v>needs_full_reverification</x:v>
      </x:c>
      <x:c r="T149" s="14" t="str">
        <x:v>legacy_not_reverified</x:v>
      </x:c>
      <x:c r="U149" s="14" t="str">
        <x:v>Потрібна повторна перевірка</x:v>
      </x:c>
      <x:c r="V149" s="15" t="str">
        <x:v>Повністю перевірити сайт і поточний проєкт перед контактом</x:v>
      </x:c>
      <x:c r="W149" s="15" t="str">
        <x:v>Власник / директор; керівник ПТО</x:v>
      </x:c>
      <x:c r="X149" s="15" t="str">
        <x:v>Legacy-запис потребує повторної публічної перевірки.</x:v>
      </x:c>
      <x:c r="Y149" s="15" t="str">
        <x:v>Уточнити, які етапи та докази стають недоступними після закриття робіт.</x:v>
      </x:c>
      <x:c r="Z149" s="15" t="str">
        <x:v>https://promenergo.com.ua</x:v>
      </x:c>
      <x:c r="AA149" s="14" t="str"/>
      <x:c r="AB149" s="14" t="str"/>
      <x:c r="AC149" s="14" t="str">
        <x:v>Олександр</x:v>
      </x:c>
      <x:c r="AD149" s="20" t="str"/>
      <x:c r="AE149" s="14" t="str"/>
      <x:c r="AF149" s="14" t="n">
        <x:v>0</x:v>
      </x:c>
      <x:c r="AG149" s="14" t="str">
        <x:v>—</x:v>
      </x:c>
      <x:c r="AH149" s="14" t="n">
        <x:v>0</x:v>
      </x:c>
      <x:c r="AI149" s="14" t="n">
        <x:v>0</x:v>
      </x:c>
      <x:c r="AJ149" s="18" t="n">
        <x:v>0</x:v>
      </x:c>
      <x:c r="AK149" s="14" t="str"/>
      <x:c r="AL149" s="19" t="str"/>
      <x:c r="AM149" s="19" t="str"/>
      <x:c r="AN149" s="15" t="str"/>
      <x:c r="AO149" s="15" t="str">
        <x:v>needs_full_reverification</x:v>
      </x:c>
    </x:row>
    <x:row r="150">
      <x:c r="A150" s="14" t="str">
        <x:v>V2-019</x:v>
      </x:c>
      <x:c r="B150" s="14" t="str">
        <x:v>Legacy 28</x:v>
      </x:c>
      <x:c r="C150" s="14" t="str">
        <x:v>Протипожежна компанія «Брандмауер» (РПТБ)</x:v>
      </x:c>
      <x:c r="D150" s="14" t="str">
        <x:v>Слаботочні системи</x:v>
      </x:c>
      <x:c r="E150" s="14" t="str">
        <x:v>Requalify</x:v>
      </x:c>
      <x:c r="F150" s="17" t="str">
        <x:f>IF(E150="Pilot now",IF(P150&gt;=84,"P1",IF(P150&gt;=72,"P2","P3")),IF(E150="Expansion discovery",IF(Q150&gt;=88,"D1",IF(Q150&gt;=78,"D2","D3")),IF(E150="Later / requirements","L","Legacy")))</x:f>
        <x:v>Legacy</x:v>
      </x:c>
      <x:c r="G150" s="14" t="str">
        <x:v>brandmauer.com.ua</x:v>
      </x:c>
      <x:c r="H150" s="14" t="str">
        <x:v>Перекваліфікувати</x:v>
      </x:c>
      <x:c r="I150" s="16" t="str"/>
      <x:c r="J150" s="16" t="str"/>
      <x:c r="K150" s="16" t="str"/>
      <x:c r="L150" s="16" t="str"/>
      <x:c r="M150" s="16" t="str"/>
      <x:c r="N150" s="16" t="str"/>
      <x:c r="O150" s="16" t="str"/>
      <x:c r="P150" s="16" t="str">
        <x:f>IF(COUNT(I150:O150)&lt;7,"",I150*8+J150*3+K150*2+L150*2+M150*2+N150*2+O150)</x:f>
      </x:c>
      <x:c r="Q150" s="16" t="str">
        <x:f>IF(COUNT(J150:O150)&lt;6,"",J150*5+K150*4+M150*4+L150*3+N150*2+O150*2)</x:f>
      </x:c>
      <x:c r="R150" s="14" t="str">
        <x:v>low</x:v>
      </x:c>
      <x:c r="S150" s="14" t="str">
        <x:v>needs_full_reverification</x:v>
      </x:c>
      <x:c r="T150" s="14" t="str">
        <x:v>legacy_not_reverified</x:v>
      </x:c>
      <x:c r="U150" s="14" t="str">
        <x:v>Потрібна повторна перевірка</x:v>
      </x:c>
      <x:c r="V150" s="15" t="str">
        <x:v>Повністю перевірити сайт і поточний проєкт перед контактом</x:v>
      </x:c>
      <x:c r="W150" s="15" t="str">
        <x:v>Власник / директор; керівник ПТО</x:v>
      </x:c>
      <x:c r="X150" s="15" t="str">
        <x:v>Legacy-запис потребує повторної публічної перевірки.</x:v>
      </x:c>
      <x:c r="Y150" s="15" t="str">
        <x:v>Уточнити, які етапи та докази стають недоступними після закриття робіт.</x:v>
      </x:c>
      <x:c r="Z150" s="15" t="str">
        <x:v>https://brandmauer.com.ua</x:v>
      </x:c>
      <x:c r="AA150" s="14" t="str">
        <x:v>42033798</x:v>
      </x:c>
      <x:c r="AB150" s="14" t="str"/>
      <x:c r="AC150" s="14" t="str">
        <x:v>Олександр</x:v>
      </x:c>
      <x:c r="AD150" s="20" t="str"/>
      <x:c r="AE150" s="14" t="str"/>
      <x:c r="AF150" s="14" t="n">
        <x:v>0</x:v>
      </x:c>
      <x:c r="AG150" s="14" t="str">
        <x:v>—</x:v>
      </x:c>
      <x:c r="AH150" s="14" t="n">
        <x:v>0</x:v>
      </x:c>
      <x:c r="AI150" s="14" t="n">
        <x:v>0</x:v>
      </x:c>
      <x:c r="AJ150" s="18" t="n">
        <x:v>0</x:v>
      </x:c>
      <x:c r="AK150" s="14" t="str"/>
      <x:c r="AL150" s="19" t="str"/>
      <x:c r="AM150" s="19" t="str"/>
      <x:c r="AN150" s="15" t="str"/>
      <x:c r="AO150" s="15" t="str">
        <x:v>needs_full_reverification</x:v>
      </x:c>
    </x:row>
    <x:row r="151">
      <x:c r="A151" s="14" t="str">
        <x:v>V2-022</x:v>
      </x:c>
      <x:c r="B151" s="14" t="str">
        <x:v>Legacy 28</x:v>
      </x:c>
      <x:c r="C151" s="14" t="str">
        <x:v>ТзОВ «Проектлінк»</x:v>
      </x:c>
      <x:c r="D151" s="14" t="str">
        <x:v>Електромонтаж</x:v>
      </x:c>
      <x:c r="E151" s="14" t="str">
        <x:v>Requalify</x:v>
      </x:c>
      <x:c r="F151" s="17" t="str">
        <x:f>IF(E151="Pilot now",IF(P151&gt;=84,"P1",IF(P151&gt;=72,"P2","P3")),IF(E151="Expansion discovery",IF(Q151&gt;=88,"D1",IF(Q151&gt;=78,"D2","D3")),IF(E151="Later / requirements","L","Legacy")))</x:f>
        <x:v>Legacy</x:v>
      </x:c>
      <x:c r="G151" s="14" t="str">
        <x:v>proekt.link</x:v>
      </x:c>
      <x:c r="H151" s="14" t="str">
        <x:v>Перекваліфікувати</x:v>
      </x:c>
      <x:c r="I151" s="16" t="str"/>
      <x:c r="J151" s="16" t="str"/>
      <x:c r="K151" s="16" t="str"/>
      <x:c r="L151" s="16" t="str"/>
      <x:c r="M151" s="16" t="str"/>
      <x:c r="N151" s="16" t="str"/>
      <x:c r="O151" s="16" t="str"/>
      <x:c r="P151" s="16" t="str">
        <x:f>IF(COUNT(I151:O151)&lt;7,"",I151*8+J151*3+K151*2+L151*2+M151*2+N151*2+O151)</x:f>
      </x:c>
      <x:c r="Q151" s="16" t="str">
        <x:f>IF(COUNT(J151:O151)&lt;6,"",J151*5+K151*4+M151*4+L151*3+N151*2+O151*2)</x:f>
      </x:c>
      <x:c r="R151" s="14" t="str">
        <x:v>low</x:v>
      </x:c>
      <x:c r="S151" s="14" t="str">
        <x:v>needs_full_reverification</x:v>
      </x:c>
      <x:c r="T151" s="14" t="str">
        <x:v>legacy_not_reverified</x:v>
      </x:c>
      <x:c r="U151" s="14" t="str">
        <x:v>Потрібна повторна перевірка</x:v>
      </x:c>
      <x:c r="V151" s="15" t="str">
        <x:v>Повністю перевірити сайт і поточний проєкт перед контактом</x:v>
      </x:c>
      <x:c r="W151" s="15" t="str">
        <x:v>Власник / директор; керівник ПТО</x:v>
      </x:c>
      <x:c r="X151" s="15" t="str">
        <x:v>Legacy-запис потребує повторної публічної перевірки.</x:v>
      </x:c>
      <x:c r="Y151" s="15" t="str">
        <x:v>Уточнити, які етапи та докази стають недоступними після закриття робіт.</x:v>
      </x:c>
      <x:c r="Z151" s="15" t="str">
        <x:v>https://proekt.link</x:v>
      </x:c>
      <x:c r="AA151" s="14" t="str">
        <x:v>42162731</x:v>
      </x:c>
      <x:c r="AB151" s="14" t="str"/>
      <x:c r="AC151" s="14" t="str">
        <x:v>Олександр</x:v>
      </x:c>
      <x:c r="AD151" s="20" t="str"/>
      <x:c r="AE151" s="14" t="str"/>
      <x:c r="AF151" s="14" t="n">
        <x:v>0</x:v>
      </x:c>
      <x:c r="AG151" s="14" t="str">
        <x:v>—</x:v>
      </x:c>
      <x:c r="AH151" s="14" t="n">
        <x:v>0</x:v>
      </x:c>
      <x:c r="AI151" s="14" t="n">
        <x:v>0</x:v>
      </x:c>
      <x:c r="AJ151" s="18" t="n">
        <x:v>0</x:v>
      </x:c>
      <x:c r="AK151" s="14" t="str"/>
      <x:c r="AL151" s="19" t="str"/>
      <x:c r="AM151" s="19" t="str"/>
      <x:c r="AN151" s="15" t="str"/>
      <x:c r="AO151" s="15" t="str">
        <x:v>needs_full_reverification</x:v>
      </x:c>
    </x:row>
    <x:row r="152">
      <x:c r="A152" s="14" t="str">
        <x:v>V2-011</x:v>
      </x:c>
      <x:c r="B152" s="14" t="str">
        <x:v>Legacy 28</x:v>
      </x:c>
      <x:c r="C152" s="14" t="str">
        <x:v>ТОВ «Авенстон»</x:v>
      </x:c>
      <x:c r="D152" s="14" t="str">
        <x:v>Сонячна енергетика</x:v>
      </x:c>
      <x:c r="E152" s="14" t="str">
        <x:v>Requalify</x:v>
      </x:c>
      <x:c r="F152" s="17" t="str">
        <x:f>IF(E152="Pilot now",IF(P152&gt;=84,"P1",IF(P152&gt;=72,"P2","P3")),IF(E152="Expansion discovery",IF(Q152&gt;=88,"D1",IF(Q152&gt;=78,"D2","D3")),IF(E152="Later / requirements","L","Legacy")))</x:f>
        <x:v>Legacy</x:v>
      </x:c>
      <x:c r="G152" s="14" t="str">
        <x:v>avenston.com</x:v>
      </x:c>
      <x:c r="H152" s="14" t="str">
        <x:v>Перекваліфікувати</x:v>
      </x:c>
      <x:c r="I152" s="16" t="str"/>
      <x:c r="J152" s="16" t="str"/>
      <x:c r="K152" s="16" t="str"/>
      <x:c r="L152" s="16" t="str"/>
      <x:c r="M152" s="16" t="str"/>
      <x:c r="N152" s="16" t="str"/>
      <x:c r="O152" s="16" t="str"/>
      <x:c r="P152" s="16" t="str">
        <x:f>IF(COUNT(I152:O152)&lt;7,"",I152*8+J152*3+K152*2+L152*2+M152*2+N152*2+O152)</x:f>
      </x:c>
      <x:c r="Q152" s="16" t="str">
        <x:f>IF(COUNT(J152:O152)&lt;6,"",J152*5+K152*4+M152*4+L152*3+N152*2+O152*2)</x:f>
      </x:c>
      <x:c r="R152" s="14" t="str">
        <x:v>low</x:v>
      </x:c>
      <x:c r="S152" s="14" t="str">
        <x:v>needs_full_reverification</x:v>
      </x:c>
      <x:c r="T152" s="14" t="str">
        <x:v>legacy_not_reverified</x:v>
      </x:c>
      <x:c r="U152" s="14" t="str">
        <x:v>Потрібна повторна перевірка</x:v>
      </x:c>
      <x:c r="V152" s="15" t="str">
        <x:v>Повністю перевірити сайт і поточний проєкт перед контактом</x:v>
      </x:c>
      <x:c r="W152" s="15" t="str">
        <x:v>Власник / директор; керівник ПТО</x:v>
      </x:c>
      <x:c r="X152" s="15" t="str">
        <x:v>Legacy-запис потребує повторної публічної перевірки.</x:v>
      </x:c>
      <x:c r="Y152" s="15" t="str">
        <x:v>Уточнити, які етапи та докази стають недоступними після закриття робіт.</x:v>
      </x:c>
      <x:c r="Z152" s="15" t="str">
        <x:v>https://avenston.com</x:v>
      </x:c>
      <x:c r="AA152" s="14" t="str"/>
      <x:c r="AB152" s="14" t="str"/>
      <x:c r="AC152" s="14" t="str">
        <x:v>Олександр</x:v>
      </x:c>
      <x:c r="AD152" s="20" t="str"/>
      <x:c r="AE152" s="14" t="str"/>
      <x:c r="AF152" s="14" t="n">
        <x:v>0</x:v>
      </x:c>
      <x:c r="AG152" s="14" t="str">
        <x:v>—</x:v>
      </x:c>
      <x:c r="AH152" s="14" t="n">
        <x:v>0</x:v>
      </x:c>
      <x:c r="AI152" s="14" t="n">
        <x:v>0</x:v>
      </x:c>
      <x:c r="AJ152" s="18" t="n">
        <x:v>0</x:v>
      </x:c>
      <x:c r="AK152" s="14" t="str"/>
      <x:c r="AL152" s="19" t="str"/>
      <x:c r="AM152" s="19" t="str"/>
      <x:c r="AN152" s="15" t="str"/>
      <x:c r="AO152" s="15" t="str">
        <x:v>needs_full_reverification</x:v>
      </x:c>
    </x:row>
    <x:row r="153">
      <x:c r="A153" s="14" t="str">
        <x:v>V2-024</x:v>
      </x:c>
      <x:c r="B153" s="14" t="str">
        <x:v>Legacy 28</x:v>
      </x:c>
      <x:c r="C153" s="14" t="str">
        <x:v>ТОВ «Агроремсервісприлад-М»</x:v>
      </x:c>
      <x:c r="D153" s="14" t="str">
        <x:v>Сервіс / експлуатація</x:v>
      </x:c>
      <x:c r="E153" s="14" t="str">
        <x:v>Requalify</x:v>
      </x:c>
      <x:c r="F153" s="17" t="str">
        <x:f>IF(E153="Pilot now",IF(P153&gt;=84,"P1",IF(P153&gt;=72,"P2","P3")),IF(E153="Expansion discovery",IF(Q153&gt;=88,"D1",IF(Q153&gt;=78,"D2","D3")),IF(E153="Later / requirements","L","Legacy")))</x:f>
        <x:v>Legacy</x:v>
      </x:c>
      <x:c r="G153" s="14" t="str">
        <x:v>agroremservice.com.ua</x:v>
      </x:c>
      <x:c r="H153" s="14" t="str">
        <x:v>Перекваліфікувати</x:v>
      </x:c>
      <x:c r="I153" s="16" t="str"/>
      <x:c r="J153" s="16" t="str"/>
      <x:c r="K153" s="16" t="str"/>
      <x:c r="L153" s="16" t="str"/>
      <x:c r="M153" s="16" t="str"/>
      <x:c r="N153" s="16" t="str"/>
      <x:c r="O153" s="16" t="str"/>
      <x:c r="P153" s="16" t="str">
        <x:f>IF(COUNT(I153:O153)&lt;7,"",I153*8+J153*3+K153*2+L153*2+M153*2+N153*2+O153)</x:f>
      </x:c>
      <x:c r="Q153" s="16" t="str">
        <x:f>IF(COUNT(J153:O153)&lt;6,"",J153*5+K153*4+M153*4+L153*3+N153*2+O153*2)</x:f>
      </x:c>
      <x:c r="R153" s="14" t="str">
        <x:v>low</x:v>
      </x:c>
      <x:c r="S153" s="14" t="str">
        <x:v>needs_full_reverification</x:v>
      </x:c>
      <x:c r="T153" s="14" t="str">
        <x:v>legacy_not_reverified</x:v>
      </x:c>
      <x:c r="U153" s="14" t="str">
        <x:v>Потрібна повторна перевірка</x:v>
      </x:c>
      <x:c r="V153" s="15" t="str">
        <x:v>Повністю перевірити сайт і поточний проєкт перед контактом</x:v>
      </x:c>
      <x:c r="W153" s="15" t="str">
        <x:v>Власник / директор; керівник ПТО</x:v>
      </x:c>
      <x:c r="X153" s="15" t="str">
        <x:v>Legacy-запис потребує повторної публічної перевірки.</x:v>
      </x:c>
      <x:c r="Y153" s="15" t="str">
        <x:v>Уточнити, які етапи та докази стають недоступними після закриття робіт.</x:v>
      </x:c>
      <x:c r="Z153" s="15" t="str">
        <x:v>https://agroremservice.com.ua</x:v>
      </x:c>
      <x:c r="AA153" s="14" t="str">
        <x:v>45811436</x:v>
      </x:c>
      <x:c r="AB153" s="14" t="str"/>
      <x:c r="AC153" s="14" t="str">
        <x:v>Олександр</x:v>
      </x:c>
      <x:c r="AD153" s="20" t="str"/>
      <x:c r="AE153" s="14" t="str"/>
      <x:c r="AF153" s="14" t="n">
        <x:v>0</x:v>
      </x:c>
      <x:c r="AG153" s="14" t="str">
        <x:v>—</x:v>
      </x:c>
      <x:c r="AH153" s="14" t="n">
        <x:v>0</x:v>
      </x:c>
      <x:c r="AI153" s="14" t="n">
        <x:v>0</x:v>
      </x:c>
      <x:c r="AJ153" s="18" t="n">
        <x:v>0</x:v>
      </x:c>
      <x:c r="AK153" s="14" t="str"/>
      <x:c r="AL153" s="19" t="str"/>
      <x:c r="AM153" s="19" t="str"/>
      <x:c r="AN153" s="15" t="str"/>
      <x:c r="AO153" s="15" t="str">
        <x:v>needs_full_reverification</x:v>
      </x:c>
    </x:row>
    <x:row r="154">
      <x:c r="A154" s="14" t="str">
        <x:v>V2-009</x:v>
      </x:c>
      <x:c r="B154" s="14" t="str">
        <x:v>Legacy 28</x:v>
      </x:c>
      <x:c r="C154" s="14" t="str">
        <x:v>ТОВ «Академ Інвест»</x:v>
      </x:c>
      <x:c r="D154" s="14" t="str">
        <x:v>Сонячна енергетика</x:v>
      </x:c>
      <x:c r="E154" s="14" t="str">
        <x:v>Requalify</x:v>
      </x:c>
      <x:c r="F154" s="17" t="str">
        <x:f>IF(E154="Pilot now",IF(P154&gt;=84,"P1",IF(P154&gt;=72,"P2","P3")),IF(E154="Expansion discovery",IF(Q154&gt;=88,"D1",IF(Q154&gt;=78,"D2","D3")),IF(E154="Later / requirements","L","Legacy")))</x:f>
        <x:v>Legacy</x:v>
      </x:c>
      <x:c r="G154" s="14" t="str">
        <x:v>247energy.com.ua</x:v>
      </x:c>
      <x:c r="H154" s="14" t="str">
        <x:v>Перекваліфікувати</x:v>
      </x:c>
      <x:c r="I154" s="16" t="str"/>
      <x:c r="J154" s="16" t="str"/>
      <x:c r="K154" s="16" t="str"/>
      <x:c r="L154" s="16" t="str"/>
      <x:c r="M154" s="16" t="str"/>
      <x:c r="N154" s="16" t="str"/>
      <x:c r="O154" s="16" t="str"/>
      <x:c r="P154" s="16" t="str">
        <x:f>IF(COUNT(I154:O154)&lt;7,"",I154*8+J154*3+K154*2+L154*2+M154*2+N154*2+O154)</x:f>
      </x:c>
      <x:c r="Q154" s="16" t="str">
        <x:f>IF(COUNT(J154:O154)&lt;6,"",J154*5+K154*4+M154*4+L154*3+N154*2+O154*2)</x:f>
      </x:c>
      <x:c r="R154" s="14" t="str">
        <x:v>low</x:v>
      </x:c>
      <x:c r="S154" s="14" t="str">
        <x:v>needs_full_reverification</x:v>
      </x:c>
      <x:c r="T154" s="14" t="str">
        <x:v>legacy_not_reverified</x:v>
      </x:c>
      <x:c r="U154" s="14" t="str">
        <x:v>Потрібна повторна перевірка</x:v>
      </x:c>
      <x:c r="V154" s="15" t="str">
        <x:v>Повністю перевірити сайт і поточний проєкт перед контактом</x:v>
      </x:c>
      <x:c r="W154" s="15" t="str">
        <x:v>Власник / директор; керівник ПТО</x:v>
      </x:c>
      <x:c r="X154" s="15" t="str">
        <x:v>Legacy-запис потребує повторної публічної перевірки.</x:v>
      </x:c>
      <x:c r="Y154" s="15" t="str">
        <x:v>Уточнити, які етапи та докази стають недоступними після закриття робіт.</x:v>
      </x:c>
      <x:c r="Z154" s="15" t="str">
        <x:v>https://247energy.com.ua</x:v>
      </x:c>
      <x:c r="AA154" s="14" t="str"/>
      <x:c r="AB154" s="14" t="str"/>
      <x:c r="AC154" s="14" t="str">
        <x:v>Олександр</x:v>
      </x:c>
      <x:c r="AD154" s="20" t="str"/>
      <x:c r="AE154" s="14" t="str"/>
      <x:c r="AF154" s="14" t="n">
        <x:v>0</x:v>
      </x:c>
      <x:c r="AG154" s="14" t="str">
        <x:v>—</x:v>
      </x:c>
      <x:c r="AH154" s="14" t="n">
        <x:v>0</x:v>
      </x:c>
      <x:c r="AI154" s="14" t="n">
        <x:v>0</x:v>
      </x:c>
      <x:c r="AJ154" s="18" t="n">
        <x:v>0</x:v>
      </x:c>
      <x:c r="AK154" s="14" t="str"/>
      <x:c r="AL154" s="19" t="str"/>
      <x:c r="AM154" s="19" t="str"/>
      <x:c r="AN154" s="15" t="str"/>
      <x:c r="AO154" s="15" t="str">
        <x:v>needs_full_reverification</x:v>
      </x:c>
    </x:row>
    <x:row r="155">
      <x:c r="A155" s="14" t="str">
        <x:v>V2-006</x:v>
      </x:c>
      <x:c r="B155" s="14" t="str">
        <x:v>Legacy 28</x:v>
      </x:c>
      <x:c r="C155" s="14" t="str">
        <x:v>ТОВ «ВКФ «Берком»</x:v>
      </x:c>
      <x:c r="D155" s="14" t="str">
        <x:v>HVAC / вентиляція</x:v>
      </x:c>
      <x:c r="E155" s="14" t="str">
        <x:v>Requalify</x:v>
      </x:c>
      <x:c r="F155" s="17" t="str">
        <x:f>IF(E155="Pilot now",IF(P155&gt;=84,"P1",IF(P155&gt;=72,"P2","P3")),IF(E155="Expansion discovery",IF(Q155&gt;=88,"D1",IF(Q155&gt;=78,"D2","D3")),IF(E155="Later / requirements","L","Legacy")))</x:f>
        <x:v>Legacy</x:v>
      </x:c>
      <x:c r="G155" s="14" t="str">
        <x:v>berkom.com.ua</x:v>
      </x:c>
      <x:c r="H155" s="14" t="str">
        <x:v>Перекваліфікувати</x:v>
      </x:c>
      <x:c r="I155" s="16" t="str"/>
      <x:c r="J155" s="16" t="str"/>
      <x:c r="K155" s="16" t="str"/>
      <x:c r="L155" s="16" t="str"/>
      <x:c r="M155" s="16" t="str"/>
      <x:c r="N155" s="16" t="str"/>
      <x:c r="O155" s="16" t="str"/>
      <x:c r="P155" s="16" t="str">
        <x:f>IF(COUNT(I155:O155)&lt;7,"",I155*8+J155*3+K155*2+L155*2+M155*2+N155*2+O155)</x:f>
      </x:c>
      <x:c r="Q155" s="16" t="str">
        <x:f>IF(COUNT(J155:O155)&lt;6,"",J155*5+K155*4+M155*4+L155*3+N155*2+O155*2)</x:f>
      </x:c>
      <x:c r="R155" s="14" t="str">
        <x:v>low</x:v>
      </x:c>
      <x:c r="S155" s="14" t="str">
        <x:v>needs_full_reverification</x:v>
      </x:c>
      <x:c r="T155" s="14" t="str">
        <x:v>legacy_not_reverified</x:v>
      </x:c>
      <x:c r="U155" s="14" t="str">
        <x:v>Потрібна повторна перевірка</x:v>
      </x:c>
      <x:c r="V155" s="15" t="str">
        <x:v>Повністю перевірити сайт і поточний проєкт перед контактом</x:v>
      </x:c>
      <x:c r="W155" s="15" t="str">
        <x:v>Власник / директор; керівник ПТО</x:v>
      </x:c>
      <x:c r="X155" s="15" t="str">
        <x:v>Legacy-запис потребує повторної публічної перевірки.</x:v>
      </x:c>
      <x:c r="Y155" s="15" t="str">
        <x:v>Уточнити, які етапи та докази стають недоступними після закриття робіт.</x:v>
      </x:c>
      <x:c r="Z155" s="15" t="str">
        <x:v>https://berkom.com.ua</x:v>
      </x:c>
      <x:c r="AA155" s="14" t="str">
        <x:v>34522141</x:v>
      </x:c>
      <x:c r="AB155" s="14" t="str"/>
      <x:c r="AC155" s="14" t="str">
        <x:v>Олександр</x:v>
      </x:c>
      <x:c r="AD155" s="20" t="str"/>
      <x:c r="AE155" s="14" t="str"/>
      <x:c r="AF155" s="14" t="n">
        <x:v>0</x:v>
      </x:c>
      <x:c r="AG155" s="14" t="str">
        <x:v>—</x:v>
      </x:c>
      <x:c r="AH155" s="14" t="n">
        <x:v>0</x:v>
      </x:c>
      <x:c r="AI155" s="14" t="n">
        <x:v>0</x:v>
      </x:c>
      <x:c r="AJ155" s="18" t="n">
        <x:v>0</x:v>
      </x:c>
      <x:c r="AK155" s="14" t="str"/>
      <x:c r="AL155" s="19" t="str"/>
      <x:c r="AM155" s="19" t="str"/>
      <x:c r="AN155" s="15" t="str"/>
      <x:c r="AO155" s="15" t="str">
        <x:v>needs_full_reverification</x:v>
      </x:c>
    </x:row>
    <x:row r="156">
      <x:c r="A156" s="14" t="str">
        <x:v>V2-005</x:v>
      </x:c>
      <x:c r="B156" s="14" t="str">
        <x:v>Legacy 28</x:v>
      </x:c>
      <x:c r="C156" s="14" t="str">
        <x:v>ТОВ «Електропівденмонтаж»</x:v>
      </x:c>
      <x:c r="D156" s="14" t="str">
        <x:v>Електромонтаж</x:v>
      </x:c>
      <x:c r="E156" s="14" t="str">
        <x:v>Requalify</x:v>
      </x:c>
      <x:c r="F156" s="17" t="str">
        <x:f>IF(E156="Pilot now",IF(P156&gt;=84,"P1",IF(P156&gt;=72,"P2","P3")),IF(E156="Expansion discovery",IF(Q156&gt;=88,"D1",IF(Q156&gt;=78,"D2","D3")),IF(E156="Later / requirements","L","Legacy")))</x:f>
        <x:v>Legacy</x:v>
      </x:c>
      <x:c r="G156" s="14" t="str">
        <x:v>epm.kh.ua</x:v>
      </x:c>
      <x:c r="H156" s="14" t="str">
        <x:v>Перекваліфікувати</x:v>
      </x:c>
      <x:c r="I156" s="16" t="str"/>
      <x:c r="J156" s="16" t="str"/>
      <x:c r="K156" s="16" t="str"/>
      <x:c r="L156" s="16" t="str"/>
      <x:c r="M156" s="16" t="str"/>
      <x:c r="N156" s="16" t="str"/>
      <x:c r="O156" s="16" t="str"/>
      <x:c r="P156" s="16" t="str">
        <x:f>IF(COUNT(I156:O156)&lt;7,"",I156*8+J156*3+K156*2+L156*2+M156*2+N156*2+O156)</x:f>
      </x:c>
      <x:c r="Q156" s="16" t="str">
        <x:f>IF(COUNT(J156:O156)&lt;6,"",J156*5+K156*4+M156*4+L156*3+N156*2+O156*2)</x:f>
      </x:c>
      <x:c r="R156" s="14" t="str">
        <x:v>low</x:v>
      </x:c>
      <x:c r="S156" s="14" t="str">
        <x:v>needs_full_reverification</x:v>
      </x:c>
      <x:c r="T156" s="14" t="str">
        <x:v>legacy_not_reverified</x:v>
      </x:c>
      <x:c r="U156" s="14" t="str">
        <x:v>Потрібна повторна перевірка</x:v>
      </x:c>
      <x:c r="V156" s="15" t="str">
        <x:v>Повністю перевірити сайт і поточний проєкт перед контактом</x:v>
      </x:c>
      <x:c r="W156" s="15" t="str">
        <x:v>Власник / директор; керівник ПТО</x:v>
      </x:c>
      <x:c r="X156" s="15" t="str">
        <x:v>Legacy-запис потребує повторної публічної перевірки.</x:v>
      </x:c>
      <x:c r="Y156" s="15" t="str">
        <x:v>Уточнити, які етапи та докази стають недоступними після закриття робіт.</x:v>
      </x:c>
      <x:c r="Z156" s="15" t="str">
        <x:v>https://epm.kh.ua</x:v>
      </x:c>
      <x:c r="AA156" s="14" t="str">
        <x:v>04734213</x:v>
      </x:c>
      <x:c r="AB156" s="14" t="str"/>
      <x:c r="AC156" s="14" t="str">
        <x:v>Олександр</x:v>
      </x:c>
      <x:c r="AD156" s="20" t="str"/>
      <x:c r="AE156" s="14" t="str"/>
      <x:c r="AF156" s="14" t="n">
        <x:v>0</x:v>
      </x:c>
      <x:c r="AG156" s="14" t="str">
        <x:v>—</x:v>
      </x:c>
      <x:c r="AH156" s="14" t="n">
        <x:v>0</x:v>
      </x:c>
      <x:c r="AI156" s="14" t="n">
        <x:v>0</x:v>
      </x:c>
      <x:c r="AJ156" s="18" t="n">
        <x:v>0</x:v>
      </x:c>
      <x:c r="AK156" s="14" t="str"/>
      <x:c r="AL156" s="19" t="str"/>
      <x:c r="AM156" s="19" t="str"/>
      <x:c r="AN156" s="15" t="str"/>
      <x:c r="AO156" s="15" t="str">
        <x:v>needs_full_reverification</x:v>
      </x:c>
    </x:row>
    <x:row r="157">
      <x:c r="A157" s="14" t="str">
        <x:v>V2-023</x:v>
      </x:c>
      <x:c r="B157" s="14" t="str">
        <x:v>Legacy 28</x:v>
      </x:c>
      <x:c r="C157" s="14" t="str">
        <x:v>ТОВ «Здоровий клімат»</x:v>
      </x:c>
      <x:c r="D157" s="14" t="str">
        <x:v>HVAC / вентиляція</x:v>
      </x:c>
      <x:c r="E157" s="14" t="str">
        <x:v>Requalify</x:v>
      </x:c>
      <x:c r="F157" s="17" t="str">
        <x:f>IF(E157="Pilot now",IF(P157&gt;=84,"P1",IF(P157&gt;=72,"P2","P3")),IF(E157="Expansion discovery",IF(Q157&gt;=88,"D1",IF(Q157&gt;=78,"D2","D3")),IF(E157="Later / requirements","L","Legacy")))</x:f>
        <x:v>Legacy</x:v>
      </x:c>
      <x:c r="G157" s="14" t="str">
        <x:v>zdorovklimat.com.ua</x:v>
      </x:c>
      <x:c r="H157" s="14" t="str">
        <x:v>Перекваліфікувати</x:v>
      </x:c>
      <x:c r="I157" s="16" t="str"/>
      <x:c r="J157" s="16" t="str"/>
      <x:c r="K157" s="16" t="str"/>
      <x:c r="L157" s="16" t="str"/>
      <x:c r="M157" s="16" t="str"/>
      <x:c r="N157" s="16" t="str"/>
      <x:c r="O157" s="16" t="str"/>
      <x:c r="P157" s="16" t="str">
        <x:f>IF(COUNT(I157:O157)&lt;7,"",I157*8+J157*3+K157*2+L157*2+M157*2+N157*2+O157)</x:f>
      </x:c>
      <x:c r="Q157" s="16" t="str">
        <x:f>IF(COUNT(J157:O157)&lt;6,"",J157*5+K157*4+M157*4+L157*3+N157*2+O157*2)</x:f>
      </x:c>
      <x:c r="R157" s="14" t="str">
        <x:v>low</x:v>
      </x:c>
      <x:c r="S157" s="14" t="str">
        <x:v>needs_full_reverification</x:v>
      </x:c>
      <x:c r="T157" s="14" t="str">
        <x:v>legacy_not_reverified</x:v>
      </x:c>
      <x:c r="U157" s="14" t="str">
        <x:v>Потрібна повторна перевірка</x:v>
      </x:c>
      <x:c r="V157" s="15" t="str">
        <x:v>Повністю перевірити сайт і поточний проєкт перед контактом</x:v>
      </x:c>
      <x:c r="W157" s="15" t="str">
        <x:v>Власник / директор; керівник ПТО</x:v>
      </x:c>
      <x:c r="X157" s="15" t="str">
        <x:v>Legacy-запис потребує повторної публічної перевірки.</x:v>
      </x:c>
      <x:c r="Y157" s="15" t="str">
        <x:v>Уточнити, які етапи та докази стають недоступними після закриття робіт.</x:v>
      </x:c>
      <x:c r="Z157" s="15" t="str">
        <x:v>https://zdorovklimat.com.ua</x:v>
      </x:c>
      <x:c r="AA157" s="14" t="str">
        <x:v>37734731</x:v>
      </x:c>
      <x:c r="AB157" s="14" t="str"/>
      <x:c r="AC157" s="14" t="str">
        <x:v>Олександр</x:v>
      </x:c>
      <x:c r="AD157" s="20" t="str"/>
      <x:c r="AE157" s="14" t="str"/>
      <x:c r="AF157" s="14" t="n">
        <x:v>0</x:v>
      </x:c>
      <x:c r="AG157" s="14" t="str">
        <x:v>—</x:v>
      </x:c>
      <x:c r="AH157" s="14" t="n">
        <x:v>0</x:v>
      </x:c>
      <x:c r="AI157" s="14" t="n">
        <x:v>0</x:v>
      </x:c>
      <x:c r="AJ157" s="18" t="n">
        <x:v>0</x:v>
      </x:c>
      <x:c r="AK157" s="14" t="str"/>
      <x:c r="AL157" s="19" t="str"/>
      <x:c r="AM157" s="19" t="str"/>
      <x:c r="AN157" s="15" t="str"/>
      <x:c r="AO157" s="15" t="str">
        <x:v>needs_full_reverification</x:v>
      </x:c>
    </x:row>
    <x:row r="158">
      <x:c r="A158" s="14" t="str">
        <x:v>V2-020</x:v>
      </x:c>
      <x:c r="B158" s="14" t="str">
        <x:v>Legacy 28</x:v>
      </x:c>
      <x:c r="C158" s="14" t="str">
        <x:v>ТОВ «Новітні Енергетичні Програми»</x:v>
      </x:c>
      <x:c r="D158" s="14" t="str">
        <x:v>Електромонтаж</x:v>
      </x:c>
      <x:c r="E158" s="14" t="str">
        <x:v>Requalify</x:v>
      </x:c>
      <x:c r="F158" s="17" t="str">
        <x:f>IF(E158="Pilot now",IF(P158&gt;=84,"P1",IF(P158&gt;=72,"P2","P3")),IF(E158="Expansion discovery",IF(Q158&gt;=88,"D1",IF(Q158&gt;=78,"D2","D3")),IF(E158="Later / requirements","L","Legacy")))</x:f>
        <x:v>Legacy</x:v>
      </x:c>
      <x:c r="G158" s="14" t="str">
        <x:v>nep.in.ua</x:v>
      </x:c>
      <x:c r="H158" s="14" t="str">
        <x:v>Перекваліфікувати</x:v>
      </x:c>
      <x:c r="I158" s="16" t="str"/>
      <x:c r="J158" s="16" t="str"/>
      <x:c r="K158" s="16" t="str"/>
      <x:c r="L158" s="16" t="str"/>
      <x:c r="M158" s="16" t="str"/>
      <x:c r="N158" s="16" t="str"/>
      <x:c r="O158" s="16" t="str"/>
      <x:c r="P158" s="16" t="str">
        <x:f>IF(COUNT(I158:O158)&lt;7,"",I158*8+J158*3+K158*2+L158*2+M158*2+N158*2+O158)</x:f>
      </x:c>
      <x:c r="Q158" s="16" t="str">
        <x:f>IF(COUNT(J158:O158)&lt;6,"",J158*5+K158*4+M158*4+L158*3+N158*2+O158*2)</x:f>
      </x:c>
      <x:c r="R158" s="14" t="str">
        <x:v>low</x:v>
      </x:c>
      <x:c r="S158" s="14" t="str">
        <x:v>needs_full_reverification</x:v>
      </x:c>
      <x:c r="T158" s="14" t="str">
        <x:v>legacy_not_reverified</x:v>
      </x:c>
      <x:c r="U158" s="14" t="str">
        <x:v>Потрібна повторна перевірка</x:v>
      </x:c>
      <x:c r="V158" s="15" t="str">
        <x:v>Повністю перевірити сайт і поточний проєкт перед контактом</x:v>
      </x:c>
      <x:c r="W158" s="15" t="str">
        <x:v>Власник / директор; керівник ПТО</x:v>
      </x:c>
      <x:c r="X158" s="15" t="str">
        <x:v>Legacy-запис потребує повторної публічної перевірки.</x:v>
      </x:c>
      <x:c r="Y158" s="15" t="str">
        <x:v>Уточнити, які етапи та докази стають недоступними після закриття робіт.</x:v>
      </x:c>
      <x:c r="Z158" s="15" t="str">
        <x:v>https://nep.in.ua</x:v>
      </x:c>
      <x:c r="AA158" s="14" t="str">
        <x:v>34623220</x:v>
      </x:c>
      <x:c r="AB158" s="14" t="str"/>
      <x:c r="AC158" s="14" t="str">
        <x:v>Олександр</x:v>
      </x:c>
      <x:c r="AD158" s="20" t="str"/>
      <x:c r="AE158" s="14" t="str"/>
      <x:c r="AF158" s="14" t="n">
        <x:v>0</x:v>
      </x:c>
      <x:c r="AG158" s="14" t="str">
        <x:v>—</x:v>
      </x:c>
      <x:c r="AH158" s="14" t="n">
        <x:v>0</x:v>
      </x:c>
      <x:c r="AI158" s="14" t="n">
        <x:v>0</x:v>
      </x:c>
      <x:c r="AJ158" s="18" t="n">
        <x:v>0</x:v>
      </x:c>
      <x:c r="AK158" s="14" t="str"/>
      <x:c r="AL158" s="19" t="str"/>
      <x:c r="AM158" s="19" t="str"/>
      <x:c r="AN158" s="15" t="str"/>
      <x:c r="AO158" s="15" t="str">
        <x:v>needs_full_reverification</x:v>
      </x:c>
    </x:row>
    <x:row r="159">
      <x:c r="A159" s="14" t="str">
        <x:v>V2-007</x:v>
      </x:c>
      <x:c r="B159" s="14" t="str">
        <x:v>Legacy 28</x:v>
      </x:c>
      <x:c r="C159" s="14" t="str">
        <x:v>ТОВ «Охоронна компанія «АЛЬЯНС-БЕЗПЕКА»</x:v>
      </x:c>
      <x:c r="D159" s="14" t="str">
        <x:v>Слаботочні системи</x:v>
      </x:c>
      <x:c r="E159" s="14" t="str">
        <x:v>Requalify</x:v>
      </x:c>
      <x:c r="F159" s="17" t="str">
        <x:f>IF(E159="Pilot now",IF(P159&gt;=84,"P1",IF(P159&gt;=72,"P2","P3")),IF(E159="Expansion discovery",IF(Q159&gt;=88,"D1",IF(Q159&gt;=78,"D2","D3")),IF(E159="Later / requirements","L","Legacy")))</x:f>
        <x:v>Legacy</x:v>
      </x:c>
      <x:c r="G159" s="14" t="str">
        <x:v>alliancesafety.com.ua</x:v>
      </x:c>
      <x:c r="H159" s="14" t="str">
        <x:v>Перекваліфікувати</x:v>
      </x:c>
      <x:c r="I159" s="16" t="str"/>
      <x:c r="J159" s="16" t="str"/>
      <x:c r="K159" s="16" t="str"/>
      <x:c r="L159" s="16" t="str"/>
      <x:c r="M159" s="16" t="str"/>
      <x:c r="N159" s="16" t="str"/>
      <x:c r="O159" s="16" t="str"/>
      <x:c r="P159" s="16" t="str">
        <x:f>IF(COUNT(I159:O159)&lt;7,"",I159*8+J159*3+K159*2+L159*2+M159*2+N159*2+O159)</x:f>
      </x:c>
      <x:c r="Q159" s="16" t="str">
        <x:f>IF(COUNT(J159:O159)&lt;6,"",J159*5+K159*4+M159*4+L159*3+N159*2+O159*2)</x:f>
      </x:c>
      <x:c r="R159" s="14" t="str">
        <x:v>low</x:v>
      </x:c>
      <x:c r="S159" s="14" t="str">
        <x:v>needs_full_reverification</x:v>
      </x:c>
      <x:c r="T159" s="14" t="str">
        <x:v>legacy_not_reverified</x:v>
      </x:c>
      <x:c r="U159" s="14" t="str">
        <x:v>Потрібна повторна перевірка</x:v>
      </x:c>
      <x:c r="V159" s="15" t="str">
        <x:v>Повністю перевірити сайт і поточний проєкт перед контактом</x:v>
      </x:c>
      <x:c r="W159" s="15" t="str">
        <x:v>Власник / директор; керівник ПТО</x:v>
      </x:c>
      <x:c r="X159" s="15" t="str">
        <x:v>Legacy-запис потребує повторної публічної перевірки.</x:v>
      </x:c>
      <x:c r="Y159" s="15" t="str">
        <x:v>Уточнити, які етапи та докази стають недоступними після закриття робіт.</x:v>
      </x:c>
      <x:c r="Z159" s="15" t="str">
        <x:v>https://alliancesafety.com.ua</x:v>
      </x:c>
      <x:c r="AA159" s="14" t="str">
        <x:v>44564041</x:v>
      </x:c>
      <x:c r="AB159" s="14" t="str"/>
      <x:c r="AC159" s="14" t="str">
        <x:v>Олександр</x:v>
      </x:c>
      <x:c r="AD159" s="20" t="str"/>
      <x:c r="AE159" s="14" t="str"/>
      <x:c r="AF159" s="14" t="n">
        <x:v>0</x:v>
      </x:c>
      <x:c r="AG159" s="14" t="str">
        <x:v>—</x:v>
      </x:c>
      <x:c r="AH159" s="14" t="n">
        <x:v>0</x:v>
      </x:c>
      <x:c r="AI159" s="14" t="n">
        <x:v>0</x:v>
      </x:c>
      <x:c r="AJ159" s="18" t="n">
        <x:v>0</x:v>
      </x:c>
      <x:c r="AK159" s="14" t="str"/>
      <x:c r="AL159" s="19" t="str"/>
      <x:c r="AM159" s="19" t="str"/>
      <x:c r="AN159" s="15" t="str"/>
      <x:c r="AO159" s="15" t="str">
        <x:v>needs_full_reverification</x:v>
      </x:c>
    </x:row>
    <x:row r="160">
      <x:c r="A160" s="14" t="str">
        <x:v>V2-017</x:v>
      </x:c>
      <x:c r="B160" s="14" t="str">
        <x:v>Legacy 28</x:v>
      </x:c>
      <x:c r="C160" s="14" t="str">
        <x:v>ТОВ «Пожежний Захист»</x:v>
      </x:c>
      <x:c r="D160" s="14" t="str">
        <x:v>Слаботочні системи</x:v>
      </x:c>
      <x:c r="E160" s="14" t="str">
        <x:v>Requalify</x:v>
      </x:c>
      <x:c r="F160" s="17" t="str">
        <x:f>IF(E160="Pilot now",IF(P160&gt;=84,"P1",IF(P160&gt;=72,"P2","P3")),IF(E160="Expansion discovery",IF(Q160&gt;=88,"D1",IF(Q160&gt;=78,"D2","D3")),IF(E160="Later / requirements","L","Legacy")))</x:f>
        <x:v>Legacy</x:v>
      </x:c>
      <x:c r="G160" s="14" t="str">
        <x:v>p-zahist.com.ua</x:v>
      </x:c>
      <x:c r="H160" s="14" t="str">
        <x:v>Перекваліфікувати</x:v>
      </x:c>
      <x:c r="I160" s="16" t="str"/>
      <x:c r="J160" s="16" t="str"/>
      <x:c r="K160" s="16" t="str"/>
      <x:c r="L160" s="16" t="str"/>
      <x:c r="M160" s="16" t="str"/>
      <x:c r="N160" s="16" t="str"/>
      <x:c r="O160" s="16" t="str"/>
      <x:c r="P160" s="16" t="str">
        <x:f>IF(COUNT(I160:O160)&lt;7,"",I160*8+J160*3+K160*2+L160*2+M160*2+N160*2+O160)</x:f>
      </x:c>
      <x:c r="Q160" s="16" t="str">
        <x:f>IF(COUNT(J160:O160)&lt;6,"",J160*5+K160*4+M160*4+L160*3+N160*2+O160*2)</x:f>
      </x:c>
      <x:c r="R160" s="14" t="str">
        <x:v>low</x:v>
      </x:c>
      <x:c r="S160" s="14" t="str">
        <x:v>needs_full_reverification</x:v>
      </x:c>
      <x:c r="T160" s="14" t="str">
        <x:v>legacy_not_reverified</x:v>
      </x:c>
      <x:c r="U160" s="14" t="str">
        <x:v>Потрібна повторна перевірка</x:v>
      </x:c>
      <x:c r="V160" s="15" t="str">
        <x:v>Повністю перевірити сайт і поточний проєкт перед контактом</x:v>
      </x:c>
      <x:c r="W160" s="15" t="str">
        <x:v>Власник / директор; керівник ПТО</x:v>
      </x:c>
      <x:c r="X160" s="15" t="str">
        <x:v>Legacy-запис потребує повторної публічної перевірки.</x:v>
      </x:c>
      <x:c r="Y160" s="15" t="str">
        <x:v>Уточнити, які етапи та докази стають недоступними після закриття робіт.</x:v>
      </x:c>
      <x:c r="Z160" s="15" t="str">
        <x:v>https://p-zahist.com.ua</x:v>
      </x:c>
      <x:c r="AA160" s="14" t="str">
        <x:v>38717610</x:v>
      </x:c>
      <x:c r="AB160" s="14" t="str"/>
      <x:c r="AC160" s="14" t="str">
        <x:v>Олександр</x:v>
      </x:c>
      <x:c r="AD160" s="20" t="str"/>
      <x:c r="AE160" s="14" t="str"/>
      <x:c r="AF160" s="14" t="n">
        <x:v>0</x:v>
      </x:c>
      <x:c r="AG160" s="14" t="str">
        <x:v>—</x:v>
      </x:c>
      <x:c r="AH160" s="14" t="n">
        <x:v>0</x:v>
      </x:c>
      <x:c r="AI160" s="14" t="n">
        <x:v>0</x:v>
      </x:c>
      <x:c r="AJ160" s="18" t="n">
        <x:v>0</x:v>
      </x:c>
      <x:c r="AK160" s="14" t="str"/>
      <x:c r="AL160" s="19" t="str"/>
      <x:c r="AM160" s="19" t="str"/>
      <x:c r="AN160" s="15" t="str"/>
      <x:c r="AO160" s="15" t="str">
        <x:v>needs_full_reverification</x:v>
      </x:c>
    </x:row>
    <x:row r="161">
      <x:c r="A161" s="14" t="str">
        <x:v>V2-010</x:v>
      </x:c>
      <x:c r="B161" s="14" t="str">
        <x:v>Legacy 28</x:v>
      </x:c>
      <x:c r="C161" s="14" t="str">
        <x:v>ТОВ «Промавтоматика Вінниця»</x:v>
      </x:c>
      <x:c r="D161" s="14" t="str">
        <x:v>Сонячна енергетика</x:v>
      </x:c>
      <x:c r="E161" s="14" t="str">
        <x:v>Requalify</x:v>
      </x:c>
      <x:c r="F161" s="17" t="str">
        <x:f>IF(E161="Pilot now",IF(P161&gt;=84,"P1",IF(P161&gt;=72,"P2","P3")),IF(E161="Expansion discovery",IF(Q161&gt;=88,"D1",IF(Q161&gt;=78,"D2","D3")),IF(E161="Later / requirements","L","Legacy")))</x:f>
        <x:v>Legacy</x:v>
      </x:c>
      <x:c r="G161" s="14" t="str">
        <x:v>pa.ua</x:v>
      </x:c>
      <x:c r="H161" s="14" t="str">
        <x:v>Перекваліфікувати</x:v>
      </x:c>
      <x:c r="I161" s="16" t="str"/>
      <x:c r="J161" s="16" t="str"/>
      <x:c r="K161" s="16" t="str"/>
      <x:c r="L161" s="16" t="str"/>
      <x:c r="M161" s="16" t="str"/>
      <x:c r="N161" s="16" t="str"/>
      <x:c r="O161" s="16" t="str"/>
      <x:c r="P161" s="16" t="str">
        <x:f>IF(COUNT(I161:O161)&lt;7,"",I161*8+J161*3+K161*2+L161*2+M161*2+N161*2+O161)</x:f>
      </x:c>
      <x:c r="Q161" s="16" t="str">
        <x:f>IF(COUNT(J161:O161)&lt;6,"",J161*5+K161*4+M161*4+L161*3+N161*2+O161*2)</x:f>
      </x:c>
      <x:c r="R161" s="14" t="str">
        <x:v>low</x:v>
      </x:c>
      <x:c r="S161" s="14" t="str">
        <x:v>needs_full_reverification</x:v>
      </x:c>
      <x:c r="T161" s="14" t="str">
        <x:v>legacy_not_reverified</x:v>
      </x:c>
      <x:c r="U161" s="14" t="str">
        <x:v>Потрібна повторна перевірка</x:v>
      </x:c>
      <x:c r="V161" s="15" t="str">
        <x:v>Повністю перевірити сайт і поточний проєкт перед контактом</x:v>
      </x:c>
      <x:c r="W161" s="15" t="str">
        <x:v>Власник / директор; керівник ПТО</x:v>
      </x:c>
      <x:c r="X161" s="15" t="str">
        <x:v>Legacy-запис потребує повторної публічної перевірки.</x:v>
      </x:c>
      <x:c r="Y161" s="15" t="str">
        <x:v>Уточнити, які етапи та докази стають недоступними після закриття робіт.</x:v>
      </x:c>
      <x:c r="Z161" s="15" t="str">
        <x:v>https://pa.ua</x:v>
      </x:c>
      <x:c r="AA161" s="14" t="str"/>
      <x:c r="AB161" s="14" t="str"/>
      <x:c r="AC161" s="14" t="str">
        <x:v>Олександр</x:v>
      </x:c>
      <x:c r="AD161" s="20" t="str"/>
      <x:c r="AE161" s="14" t="str"/>
      <x:c r="AF161" s="14" t="n">
        <x:v>0</x:v>
      </x:c>
      <x:c r="AG161" s="14" t="str">
        <x:v>—</x:v>
      </x:c>
      <x:c r="AH161" s="14" t="n">
        <x:v>0</x:v>
      </x:c>
      <x:c r="AI161" s="14" t="n">
        <x:v>0</x:v>
      </x:c>
      <x:c r="AJ161" s="18" t="n">
        <x:v>0</x:v>
      </x:c>
      <x:c r="AK161" s="14" t="str"/>
      <x:c r="AL161" s="19" t="str"/>
      <x:c r="AM161" s="19" t="str"/>
      <x:c r="AN161" s="15" t="str"/>
      <x:c r="AO161" s="15" t="str">
        <x:v>needs_full_reverification</x:v>
      </x:c>
    </x:row>
    <x:row r="162">
      <x:c r="A162" s="14" t="str">
        <x:v>V2-018</x:v>
      </x:c>
      <x:c r="B162" s="14" t="str">
        <x:v>Legacy 28</x:v>
      </x:c>
      <x:c r="C162" s="14" t="str">
        <x:v>ТОВ «Структум»</x:v>
      </x:c>
      <x:c r="D162" s="14" t="str">
        <x:v>Електромонтаж</x:v>
      </x:c>
      <x:c r="E162" s="14" t="str">
        <x:v>Requalify</x:v>
      </x:c>
      <x:c r="F162" s="17" t="str">
        <x:f>IF(E162="Pilot now",IF(P162&gt;=84,"P1",IF(P162&gt;=72,"P2","P3")),IF(E162="Expansion discovery",IF(Q162&gt;=88,"D1",IF(Q162&gt;=78,"D2","D3")),IF(E162="Later / requirements","L","Legacy")))</x:f>
        <x:v>Legacy</x:v>
      </x:c>
      <x:c r="G162" s="14" t="str">
        <x:v>structum.ua</x:v>
      </x:c>
      <x:c r="H162" s="14" t="str">
        <x:v>Перекваліфікувати</x:v>
      </x:c>
      <x:c r="I162" s="16" t="str"/>
      <x:c r="J162" s="16" t="str"/>
      <x:c r="K162" s="16" t="str"/>
      <x:c r="L162" s="16" t="str"/>
      <x:c r="M162" s="16" t="str"/>
      <x:c r="N162" s="16" t="str"/>
      <x:c r="O162" s="16" t="str"/>
      <x:c r="P162" s="16" t="str">
        <x:f>IF(COUNT(I162:O162)&lt;7,"",I162*8+J162*3+K162*2+L162*2+M162*2+N162*2+O162)</x:f>
      </x:c>
      <x:c r="Q162" s="16" t="str">
        <x:f>IF(COUNT(J162:O162)&lt;6,"",J162*5+K162*4+M162*4+L162*3+N162*2+O162*2)</x:f>
      </x:c>
      <x:c r="R162" s="14" t="str">
        <x:v>low</x:v>
      </x:c>
      <x:c r="S162" s="14" t="str">
        <x:v>needs_full_reverification</x:v>
      </x:c>
      <x:c r="T162" s="14" t="str">
        <x:v>legacy_not_reverified</x:v>
      </x:c>
      <x:c r="U162" s="14" t="str">
        <x:v>Потрібна повторна перевірка</x:v>
      </x:c>
      <x:c r="V162" s="15" t="str">
        <x:v>Повністю перевірити сайт і поточний проєкт перед контактом</x:v>
      </x:c>
      <x:c r="W162" s="15" t="str">
        <x:v>Власник / директор; керівник ПТО</x:v>
      </x:c>
      <x:c r="X162" s="15" t="str">
        <x:v>Legacy-запис потребує повторної публічної перевірки.</x:v>
      </x:c>
      <x:c r="Y162" s="15" t="str">
        <x:v>Уточнити, які етапи та докази стають недоступними після закриття робіт.</x:v>
      </x:c>
      <x:c r="Z162" s="15" t="str">
        <x:v>https://structum.ua</x:v>
      </x:c>
      <x:c r="AA162" s="14" t="str">
        <x:v>38186327</x:v>
      </x:c>
      <x:c r="AB162" s="14" t="str"/>
      <x:c r="AC162" s="14" t="str">
        <x:v>Олександр</x:v>
      </x:c>
      <x:c r="AD162" s="20" t="str"/>
      <x:c r="AE162" s="14" t="str"/>
      <x:c r="AF162" s="14" t="n">
        <x:v>0</x:v>
      </x:c>
      <x:c r="AG162" s="14" t="str">
        <x:v>—</x:v>
      </x:c>
      <x:c r="AH162" s="14" t="n">
        <x:v>0</x:v>
      </x:c>
      <x:c r="AI162" s="14" t="n">
        <x:v>0</x:v>
      </x:c>
      <x:c r="AJ162" s="18" t="n">
        <x:v>0</x:v>
      </x:c>
      <x:c r="AK162" s="14" t="str"/>
      <x:c r="AL162" s="19" t="str"/>
      <x:c r="AM162" s="19" t="str"/>
      <x:c r="AN162" s="15" t="str"/>
      <x:c r="AO162" s="15" t="str">
        <x:v>needs_full_reverification</x:v>
      </x:c>
    </x:row>
    <x:row r="163">
      <x:c r="A163" s="14" t="str">
        <x:v>V2-001</x:v>
      </x:c>
      <x:c r="B163" s="14" t="str">
        <x:v>Legacy 28</x:v>
      </x:c>
      <x:c r="C163" s="14" t="str">
        <x:v>ТОВ «Укравтономгаз»</x:v>
      </x:c>
      <x:c r="D163" s="14" t="str">
        <x:v>Внутрішня сантехніка</x:v>
      </x:c>
      <x:c r="E163" s="14" t="str">
        <x:v>Requalify</x:v>
      </x:c>
      <x:c r="F163" s="17" t="str">
        <x:f>IF(E163="Pilot now",IF(P163&gt;=84,"P1",IF(P163&gt;=72,"P2","P3")),IF(E163="Expansion discovery",IF(Q163&gt;=88,"D1",IF(Q163&gt;=78,"D2","D3")),IF(E163="Later / requirements","L","Legacy")))</x:f>
        <x:v>Legacy</x:v>
      </x:c>
      <x:c r="G163" s="14" t="str">
        <x:v>ukravtonomgaz.ua</x:v>
      </x:c>
      <x:c r="H163" s="14" t="str">
        <x:v>Перекваліфікувати</x:v>
      </x:c>
      <x:c r="I163" s="16" t="str"/>
      <x:c r="J163" s="16" t="str"/>
      <x:c r="K163" s="16" t="str"/>
      <x:c r="L163" s="16" t="str"/>
      <x:c r="M163" s="16" t="str"/>
      <x:c r="N163" s="16" t="str"/>
      <x:c r="O163" s="16" t="str"/>
      <x:c r="P163" s="16" t="str">
        <x:f>IF(COUNT(I163:O163)&lt;7,"",I163*8+J163*3+K163*2+L163*2+M163*2+N163*2+O163)</x:f>
      </x:c>
      <x:c r="Q163" s="16" t="str">
        <x:f>IF(COUNT(J163:O163)&lt;6,"",J163*5+K163*4+M163*4+L163*3+N163*2+O163*2)</x:f>
      </x:c>
      <x:c r="R163" s="14" t="str">
        <x:v>low</x:v>
      </x:c>
      <x:c r="S163" s="14" t="str">
        <x:v>needs_full_reverification</x:v>
      </x:c>
      <x:c r="T163" s="14" t="str">
        <x:v>legacy_not_reverified</x:v>
      </x:c>
      <x:c r="U163" s="14" t="str">
        <x:v>Потрібна повторна перевірка</x:v>
      </x:c>
      <x:c r="V163" s="15" t="str">
        <x:v>Повністю перевірити сайт і поточний проєкт перед контактом</x:v>
      </x:c>
      <x:c r="W163" s="15" t="str">
        <x:v>Власник / директор; керівник ПТО</x:v>
      </x:c>
      <x:c r="X163" s="15" t="str">
        <x:v>Legacy-запис потребує повторної публічної перевірки.</x:v>
      </x:c>
      <x:c r="Y163" s="15" t="str">
        <x:v>Уточнити, які етапи та докази стають недоступними після закриття робіт.</x:v>
      </x:c>
      <x:c r="Z163" s="15" t="str">
        <x:v>https://ukravtonomgaz.ua</x:v>
      </x:c>
      <x:c r="AA163" s="14" t="str">
        <x:v>39082735</x:v>
      </x:c>
      <x:c r="AB163" s="14" t="str"/>
      <x:c r="AC163" s="14" t="str">
        <x:v>Олександр</x:v>
      </x:c>
      <x:c r="AD163" s="20" t="str"/>
      <x:c r="AE163" s="14" t="str"/>
      <x:c r="AF163" s="14" t="n">
        <x:v>0</x:v>
      </x:c>
      <x:c r="AG163" s="14" t="str">
        <x:v>—</x:v>
      </x:c>
      <x:c r="AH163" s="14" t="n">
        <x:v>0</x:v>
      </x:c>
      <x:c r="AI163" s="14" t="n">
        <x:v>0</x:v>
      </x:c>
      <x:c r="AJ163" s="18" t="n">
        <x:v>0</x:v>
      </x:c>
      <x:c r="AK163" s="14" t="str"/>
      <x:c r="AL163" s="19" t="str"/>
      <x:c r="AM163" s="19" t="str"/>
      <x:c r="AN163" s="15" t="str"/>
      <x:c r="AO163" s="15" t="str">
        <x:v>needs_full_reverification</x:v>
      </x:c>
    </x:row>
    <x:row r="164">
      <x:c r="A164" s="14" t="str">
        <x:v>V2-013</x:v>
      </x:c>
      <x:c r="B164" s="14" t="str">
        <x:v>Legacy 28</x:v>
      </x:c>
      <x:c r="C164" s="14" t="str">
        <x:v>ТОВ «УТЕМ СОЛАР»</x:v>
      </x:c>
      <x:c r="D164" s="14" t="str">
        <x:v>Сонячна енергетика</x:v>
      </x:c>
      <x:c r="E164" s="14" t="str">
        <x:v>Requalify</x:v>
      </x:c>
      <x:c r="F164" s="17" t="str">
        <x:f>IF(E164="Pilot now",IF(P164&gt;=84,"P1",IF(P164&gt;=72,"P2","P3")),IF(E164="Expansion discovery",IF(Q164&gt;=88,"D1",IF(Q164&gt;=78,"D2","D3")),IF(E164="Later / requirements","L","Legacy")))</x:f>
        <x:v>Legacy</x:v>
      </x:c>
      <x:c r="G164" s="14" t="str">
        <x:v>utem.org.ua</x:v>
      </x:c>
      <x:c r="H164" s="14" t="str">
        <x:v>Перекваліфікувати</x:v>
      </x:c>
      <x:c r="I164" s="16" t="str"/>
      <x:c r="J164" s="16" t="str"/>
      <x:c r="K164" s="16" t="str"/>
      <x:c r="L164" s="16" t="str"/>
      <x:c r="M164" s="16" t="str"/>
      <x:c r="N164" s="16" t="str"/>
      <x:c r="O164" s="16" t="str"/>
      <x:c r="P164" s="16" t="str">
        <x:f>IF(COUNT(I164:O164)&lt;7,"",I164*8+J164*3+K164*2+L164*2+M164*2+N164*2+O164)</x:f>
      </x:c>
      <x:c r="Q164" s="16" t="str">
        <x:f>IF(COUNT(J164:O164)&lt;6,"",J164*5+K164*4+M164*4+L164*3+N164*2+O164*2)</x:f>
      </x:c>
      <x:c r="R164" s="14" t="str">
        <x:v>low</x:v>
      </x:c>
      <x:c r="S164" s="14" t="str">
        <x:v>needs_full_reverification</x:v>
      </x:c>
      <x:c r="T164" s="14" t="str">
        <x:v>legacy_not_reverified</x:v>
      </x:c>
      <x:c r="U164" s="14" t="str">
        <x:v>Потрібна повторна перевірка</x:v>
      </x:c>
      <x:c r="V164" s="15" t="str">
        <x:v>Повністю перевірити сайт і поточний проєкт перед контактом</x:v>
      </x:c>
      <x:c r="W164" s="15" t="str">
        <x:v>Власник / директор; керівник ПТО</x:v>
      </x:c>
      <x:c r="X164" s="15" t="str">
        <x:v>Legacy-запис потребує повторної публічної перевірки.</x:v>
      </x:c>
      <x:c r="Y164" s="15" t="str">
        <x:v>Уточнити, які етапи та докази стають недоступними після закриття робіт.</x:v>
      </x:c>
      <x:c r="Z164" s="15" t="str">
        <x:v>https://utem.org.ua</x:v>
      </x:c>
      <x:c r="AA164" s="14" t="str"/>
      <x:c r="AB164" s="14" t="str"/>
      <x:c r="AC164" s="14" t="str">
        <x:v>Олександр</x:v>
      </x:c>
      <x:c r="AD164" s="20" t="str"/>
      <x:c r="AE164" s="14" t="str"/>
      <x:c r="AF164" s="14" t="n">
        <x:v>0</x:v>
      </x:c>
      <x:c r="AG164" s="14" t="str">
        <x:v>—</x:v>
      </x:c>
      <x:c r="AH164" s="14" t="n">
        <x:v>0</x:v>
      </x:c>
      <x:c r="AI164" s="14" t="n">
        <x:v>0</x:v>
      </x:c>
      <x:c r="AJ164" s="18" t="n">
        <x:v>0</x:v>
      </x:c>
      <x:c r="AK164" s="14" t="str"/>
      <x:c r="AL164" s="19" t="str"/>
      <x:c r="AM164" s="19" t="str"/>
      <x:c r="AN164" s="15" t="str"/>
      <x:c r="AO164" s="15" t="str">
        <x:v>needs_full_reverification</x:v>
      </x:c>
    </x:row>
    <x:row r="165">
      <x:c r="A165" s="14" t="str">
        <x:v>V2-003</x:v>
      </x:c>
      <x:c r="B165" s="14" t="str">
        <x:v>Legacy 28</x:v>
      </x:c>
      <x:c r="C165" s="14" t="str">
        <x:v>ТОВ «ШІЛД-ФАЄР»</x:v>
      </x:c>
      <x:c r="D165" s="14" t="str">
        <x:v>Слаботочні системи</x:v>
      </x:c>
      <x:c r="E165" s="14" t="str">
        <x:v>Requalify</x:v>
      </x:c>
      <x:c r="F165" s="17" t="str">
        <x:f>IF(E165="Pilot now",IF(P165&gt;=84,"P1",IF(P165&gt;=72,"P2","P3")),IF(E165="Expansion discovery",IF(Q165&gt;=88,"D1",IF(Q165&gt;=78,"D2","D3")),IF(E165="Later / requirements","L","Legacy")))</x:f>
        <x:v>Legacy</x:v>
      </x:c>
      <x:c r="G165" s="14" t="str">
        <x:v>shieldfire.com.ua</x:v>
      </x:c>
      <x:c r="H165" s="14" t="str">
        <x:v>Перекваліфікувати</x:v>
      </x:c>
      <x:c r="I165" s="16" t="str"/>
      <x:c r="J165" s="16" t="str"/>
      <x:c r="K165" s="16" t="str"/>
      <x:c r="L165" s="16" t="str"/>
      <x:c r="M165" s="16" t="str"/>
      <x:c r="N165" s="16" t="str"/>
      <x:c r="O165" s="16" t="str"/>
      <x:c r="P165" s="16" t="str">
        <x:f>IF(COUNT(I165:O165)&lt;7,"",I165*8+J165*3+K165*2+L165*2+M165*2+N165*2+O165)</x:f>
      </x:c>
      <x:c r="Q165" s="16" t="str">
        <x:f>IF(COUNT(J165:O165)&lt;6,"",J165*5+K165*4+M165*4+L165*3+N165*2+O165*2)</x:f>
      </x:c>
      <x:c r="R165" s="14" t="str">
        <x:v>low</x:v>
      </x:c>
      <x:c r="S165" s="14" t="str">
        <x:v>needs_full_reverification</x:v>
      </x:c>
      <x:c r="T165" s="14" t="str">
        <x:v>legacy_not_reverified</x:v>
      </x:c>
      <x:c r="U165" s="14" t="str">
        <x:v>Потрібна повторна перевірка</x:v>
      </x:c>
      <x:c r="V165" s="15" t="str">
        <x:v>Повністю перевірити сайт і поточний проєкт перед контактом</x:v>
      </x:c>
      <x:c r="W165" s="15" t="str">
        <x:v>Власник / директор; керівник ПТО</x:v>
      </x:c>
      <x:c r="X165" s="15" t="str">
        <x:v>Legacy-запис потребує повторної публічної перевірки.</x:v>
      </x:c>
      <x:c r="Y165" s="15" t="str">
        <x:v>Уточнити, які етапи та докази стають недоступними після закриття робіт.</x:v>
      </x:c>
      <x:c r="Z165" s="15" t="str">
        <x:v>https://shieldfire.com.ua</x:v>
      </x:c>
      <x:c r="AA165" s="14" t="str">
        <x:v>41034408</x:v>
      </x:c>
      <x:c r="AB165" s="14" t="str"/>
      <x:c r="AC165" s="14" t="str">
        <x:v>Олександр</x:v>
      </x:c>
      <x:c r="AD165" s="20" t="str"/>
      <x:c r="AE165" s="14" t="str"/>
      <x:c r="AF165" s="14" t="n">
        <x:v>0</x:v>
      </x:c>
      <x:c r="AG165" s="14" t="str">
        <x:v>—</x:v>
      </x:c>
      <x:c r="AH165" s="14" t="n">
        <x:v>0</x:v>
      </x:c>
      <x:c r="AI165" s="14" t="n">
        <x:v>0</x:v>
      </x:c>
      <x:c r="AJ165" s="18" t="n">
        <x:v>0</x:v>
      </x:c>
      <x:c r="AK165" s="14" t="str"/>
      <x:c r="AL165" s="19" t="str"/>
      <x:c r="AM165" s="19" t="str"/>
      <x:c r="AN165" s="15" t="str"/>
      <x:c r="AO165" s="15" t="str">
        <x:v>needs_full_reverification</x:v>
      </x:c>
    </x:row>
    <x:row r="166">
      <x:c r="A166" s="14" t="str">
        <x:v>V2-028</x:v>
      </x:c>
      <x:c r="B166" s="14" t="str">
        <x:v>Legacy 28</x:v>
      </x:c>
      <x:c r="C166" s="14" t="str">
        <x:v>ТОВАРИСТВО З ОБМЕЖЕНОЮ ВІДПОВІДАЛЬНІСТЮ "ВБ СТРАЖ"</x:v>
      </x:c>
      <x:c r="D166" s="14" t="str">
        <x:v>Слаботочні системи</x:v>
      </x:c>
      <x:c r="E166" s="14" t="str">
        <x:v>Requalify</x:v>
      </x:c>
      <x:c r="F166" s="17" t="str">
        <x:f>IF(E166="Pilot now",IF(P166&gt;=84,"P1",IF(P166&gt;=72,"P2","P3")),IF(E166="Expansion discovery",IF(Q166&gt;=88,"D1",IF(Q166&gt;=78,"D2","D3")),IF(E166="Later / requirements","L","Legacy")))</x:f>
        <x:v>Legacy</x:v>
      </x:c>
      <x:c r="G166" s="14" t="str">
        <x:v>vb-strag.com.ua</x:v>
      </x:c>
      <x:c r="H166" s="14" t="str">
        <x:v>Перекваліфікувати</x:v>
      </x:c>
      <x:c r="I166" s="16" t="str"/>
      <x:c r="J166" s="16" t="str"/>
      <x:c r="K166" s="16" t="str"/>
      <x:c r="L166" s="16" t="str"/>
      <x:c r="M166" s="16" t="str"/>
      <x:c r="N166" s="16" t="str"/>
      <x:c r="O166" s="16" t="str"/>
      <x:c r="P166" s="16" t="str">
        <x:f>IF(COUNT(I166:O166)&lt;7,"",I166*8+J166*3+K166*2+L166*2+M166*2+N166*2+O166)</x:f>
      </x:c>
      <x:c r="Q166" s="16" t="str">
        <x:f>IF(COUNT(J166:O166)&lt;6,"",J166*5+K166*4+M166*4+L166*3+N166*2+O166*2)</x:f>
      </x:c>
      <x:c r="R166" s="14" t="str">
        <x:v>low</x:v>
      </x:c>
      <x:c r="S166" s="14" t="str">
        <x:v>needs_full_reverification</x:v>
      </x:c>
      <x:c r="T166" s="14" t="str">
        <x:v>legacy_not_reverified</x:v>
      </x:c>
      <x:c r="U166" s="14" t="str">
        <x:v>Потрібна повторна перевірка</x:v>
      </x:c>
      <x:c r="V166" s="15" t="str">
        <x:v>Повністю перевірити сайт і поточний проєкт перед контактом</x:v>
      </x:c>
      <x:c r="W166" s="15" t="str">
        <x:v>Власник / директор; керівник ПТО</x:v>
      </x:c>
      <x:c r="X166" s="15" t="str">
        <x:v>Legacy-запис потребує повторної публічної перевірки.</x:v>
      </x:c>
      <x:c r="Y166" s="15" t="str">
        <x:v>Уточнити, які етапи та докази стають недоступними після закриття робіт.</x:v>
      </x:c>
      <x:c r="Z166" s="15" t="str">
        <x:v>https://vb-strag.com.ua</x:v>
      </x:c>
      <x:c r="AA166" s="14" t="str">
        <x:v>43046609</x:v>
      </x:c>
      <x:c r="AB166" s="14" t="str"/>
      <x:c r="AC166" s="14" t="str">
        <x:v>Олександр</x:v>
      </x:c>
      <x:c r="AD166" s="20" t="str"/>
      <x:c r="AE166" s="14" t="str"/>
      <x:c r="AF166" s="14" t="n">
        <x:v>0</x:v>
      </x:c>
      <x:c r="AG166" s="14" t="str">
        <x:v>—</x:v>
      </x:c>
      <x:c r="AH166" s="14" t="n">
        <x:v>0</x:v>
      </x:c>
      <x:c r="AI166" s="14" t="n">
        <x:v>0</x:v>
      </x:c>
      <x:c r="AJ166" s="18" t="n">
        <x:v>0</x:v>
      </x:c>
      <x:c r="AK166" s="14" t="str"/>
      <x:c r="AL166" s="19" t="str"/>
      <x:c r="AM166" s="19" t="str"/>
      <x:c r="AN166" s="15" t="str"/>
      <x:c r="AO166" s="15" t="str">
        <x:v>needs_full_reverification</x:v>
      </x:c>
    </x:row>
    <x:row r="167">
      <x:c r="A167" s="14" t="str">
        <x:v>V2-025</x:v>
      </x:c>
      <x:c r="B167" s="14" t="str">
        <x:v>Legacy 28</x:v>
      </x:c>
      <x:c r="C167" s="14" t="str">
        <x:v>ТОВАРИСТВО З ОБМЕЖЕНОЮ ВІДПОВІДАЛЬНІСТЮ "НІК"</x:v>
      </x:c>
      <x:c r="D167" s="14" t="str">
        <x:v>Електромонтаж</x:v>
      </x:c>
      <x:c r="E167" s="14" t="str">
        <x:v>Requalify</x:v>
      </x:c>
      <x:c r="F167" s="17" t="str">
        <x:f>IF(E167="Pilot now",IF(P167&gt;=84,"P1",IF(P167&gt;=72,"P2","P3")),IF(E167="Expansion discovery",IF(Q167&gt;=88,"D1",IF(Q167&gt;=78,"D2","D3")),IF(E167="Later / requirements","L","Legacy")))</x:f>
        <x:v>Legacy</x:v>
      </x:c>
      <x:c r="G167" s="14" t="str">
        <x:v>nik.net.ua</x:v>
      </x:c>
      <x:c r="H167" s="14" t="str">
        <x:v>Перекваліфікувати</x:v>
      </x:c>
      <x:c r="I167" s="16" t="str"/>
      <x:c r="J167" s="16" t="str"/>
      <x:c r="K167" s="16" t="str"/>
      <x:c r="L167" s="16" t="str"/>
      <x:c r="M167" s="16" t="str"/>
      <x:c r="N167" s="16" t="str"/>
      <x:c r="O167" s="16" t="str"/>
      <x:c r="P167" s="16" t="str">
        <x:f>IF(COUNT(I167:O167)&lt;7,"",I167*8+J167*3+K167*2+L167*2+M167*2+N167*2+O167)</x:f>
      </x:c>
      <x:c r="Q167" s="16" t="str">
        <x:f>IF(COUNT(J167:O167)&lt;6,"",J167*5+K167*4+M167*4+L167*3+N167*2+O167*2)</x:f>
      </x:c>
      <x:c r="R167" s="14" t="str">
        <x:v>low</x:v>
      </x:c>
      <x:c r="S167" s="14" t="str">
        <x:v>needs_full_reverification</x:v>
      </x:c>
      <x:c r="T167" s="14" t="str">
        <x:v>legacy_not_reverified</x:v>
      </x:c>
      <x:c r="U167" s="14" t="str">
        <x:v>Потрібна повторна перевірка</x:v>
      </x:c>
      <x:c r="V167" s="15" t="str">
        <x:v>Повністю перевірити сайт і поточний проєкт перед контактом</x:v>
      </x:c>
      <x:c r="W167" s="15" t="str">
        <x:v>Власник / директор; керівник ПТО</x:v>
      </x:c>
      <x:c r="X167" s="15" t="str">
        <x:v>Legacy-запис потребує повторної публічної перевірки.</x:v>
      </x:c>
      <x:c r="Y167" s="15" t="str">
        <x:v>Уточнити, які етапи та докази стають недоступними після закриття робіт.</x:v>
      </x:c>
      <x:c r="Z167" s="15" t="str">
        <x:v>https://nik.net.ua</x:v>
      </x:c>
      <x:c r="AA167" s="14" t="str">
        <x:v>31305795</x:v>
      </x:c>
      <x:c r="AB167" s="14" t="str"/>
      <x:c r="AC167" s="14" t="str">
        <x:v>Олександр</x:v>
      </x:c>
      <x:c r="AD167" s="20" t="str"/>
      <x:c r="AE167" s="14" t="str"/>
      <x:c r="AF167" s="14" t="n">
        <x:v>0</x:v>
      </x:c>
      <x:c r="AG167" s="14" t="str">
        <x:v>—</x:v>
      </x:c>
      <x:c r="AH167" s="14" t="n">
        <x:v>0</x:v>
      </x:c>
      <x:c r="AI167" s="14" t="n">
        <x:v>0</x:v>
      </x:c>
      <x:c r="AJ167" s="18" t="n">
        <x:v>0</x:v>
      </x:c>
      <x:c r="AK167" s="14" t="str"/>
      <x:c r="AL167" s="19" t="str"/>
      <x:c r="AM167" s="19" t="str"/>
      <x:c r="AN167" s="15" t="str"/>
      <x:c r="AO167" s="15" t="str">
        <x:v>needs_full_reverification</x:v>
      </x:c>
    </x:row>
    <x:row r="168">
      <x:c r="A168" s="14" t="str">
        <x:v>V2-014</x:v>
      </x:c>
      <x:c r="B168" s="14" t="str">
        <x:v>Legacy 28</x:v>
      </x:c>
      <x:c r="C168" s="14" t="str">
        <x:v>DELA ENERGY GROUP</x:v>
      </x:c>
      <x:c r="D168" s="14" t="str">
        <x:v>Сонячна енергетика</x:v>
      </x:c>
      <x:c r="E168" s="14" t="str">
        <x:v>Requalify</x:v>
      </x:c>
      <x:c r="F168" s="17" t="str">
        <x:f>IF(E168="Pilot now",IF(P168&gt;=84,"P1",IF(P168&gt;=72,"P2","P3")),IF(E168="Expansion discovery",IF(Q168&gt;=88,"D1",IF(Q168&gt;=78,"D2","D3")),IF(E168="Later / requirements","L","Legacy")))</x:f>
        <x:v>Legacy</x:v>
      </x:c>
      <x:c r="G168" s="14" t="str">
        <x:v>delaenergy.systems</x:v>
      </x:c>
      <x:c r="H168" s="14" t="str">
        <x:v>Перекваліфікувати</x:v>
      </x:c>
      <x:c r="I168" s="16" t="str"/>
      <x:c r="J168" s="16" t="str"/>
      <x:c r="K168" s="16" t="str"/>
      <x:c r="L168" s="16" t="str"/>
      <x:c r="M168" s="16" t="str"/>
      <x:c r="N168" s="16" t="str"/>
      <x:c r="O168" s="16" t="str"/>
      <x:c r="P168" s="16" t="str">
        <x:f>IF(COUNT(I168:O168)&lt;7,"",I168*8+J168*3+K168*2+L168*2+M168*2+N168*2+O168)</x:f>
      </x:c>
      <x:c r="Q168" s="16" t="str">
        <x:f>IF(COUNT(J168:O168)&lt;6,"",J168*5+K168*4+M168*4+L168*3+N168*2+O168*2)</x:f>
      </x:c>
      <x:c r="R168" s="14" t="str">
        <x:v>low</x:v>
      </x:c>
      <x:c r="S168" s="14" t="str">
        <x:v>needs_full_reverification</x:v>
      </x:c>
      <x:c r="T168" s="14" t="str">
        <x:v>legacy_not_reverified</x:v>
      </x:c>
      <x:c r="U168" s="14" t="str">
        <x:v>Потрібна повторна перевірка</x:v>
      </x:c>
      <x:c r="V168" s="15" t="str">
        <x:v>Повністю перевірити сайт і поточний проєкт перед контактом</x:v>
      </x:c>
      <x:c r="W168" s="15" t="str">
        <x:v>Власник / директор; керівник ПТО</x:v>
      </x:c>
      <x:c r="X168" s="15" t="str">
        <x:v>Legacy-запис потребує повторної публічної перевірки.</x:v>
      </x:c>
      <x:c r="Y168" s="15" t="str">
        <x:v>Уточнити, які етапи та докази стають недоступними після закриття робіт.</x:v>
      </x:c>
      <x:c r="Z168" s="15" t="str">
        <x:v>https://delaenergy.systems</x:v>
      </x:c>
      <x:c r="AA168" s="14" t="str">
        <x:v>43674904</x:v>
      </x:c>
      <x:c r="AB168" s="14" t="str"/>
      <x:c r="AC168" s="14" t="str">
        <x:v>Олександр</x:v>
      </x:c>
      <x:c r="AD168" s="20" t="str"/>
      <x:c r="AE168" s="14" t="str"/>
      <x:c r="AF168" s="14" t="n">
        <x:v>0</x:v>
      </x:c>
      <x:c r="AG168" s="14" t="str">
        <x:v>—</x:v>
      </x:c>
      <x:c r="AH168" s="14" t="n">
        <x:v>0</x:v>
      </x:c>
      <x:c r="AI168" s="14" t="n">
        <x:v>0</x:v>
      </x:c>
      <x:c r="AJ168" s="18" t="n">
        <x:v>0</x:v>
      </x:c>
      <x:c r="AK168" s="14" t="str"/>
      <x:c r="AL168" s="19" t="str"/>
      <x:c r="AM168" s="19" t="str"/>
      <x:c r="AN168" s="15" t="str"/>
      <x:c r="AO168" s="15" t="str">
        <x:v>needs_full_reverification</x:v>
      </x:c>
    </x:row>
    <x:row r="169">
      <x:c r="A169" s="14" t="str">
        <x:v>V2-021</x:v>
      </x:c>
      <x:c r="B169" s="14" t="str">
        <x:v>Legacy 28</x:v>
      </x:c>
      <x:c r="C169" s="14" t="str">
        <x:v>REC SECURITY LLC</x:v>
      </x:c>
      <x:c r="D169" s="14" t="str">
        <x:v>Слаботочні системи</x:v>
      </x:c>
      <x:c r="E169" s="14" t="str">
        <x:v>Requalify</x:v>
      </x:c>
      <x:c r="F169" s="17" t="str">
        <x:f>IF(E169="Pilot now",IF(P169&gt;=84,"P1",IF(P169&gt;=72,"P2","P3")),IF(E169="Expansion discovery",IF(Q169&gt;=88,"D1",IF(Q169&gt;=78,"D2","D3")),IF(E169="Later / requirements","L","Legacy")))</x:f>
        <x:v>Legacy</x:v>
      </x:c>
      <x:c r="G169" s="14" t="str">
        <x:v>rec-security.com.ua</x:v>
      </x:c>
      <x:c r="H169" s="14" t="str">
        <x:v>Перекваліфікувати</x:v>
      </x:c>
      <x:c r="I169" s="16" t="str"/>
      <x:c r="J169" s="16" t="str"/>
      <x:c r="K169" s="16" t="str"/>
      <x:c r="L169" s="16" t="str"/>
      <x:c r="M169" s="16" t="str"/>
      <x:c r="N169" s="16" t="str"/>
      <x:c r="O169" s="16" t="str"/>
      <x:c r="P169" s="16" t="str">
        <x:f>IF(COUNT(I169:O169)&lt;7,"",I169*8+J169*3+K169*2+L169*2+M169*2+N169*2+O169)</x:f>
      </x:c>
      <x:c r="Q169" s="16" t="str">
        <x:f>IF(COUNT(J169:O169)&lt;6,"",J169*5+K169*4+M169*4+L169*3+N169*2+O169*2)</x:f>
      </x:c>
      <x:c r="R169" s="14" t="str">
        <x:v>low</x:v>
      </x:c>
      <x:c r="S169" s="14" t="str">
        <x:v>needs_full_reverification</x:v>
      </x:c>
      <x:c r="T169" s="14" t="str">
        <x:v>legacy_not_reverified</x:v>
      </x:c>
      <x:c r="U169" s="14" t="str">
        <x:v>Потрібна повторна перевірка</x:v>
      </x:c>
      <x:c r="V169" s="15" t="str">
        <x:v>Повністю перевірити сайт і поточний проєкт перед контактом</x:v>
      </x:c>
      <x:c r="W169" s="15" t="str">
        <x:v>Власник / директор; керівник ПТО</x:v>
      </x:c>
      <x:c r="X169" s="15" t="str">
        <x:v>Legacy-запис потребує повторної публічної перевірки.</x:v>
      </x:c>
      <x:c r="Y169" s="15" t="str">
        <x:v>Уточнити, які етапи та докази стають недоступними після закриття робіт.</x:v>
      </x:c>
      <x:c r="Z169" s="15" t="str">
        <x:v>https://rec-security.com.ua</x:v>
      </x:c>
      <x:c r="AA169" s="14" t="str">
        <x:v>44731360</x:v>
      </x:c>
      <x:c r="AB169" s="14" t="str"/>
      <x:c r="AC169" s="14" t="str">
        <x:v>Олександр</x:v>
      </x:c>
      <x:c r="AD169" s="20" t="str"/>
      <x:c r="AE169" s="14" t="str"/>
      <x:c r="AF169" s="14" t="n">
        <x:v>0</x:v>
      </x:c>
      <x:c r="AG169" s="14" t="str">
        <x:v>—</x:v>
      </x:c>
      <x:c r="AH169" s="14" t="n">
        <x:v>0</x:v>
      </x:c>
      <x:c r="AI169" s="14" t="n">
        <x:v>0</x:v>
      </x:c>
      <x:c r="AJ169" s="18" t="n">
        <x:v>0</x:v>
      </x:c>
      <x:c r="AK169" s="14" t="str"/>
      <x:c r="AL169" s="19" t="str"/>
      <x:c r="AM169" s="19" t="str"/>
      <x:c r="AN169" s="15" t="str"/>
      <x:c r="AO169" s="15" t="str">
        <x:v>needs_full_reverification</x:v>
      </x:c>
    </x:row>
    <x:row r="170">
      <x:c r="A170" s="14" t="str">
        <x:v>W2-001</x:v>
      </x:c>
      <x:c r="B170" s="14" t="str">
        <x:v>Проєктний сигнал — 24.08</x:v>
      </x:c>
      <x:c r="C170" s="14" t="str">
        <x:v>ТОВ «Горизонтально направлене буріння»</x:v>
      </x:c>
      <x:c r="D170" s="14" t="str">
        <x:v>ГНБ / безтраншейні мережі</x:v>
      </x:c>
      <x:c r="E170" s="14" t="str">
        <x:v>Expansion discovery</x:v>
      </x:c>
      <x:c r="F170" s="17" t="str">
        <x:f>IF(E170="Pilot now",IF(P170&gt;=84,"P1",IF(P170&gt;=72,"P2","P3")),IF(E170="Expansion discovery",IF(Q170&gt;=88,"D1",IF(Q170&gt;=78,"D2","D3")),IF(E170="Later / requirements","L","Legacy")))</x:f>
        <x:v>D1</x:v>
      </x:c>
      <x:c r="G170" s="14" t="str">
        <x:v>gnb.in.ua</x:v>
      </x:c>
      <x:c r="H170" s="14" t="str">
        <x:v>2-тижневий workflow discovery — потрібні вимоги одного проєкту</x:v>
      </x:c>
      <x:c r="I170" s="16" t="n">
        <x:v>1</x:v>
      </x:c>
      <x:c r="J170" s="16" t="n">
        <x:v>5</x:v>
      </x:c>
      <x:c r="K170" s="16" t="n">
        <x:v>5</x:v>
      </x:c>
      <x:c r="L170" s="16" t="n">
        <x:v>4</x:v>
      </x:c>
      <x:c r="M170" s="16" t="n">
        <x:v>5</x:v>
      </x:c>
      <x:c r="N170" s="16" t="n">
        <x:v>5</x:v>
      </x:c>
      <x:c r="O170" s="16" t="n">
        <x:v>5</x:v>
      </x:c>
      <x:c r="P170" s="16" t="n">
        <x:f>IF(COUNT(I170:O170)&lt;7,"",I170*8+J170*3+K170*2+L170*2+M170*2+N170*2+O170)</x:f>
        <x:v>66</x:v>
      </x:c>
      <x:c r="Q170" s="16" t="n">
        <x:f>IF(COUNT(J170:O170)&lt;6,"",J170*5+K170*4+M170*4+L170*3+N170*2+O170*2)</x:f>
        <x:v>97</x:v>
      </x:c>
      <x:c r="R170" s="14" t="str">
        <x:v>high</x:v>
      </x:c>
      <x:c r="S170" s="14" t="str">
        <x:v>google_index_verified_2026-08-24</x:v>
      </x:c>
      <x:c r="T170" s="14" t="str">
        <x:v>indexed_official_service_page</x:v>
      </x:c>
      <x:c r="U170" s="14" t="str">
        <x:v>Новий — не контактували</x:v>
      </x:c>
      <x:c r="V170" s="15" t="str">
        <x:v>2-тижневий discovery: запросити вимоги 1 активного проєкту + 1 знеособлений артефакт</x:v>
      </x:c>
      <x:c r="W170" s="15" t="str">
        <x:v>Власник / директор; керівник будівництва; керівник ПТО</x:v>
      </x:c>
      <x:c r="X170" s="15" t="str">
        <x:v>ГНБ і проколи для інженерних комунікацій. Пошуковий результат веде на індексовану сторінку корпоративного домену: ООО Горизонтально Направленное Бурение.</x:v>
      </x:c>
      <x:c r="Y170" s="15" t="str">
        <x:v>Траса, пілотна свердловина, розширення та протягування стають невидимими; потрібні журнали, геоприв'язка й докази до здачі переходу.</x:v>
      </x:c>
      <x:c r="Z170" s="15" t="str">
        <x:v>https://www.gnb.in.ua/</x:v>
      </x:c>
      <x:c r="AA170" s="14" t="str"/>
      <x:c r="AB170" s="14" t="str">
        <x:v>2026-08-24</x:v>
      </x:c>
      <x:c r="AC170" s="14" t="str">
        <x:v>Олександр</x:v>
      </x:c>
      <x:c r="AD170" s="20" t="str"/>
      <x:c r="AE170" s="14" t="str"/>
      <x:c r="AF170" s="14" t="n">
        <x:v>0</x:v>
      </x:c>
      <x:c r="AG170" s="14" t="str">
        <x:v>—</x:v>
      </x:c>
      <x:c r="AH170" s="14" t="n">
        <x:v>0</x:v>
      </x:c>
      <x:c r="AI170" s="14" t="n">
        <x:v>0</x:v>
      </x:c>
      <x:c r="AJ170" s="18" t="n">
        <x:v>0</x:v>
      </x:c>
      <x:c r="AK170" s="14" t="str"/>
      <x:c r="AL170" s="19" t="str"/>
      <x:c r="AM170" s="19" t="str"/>
      <x:c r="AN170" s="15" t="str"/>
      <x:c r="AO170" s="15" t="str">
        <x:v>google_index_verified_2026-08-24</x:v>
      </x:c>
    </x:row>
    <x:row r="171">
      <x:c r="A171" s="14" t="str">
        <x:v>W2-002</x:v>
      </x:c>
      <x:c r="B171" s="14" t="str">
        <x:v>Проєктний сигнал — 24.08</x:v>
      </x:c>
      <x:c r="C171" s="14" t="str">
        <x:v>GNB Ukraine</x:v>
      </x:c>
      <x:c r="D171" s="14" t="str">
        <x:v>ГНБ / безтраншейні мережі</x:v>
      </x:c>
      <x:c r="E171" s="14" t="str">
        <x:v>Expansion discovery</x:v>
      </x:c>
      <x:c r="F171" s="17" t="str">
        <x:f>IF(E171="Pilot now",IF(P171&gt;=84,"P1",IF(P171&gt;=72,"P2","P3")),IF(E171="Expansion discovery",IF(Q171&gt;=88,"D1",IF(Q171&gt;=78,"D2","D3")),IF(E171="Later / requirements","L","Legacy")))</x:f>
        <x:v>D1</x:v>
      </x:c>
      <x:c r="G171" s="14" t="str">
        <x:v>gnbukr.com.ua</x:v>
      </x:c>
      <x:c r="H171" s="14" t="str">
        <x:v>2-тижневий workflow discovery — потрібні вимоги одного проєкту</x:v>
      </x:c>
      <x:c r="I171" s="16" t="n">
        <x:v>1</x:v>
      </x:c>
      <x:c r="J171" s="16" t="n">
        <x:v>5</x:v>
      </x:c>
      <x:c r="K171" s="16" t="n">
        <x:v>5</x:v>
      </x:c>
      <x:c r="L171" s="16" t="n">
        <x:v>4</x:v>
      </x:c>
      <x:c r="M171" s="16" t="n">
        <x:v>5</x:v>
      </x:c>
      <x:c r="N171" s="16" t="n">
        <x:v>5</x:v>
      </x:c>
      <x:c r="O171" s="16" t="n">
        <x:v>5</x:v>
      </x:c>
      <x:c r="P171" s="16" t="n">
        <x:f>IF(COUNT(I171:O171)&lt;7,"",I171*8+J171*3+K171*2+L171*2+M171*2+N171*2+O171)</x:f>
        <x:v>66</x:v>
      </x:c>
      <x:c r="Q171" s="16" t="n">
        <x:f>IF(COUNT(J171:O171)&lt;6,"",J171*5+K171*4+M171*4+L171*3+N171*2+O171*2)</x:f>
        <x:v>97</x:v>
      </x:c>
      <x:c r="R171" s="14" t="str">
        <x:v>high</x:v>
      </x:c>
      <x:c r="S171" s="14" t="str">
        <x:v>google_index_verified_2026-08-24</x:v>
      </x:c>
      <x:c r="T171" s="14" t="str">
        <x:v>indexed_official_service_page</x:v>
      </x:c>
      <x:c r="U171" s="14" t="str">
        <x:v>Новий — не контактували</x:v>
      </x:c>
      <x:c r="V171" s="15" t="str">
        <x:v>2-тижневий discovery: запросити вимоги 1 активного проєкту + 1 знеособлений артефакт</x:v>
      </x:c>
      <x:c r="W171" s="15" t="str">
        <x:v>Власник / директор; керівник будівництва; керівник ПТО</x:v>
      </x:c>
      <x:c r="X171" s="15" t="str">
        <x:v>Безтраншейне прокладання труб методом ГНБ. Пошуковий результат веде на індексовану сторінку корпоративного домену: ГНБ Україна — GNB Ukraine.</x:v>
      </x:c>
      <x:c r="Y171" s="15" t="str">
        <x:v>Траса, пілотна свердловина, розширення та протягування стають невидимими; потрібні журнали, геоприв'язка й докази до здачі переходу.</x:v>
      </x:c>
      <x:c r="Z171" s="15" t="str">
        <x:v>https://gnbukr.com.ua/uk/</x:v>
      </x:c>
      <x:c r="AA171" s="14" t="str"/>
      <x:c r="AB171" s="14" t="str">
        <x:v>2026-08-24</x:v>
      </x:c>
      <x:c r="AC171" s="14" t="str">
        <x:v>Олександр</x:v>
      </x:c>
      <x:c r="AD171" s="20" t="str"/>
      <x:c r="AE171" s="14" t="str"/>
      <x:c r="AF171" s="14" t="n">
        <x:v>0</x:v>
      </x:c>
      <x:c r="AG171" s="14" t="str">
        <x:v>—</x:v>
      </x:c>
      <x:c r="AH171" s="14" t="n">
        <x:v>0</x:v>
      </x:c>
      <x:c r="AI171" s="14" t="n">
        <x:v>0</x:v>
      </x:c>
      <x:c r="AJ171" s="18" t="n">
        <x:v>0</x:v>
      </x:c>
      <x:c r="AK171" s="14" t="str"/>
      <x:c r="AL171" s="19" t="str"/>
      <x:c r="AM171" s="19" t="str"/>
      <x:c r="AN171" s="15" t="str"/>
      <x:c r="AO171" s="15" t="str">
        <x:v>google_index_verified_2026-08-24</x:v>
      </x:c>
    </x:row>
    <x:row r="172">
      <x:c r="A172" s="14" t="str">
        <x:v>W2-003</x:v>
      </x:c>
      <x:c r="B172" s="14" t="str">
        <x:v>Проєктний сигнал — 24.08</x:v>
      </x:c>
      <x:c r="C172" s="14" t="str">
        <x:v>Південний Енерготехнічний Завод / PETZ</x:v>
      </x:c>
      <x:c r="D172" s="14" t="str">
        <x:v>ГНБ / безтраншейні мережі</x:v>
      </x:c>
      <x:c r="E172" s="14" t="str">
        <x:v>Expansion discovery</x:v>
      </x:c>
      <x:c r="F172" s="17" t="str">
        <x:f>IF(E172="Pilot now",IF(P172&gt;=84,"P1",IF(P172&gt;=72,"P2","P3")),IF(E172="Expansion discovery",IF(Q172&gt;=88,"D1",IF(Q172&gt;=78,"D2","D3")),IF(E172="Later / requirements","L","Legacy")))</x:f>
        <x:v>D1</x:v>
      </x:c>
      <x:c r="G172" s="14" t="str">
        <x:v>gnb.energy</x:v>
      </x:c>
      <x:c r="H172" s="14" t="str">
        <x:v>2-тижневий workflow discovery — потрібні вимоги одного проєкту</x:v>
      </x:c>
      <x:c r="I172" s="16" t="n">
        <x:v>1</x:v>
      </x:c>
      <x:c r="J172" s="16" t="n">
        <x:v>5</x:v>
      </x:c>
      <x:c r="K172" s="16" t="n">
        <x:v>5</x:v>
      </x:c>
      <x:c r="L172" s="16" t="n">
        <x:v>4</x:v>
      </x:c>
      <x:c r="M172" s="16" t="n">
        <x:v>5</x:v>
      </x:c>
      <x:c r="N172" s="16" t="n">
        <x:v>5</x:v>
      </x:c>
      <x:c r="O172" s="16" t="n">
        <x:v>5</x:v>
      </x:c>
      <x:c r="P172" s="16" t="n">
        <x:f>IF(COUNT(I172:O172)&lt;7,"",I172*8+J172*3+K172*2+L172*2+M172*2+N172*2+O172)</x:f>
        <x:v>66</x:v>
      </x:c>
      <x:c r="Q172" s="16" t="n">
        <x:f>IF(COUNT(J172:O172)&lt;6,"",J172*5+K172*4+M172*4+L172*3+N172*2+O172*2)</x:f>
        <x:v>97</x:v>
      </x:c>
      <x:c r="R172" s="14" t="str">
        <x:v>high</x:v>
      </x:c>
      <x:c r="S172" s="14" t="str">
        <x:v>google_index_verified_2026-08-24</x:v>
      </x:c>
      <x:c r="T172" s="14" t="str">
        <x:v>indexed_official_service_page</x:v>
      </x:c>
      <x:c r="U172" s="14" t="str">
        <x:v>Новий — не контактували</x:v>
      </x:c>
      <x:c r="V172" s="15" t="str">
        <x:v>2-тижневий discovery: запросити вимоги 1 активного проєкту + 1 знеособлений артефакт</x:v>
      </x:c>
      <x:c r="W172" s="15" t="str">
        <x:v>Власник / директор; керівник будівництва; керівник ПТО</x:v>
      </x:c>
      <x:c r="X172" s="15" t="str">
        <x:v>Горизонтально спрямоване буріння у складі інженерних систем. Пошуковий результат веде на індексовану сторінку корпоративного домену: ГНБ — інженерні системи PETZ.</x:v>
      </x:c>
      <x:c r="Y172" s="15" t="str">
        <x:v>Траса, пілотна свердловина, розширення та протягування стають невидимими; потрібні журнали, геоприв'язка й докази до здачі переходу.</x:v>
      </x:c>
      <x:c r="Z172" s="15" t="str">
        <x:v>https://gnb.energy/</x:v>
      </x:c>
      <x:c r="AA172" s="14" t="str"/>
      <x:c r="AB172" s="14" t="str">
        <x:v>2026-08-24</x:v>
      </x:c>
      <x:c r="AC172" s="14" t="str">
        <x:v>Олександр</x:v>
      </x:c>
      <x:c r="AD172" s="20" t="str"/>
      <x:c r="AE172" s="14" t="str"/>
      <x:c r="AF172" s="14" t="n">
        <x:v>0</x:v>
      </x:c>
      <x:c r="AG172" s="14" t="str">
        <x:v>—</x:v>
      </x:c>
      <x:c r="AH172" s="14" t="n">
        <x:v>0</x:v>
      </x:c>
      <x:c r="AI172" s="14" t="n">
        <x:v>0</x:v>
      </x:c>
      <x:c r="AJ172" s="18" t="n">
        <x:v>0</x:v>
      </x:c>
      <x:c r="AK172" s="14" t="str"/>
      <x:c r="AL172" s="19" t="str"/>
      <x:c r="AM172" s="19" t="str"/>
      <x:c r="AN172" s="15" t="str"/>
      <x:c r="AO172" s="15" t="str">
        <x:v>google_index_verified_2026-08-24</x:v>
      </x:c>
    </x:row>
    <x:row r="173">
      <x:c r="A173" s="14" t="str">
        <x:v>W2-004</x:v>
      </x:c>
      <x:c r="B173" s="14" t="str">
        <x:v>Проєктний сигнал — 24.08</x:v>
      </x:c>
      <x:c r="C173" s="14" t="str">
        <x:v>Рембудзв'язок</x:v>
      </x:c>
      <x:c r="D173" s="14" t="str">
        <x:v>ГНБ / безтраншейні мережі</x:v>
      </x:c>
      <x:c r="E173" s="14" t="str">
        <x:v>Expansion discovery</x:v>
      </x:c>
      <x:c r="F173" s="17" t="str">
        <x:f>IF(E173="Pilot now",IF(P173&gt;=84,"P1",IF(P173&gt;=72,"P2","P3")),IF(E173="Expansion discovery",IF(Q173&gt;=88,"D1",IF(Q173&gt;=78,"D2","D3")),IF(E173="Later / requirements","L","Legacy")))</x:f>
        <x:v>D1</x:v>
      </x:c>
      <x:c r="G173" s="14" t="str">
        <x:v>rbz.com.ua</x:v>
      </x:c>
      <x:c r="H173" s="14" t="str">
        <x:v>2-тижневий workflow discovery — потрібні вимоги одного проєкту</x:v>
      </x:c>
      <x:c r="I173" s="16" t="n">
        <x:v>1</x:v>
      </x:c>
      <x:c r="J173" s="16" t="n">
        <x:v>5</x:v>
      </x:c>
      <x:c r="K173" s="16" t="n">
        <x:v>5</x:v>
      </x:c>
      <x:c r="L173" s="16" t="n">
        <x:v>4</x:v>
      </x:c>
      <x:c r="M173" s="16" t="n">
        <x:v>5</x:v>
      </x:c>
      <x:c r="N173" s="16" t="n">
        <x:v>5</x:v>
      </x:c>
      <x:c r="O173" s="16" t="n">
        <x:v>3</x:v>
      </x:c>
      <x:c r="P173" s="16" t="n">
        <x:f>IF(COUNT(I173:O173)&lt;7,"",I173*8+J173*3+K173*2+L173*2+M173*2+N173*2+O173)</x:f>
        <x:v>64</x:v>
      </x:c>
      <x:c r="Q173" s="16" t="n">
        <x:f>IF(COUNT(J173:O173)&lt;6,"",J173*5+K173*4+M173*4+L173*3+N173*2+O173*2)</x:f>
        <x:v>93</x:v>
      </x:c>
      <x:c r="R173" s="14" t="str">
        <x:v>medium</x:v>
      </x:c>
      <x:c r="S173" s="14" t="str">
        <x:v>google_index_verified_manual_check_2026-08-24</x:v>
      </x:c>
      <x:c r="T173" s="14" t="str">
        <x:v>indexed_official_page_manual_check</x:v>
      </x:c>
      <x:c r="U173" s="14" t="str">
        <x:v>Новий — не контактували</x:v>
      </x:c>
      <x:c r="V173" s="15" t="str">
        <x:v>Повторне звернення з посиланням на UA-2026-07-29-010065-a; попросити 1 пакет здачі з поточного workflow</x:v>
      </x:c>
      <x:c r="W173" s="15" t="str">
        <x:v>Власник / директор; керівник будівництва; керівник ПТО</x:v>
      </x:c>
      <x:c r="X173" s="15" t="str">
        <x:v>Власний парк і монтажно-бурові роботи. Пошуковий результат веде на індексовану сторінку корпоративного домену: ГНБ — Рембудзв'язок.</x:v>
      </x:c>
      <x:c r="Y173" s="15" t="str">
        <x:v>Траса, пілотна свердловина, розширення та протягування стають невидимими; потрібні журнали, геоприв'язка й докази до здачі переходу.</x:v>
      </x:c>
      <x:c r="Z173" s="15" t="str">
        <x:v>http://rbz.com.ua/ua/horizontal-directional-drilling/</x:v>
      </x:c>
      <x:c r="AA173" s="14" t="str"/>
      <x:c r="AB173" s="14" t="str">
        <x:v>2026-08-24</x:v>
      </x:c>
      <x:c r="AC173" s="14" t="str">
        <x:v>Олександр</x:v>
      </x:c>
      <x:c r="AD173" s="20" t="str"/>
      <x:c r="AE173" s="14" t="str"/>
      <x:c r="AF173" s="14" t="n">
        <x:v>56</x:v>
      </x:c>
      <x:c r="AG173" s="14" t="str">
        <x:v>I3</x:v>
      </x:c>
      <x:c r="AH173" s="14" t="n">
        <x:v>1</x:v>
      </x:c>
      <x:c r="AI173" s="14" t="n">
        <x:v>1</x:v>
      </x:c>
      <x:c r="AJ173" s="18" t="n">
        <x:v>134600</x:v>
      </x:c>
      <x:c r="AK173" s="14" t="str">
        <x:v>https://prozorro.gov.ua/tender/UA-2026-07-29-010065-a</x:v>
      </x:c>
      <x:c r="AL173" s="19" t="n">
        <x:v>46232.569152951386</x:v>
      </x:c>
      <x:c r="AM173" s="19" t="n">
        <x:v>46387</x:v>
      </x:c>
      <x:c r="AN173" s="15" t="str">
        <x:v>ГНБ / безтраншейні роботи</x:v>
      </x:c>
      <x:c r="AO173" s="15" t="str">
        <x:v>google_index_verified_manual_check_2026-08-24</x:v>
      </x:c>
    </x:row>
    <x:row r="174">
      <x:c r="A174" s="14" t="str">
        <x:v>W2-005</x:v>
      </x:c>
      <x:c r="B174" s="14" t="str">
        <x:v>Проєктний сигнал — 24.08</x:v>
      </x:c>
      <x:c r="C174" s="14" t="str">
        <x:v>ЗахідБурІнвест</x:v>
      </x:c>
      <x:c r="D174" s="14" t="str">
        <x:v>ГНБ / безтраншейні мережі</x:v>
      </x:c>
      <x:c r="E174" s="14" t="str">
        <x:v>Expansion discovery</x:v>
      </x:c>
      <x:c r="F174" s="17" t="str">
        <x:f>IF(E174="Pilot now",IF(P174&gt;=84,"P1",IF(P174&gt;=72,"P2","P3")),IF(E174="Expansion discovery",IF(Q174&gt;=88,"D1",IF(Q174&gt;=78,"D2","D3")),IF(E174="Later / requirements","L","Legacy")))</x:f>
        <x:v>D1</x:v>
      </x:c>
      <x:c r="G174" s="14" t="str">
        <x:v>burinvest.com.ua</x:v>
      </x:c>
      <x:c r="H174" s="14" t="str">
        <x:v>2-тижневий workflow discovery — потрібні вимоги одного проєкту</x:v>
      </x:c>
      <x:c r="I174" s="16" t="n">
        <x:v>1</x:v>
      </x:c>
      <x:c r="J174" s="16" t="n">
        <x:v>5</x:v>
      </x:c>
      <x:c r="K174" s="16" t="n">
        <x:v>5</x:v>
      </x:c>
      <x:c r="L174" s="16" t="n">
        <x:v>4</x:v>
      </x:c>
      <x:c r="M174" s="16" t="n">
        <x:v>5</x:v>
      </x:c>
      <x:c r="N174" s="16" t="n">
        <x:v>5</x:v>
      </x:c>
      <x:c r="O174" s="16" t="n">
        <x:v>5</x:v>
      </x:c>
      <x:c r="P174" s="16" t="n">
        <x:f>IF(COUNT(I174:O174)&lt;7,"",I174*8+J174*3+K174*2+L174*2+M174*2+N174*2+O174)</x:f>
        <x:v>66</x:v>
      </x:c>
      <x:c r="Q174" s="16" t="n">
        <x:f>IF(COUNT(J174:O174)&lt;6,"",J174*5+K174*4+M174*4+L174*3+N174*2+O174*2)</x:f>
        <x:v>97</x:v>
      </x:c>
      <x:c r="R174" s="14" t="str">
        <x:v>high</x:v>
      </x:c>
      <x:c r="S174" s="14" t="str">
        <x:v>google_index_verified_2026-08-24</x:v>
      </x:c>
      <x:c r="T174" s="14" t="str">
        <x:v>indexed_official_service_page</x:v>
      </x:c>
      <x:c r="U174" s="14" t="str">
        <x:v>Новий — не контактували</x:v>
      </x:c>
      <x:c r="V174" s="15" t="str">
        <x:v>2-тижневий discovery: запросити вимоги 1 активного проєкту + 1 знеособлений артефакт</x:v>
      </x:c>
      <x:c r="W174" s="15" t="str">
        <x:v>Власник / директор; керівник будівництва; керівник ПТО</x:v>
      </x:c>
      <x:c r="X174" s="15" t="str">
        <x:v>Переходи ГНБ для безтраншейного прокладання. Пошуковий результат веде на індексовану сторінку корпоративного домену: Горизонтально-направлене буріння — ЗахідБурІнвест.</x:v>
      </x:c>
      <x:c r="Y174" s="15" t="str">
        <x:v>Траса, пілотна свердловина, розширення та протягування стають невидимими; потрібні журнали, геоприв'язка й докази до здачі переходу.</x:v>
      </x:c>
      <x:c r="Z174" s="15" t="str">
        <x:v>https://burinvest.com.ua/</x:v>
      </x:c>
      <x:c r="AA174" s="14" t="str"/>
      <x:c r="AB174" s="14" t="str">
        <x:v>2026-08-24</x:v>
      </x:c>
      <x:c r="AC174" s="14" t="str">
        <x:v>Олександр</x:v>
      </x:c>
      <x:c r="AD174" s="20" t="str"/>
      <x:c r="AE174" s="14" t="str"/>
      <x:c r="AF174" s="14" t="n">
        <x:v>0</x:v>
      </x:c>
      <x:c r="AG174" s="14" t="str">
        <x:v>—</x:v>
      </x:c>
      <x:c r="AH174" s="14" t="n">
        <x:v>0</x:v>
      </x:c>
      <x:c r="AI174" s="14" t="n">
        <x:v>0</x:v>
      </x:c>
      <x:c r="AJ174" s="18" t="n">
        <x:v>0</x:v>
      </x:c>
      <x:c r="AK174" s="14" t="str"/>
      <x:c r="AL174" s="19" t="str"/>
      <x:c r="AM174" s="19" t="str"/>
      <x:c r="AN174" s="15" t="str"/>
      <x:c r="AO174" s="15" t="str">
        <x:v>google_index_verified_2026-08-24</x:v>
      </x:c>
    </x:row>
    <x:row r="175">
      <x:c r="A175" s="14" t="str">
        <x:v>W2-006</x:v>
      </x:c>
      <x:c r="B175" s="14" t="str">
        <x:v>Проєктний сигнал — 24.08</x:v>
      </x:c>
      <x:c r="C175" s="14" t="str">
        <x:v>Акваполімер Інжиніринг</x:v>
      </x:c>
      <x:c r="D175" s="14" t="str">
        <x:v>Водоочищення та очисні споруди</x:v>
      </x:c>
      <x:c r="E175" s="14" t="str">
        <x:v>Expansion discovery</x:v>
      </x:c>
      <x:c r="F175" s="17" t="str">
        <x:f>IF(E175="Pilot now",IF(P175&gt;=84,"P1",IF(P175&gt;=72,"P2","P3")),IF(E175="Expansion discovery",IF(Q175&gt;=88,"D1",IF(Q175&gt;=78,"D2","D3")),IF(E175="Later / requirements","L","Legacy")))</x:f>
        <x:v>D1</x:v>
      </x:c>
      <x:c r="G175" s="14" t="str">
        <x:v>aquapolymer.com.ua</x:v>
      </x:c>
      <x:c r="H175" s="14" t="str">
        <x:v>2-тижневий workflow discovery — потрібні вимоги одного проєкту</x:v>
      </x:c>
      <x:c r="I175" s="16" t="n">
        <x:v>1</x:v>
      </x:c>
      <x:c r="J175" s="16" t="n">
        <x:v>5</x:v>
      </x:c>
      <x:c r="K175" s="16" t="n">
        <x:v>5</x:v>
      </x:c>
      <x:c r="L175" s="16" t="n">
        <x:v>4</x:v>
      </x:c>
      <x:c r="M175" s="16" t="n">
        <x:v>5</x:v>
      </x:c>
      <x:c r="N175" s="16" t="n">
        <x:v>5</x:v>
      </x:c>
      <x:c r="O175" s="16" t="n">
        <x:v>5</x:v>
      </x:c>
      <x:c r="P175" s="16" t="n">
        <x:f>IF(COUNT(I175:O175)&lt;7,"",I175*8+J175*3+K175*2+L175*2+M175*2+N175*2+O175)</x:f>
        <x:v>66</x:v>
      </x:c>
      <x:c r="Q175" s="16" t="n">
        <x:f>IF(COUNT(J175:O175)&lt;6,"",J175*5+K175*4+M175*4+L175*3+N175*2+O175*2)</x:f>
        <x:v>97</x:v>
      </x:c>
      <x:c r="R175" s="14" t="str">
        <x:v>high</x:v>
      </x:c>
      <x:c r="S175" s="14" t="str">
        <x:v>google_index_verified_2026-08-24</x:v>
      </x:c>
      <x:c r="T175" s="14" t="str">
        <x:v>indexed_official_service_page</x:v>
      </x:c>
      <x:c r="U175" s="14" t="str">
        <x:v>Новий — не контактували</x:v>
      </x:c>
      <x:c r="V175" s="15" t="str">
        <x:v>2-тижневий discovery: запросити вимоги 1 активного проєкту + 1 знеособлений артефакт</x:v>
      </x:c>
      <x:c r="W175" s="15" t="str">
        <x:v>Комерційний директор; керівник проєктів; головний технолог / ПТО</x:v>
      </x:c>
      <x:c r="X175" s="15" t="str">
        <x:v>Проєктування та реалізація систем водоочищення. Пошуковий результат веде на індексовану сторінку корпоративного домену: Проєктування систем водопостачання — Акваполімер.</x:v>
      </x:c>
      <x:c r="Y175" s="15" t="str">
        <x:v>Трубопроводи, закладні, резервуари, мембрани й пусконалагодження потребують поетапних актів, фото та протоколів.</x:v>
      </x:c>
      <x:c r="Z175" s="15" t="str">
        <x:v>https://aquapolymer.com.ua/poslugy/proektuvannya/</x:v>
      </x:c>
      <x:c r="AA175" s="14" t="str"/>
      <x:c r="AB175" s="14" t="str">
        <x:v>2026-08-24</x:v>
      </x:c>
      <x:c r="AC175" s="14" t="str">
        <x:v>Олександр</x:v>
      </x:c>
      <x:c r="AD175" s="20" t="str"/>
      <x:c r="AE175" s="14" t="str"/>
      <x:c r="AF175" s="14" t="n">
        <x:v>0</x:v>
      </x:c>
      <x:c r="AG175" s="14" t="str">
        <x:v>—</x:v>
      </x:c>
      <x:c r="AH175" s="14" t="n">
        <x:v>0</x:v>
      </x:c>
      <x:c r="AI175" s="14" t="n">
        <x:v>0</x:v>
      </x:c>
      <x:c r="AJ175" s="18" t="n">
        <x:v>0</x:v>
      </x:c>
      <x:c r="AK175" s="14" t="str"/>
      <x:c r="AL175" s="19" t="str"/>
      <x:c r="AM175" s="19" t="str"/>
      <x:c r="AN175" s="15" t="str"/>
      <x:c r="AO175" s="15" t="str">
        <x:v>google_index_verified_2026-08-24</x:v>
      </x:c>
    </x:row>
    <x:row r="176">
      <x:c r="A176" s="14" t="str">
        <x:v>W2-007</x:v>
      </x:c>
      <x:c r="B176" s="14" t="str">
        <x:v>Проєктний сигнал — 24.08</x:v>
      </x:c>
      <x:c r="C176" s="14" t="str">
        <x:v>Екобіл</x:v>
      </x:c>
      <x:c r="D176" s="14" t="str">
        <x:v>Водоочищення та очисні споруди</x:v>
      </x:c>
      <x:c r="E176" s="14" t="str">
        <x:v>Expansion discovery</x:v>
      </x:c>
      <x:c r="F176" s="17" t="str">
        <x:f>IF(E176="Pilot now",IF(P176&gt;=84,"P1",IF(P176&gt;=72,"P2","P3")),IF(E176="Expansion discovery",IF(Q176&gt;=88,"D1",IF(Q176&gt;=78,"D2","D3")),IF(E176="Later / requirements","L","Legacy")))</x:f>
        <x:v>D1</x:v>
      </x:c>
      <x:c r="G176" s="14" t="str">
        <x:v>ekobil.net.ua</x:v>
      </x:c>
      <x:c r="H176" s="14" t="str">
        <x:v>2-тижневий workflow discovery — потрібні вимоги одного проєкту</x:v>
      </x:c>
      <x:c r="I176" s="16" t="n">
        <x:v>1</x:v>
      </x:c>
      <x:c r="J176" s="16" t="n">
        <x:v>5</x:v>
      </x:c>
      <x:c r="K176" s="16" t="n">
        <x:v>5</x:v>
      </x:c>
      <x:c r="L176" s="16" t="n">
        <x:v>4</x:v>
      </x:c>
      <x:c r="M176" s="16" t="n">
        <x:v>5</x:v>
      </x:c>
      <x:c r="N176" s="16" t="n">
        <x:v>5</x:v>
      </x:c>
      <x:c r="O176" s="16" t="n">
        <x:v>5</x:v>
      </x:c>
      <x:c r="P176" s="16" t="n">
        <x:f>IF(COUNT(I176:O176)&lt;7,"",I176*8+J176*3+K176*2+L176*2+M176*2+N176*2+O176)</x:f>
        <x:v>66</x:v>
      </x:c>
      <x:c r="Q176" s="16" t="n">
        <x:f>IF(COUNT(J176:O176)&lt;6,"",J176*5+K176*4+M176*4+L176*3+N176*2+O176*2)</x:f>
        <x:v>97</x:v>
      </x:c>
      <x:c r="R176" s="14" t="str">
        <x:v>high</x:v>
      </x:c>
      <x:c r="S176" s="14" t="str">
        <x:v>google_index_verified_2026-08-24</x:v>
      </x:c>
      <x:c r="T176" s="14" t="str">
        <x:v>indexed_official_service_page</x:v>
      </x:c>
      <x:c r="U176" s="14" t="str">
        <x:v>Новий — не контактували</x:v>
      </x:c>
      <x:c r="V176" s="15" t="str">
        <x:v>2-тижневий discovery: запросити вимоги 1 активного проєкту + 1 знеособлений артефакт</x:v>
      </x:c>
      <x:c r="W176" s="15" t="str">
        <x:v>Комерційний директор; керівник проєктів; головний технолог / ПТО</x:v>
      </x:c>
      <x:c r="X176" s="15" t="str">
        <x:v>Проєктування очисних споруд. Пошуковий результат веде на індексовану сторінку корпоративного домену: Проєктування очисних споруд — Екобіл.</x:v>
      </x:c>
      <x:c r="Y176" s="15" t="str">
        <x:v>Трубопроводи, закладні, резервуари, мембрани й пусконалагодження потребують поетапних актів, фото та протоколів.</x:v>
      </x:c>
      <x:c r="Z176" s="15" t="str">
        <x:v>https://ekobil.net.ua/proektuvannya-ochysnyh-sporud/</x:v>
      </x:c>
      <x:c r="AA176" s="14" t="str"/>
      <x:c r="AB176" s="14" t="str">
        <x:v>2026-08-24</x:v>
      </x:c>
      <x:c r="AC176" s="14" t="str">
        <x:v>Олександр</x:v>
      </x:c>
      <x:c r="AD176" s="20" t="str"/>
      <x:c r="AE176" s="14" t="str"/>
      <x:c r="AF176" s="14" t="n">
        <x:v>0</x:v>
      </x:c>
      <x:c r="AG176" s="14" t="str">
        <x:v>—</x:v>
      </x:c>
      <x:c r="AH176" s="14" t="n">
        <x:v>0</x:v>
      </x:c>
      <x:c r="AI176" s="14" t="n">
        <x:v>0</x:v>
      </x:c>
      <x:c r="AJ176" s="18" t="n">
        <x:v>0</x:v>
      </x:c>
      <x:c r="AK176" s="14" t="str"/>
      <x:c r="AL176" s="19" t="str"/>
      <x:c r="AM176" s="19" t="str"/>
      <x:c r="AN176" s="15" t="str"/>
      <x:c r="AO176" s="15" t="str">
        <x:v>google_index_verified_2026-08-24</x:v>
      </x:c>
    </x:row>
    <x:row r="177">
      <x:c r="A177" s="14" t="str">
        <x:v>W2-008</x:v>
      </x:c>
      <x:c r="B177" s="14" t="str">
        <x:v>Проєктний сигнал — 24.08</x:v>
      </x:c>
      <x:c r="C177" s="14" t="str">
        <x:v>ППП-4</x:v>
      </x:c>
      <x:c r="D177" s="14" t="str">
        <x:v>Водоочищення та очисні споруди</x:v>
      </x:c>
      <x:c r="E177" s="14" t="str">
        <x:v>Expansion discovery</x:v>
      </x:c>
      <x:c r="F177" s="17" t="str">
        <x:f>IF(E177="Pilot now",IF(P177&gt;=84,"P1",IF(P177&gt;=72,"P2","P3")),IF(E177="Expansion discovery",IF(Q177&gt;=88,"D1",IF(Q177&gt;=78,"D2","D3")),IF(E177="Later / requirements","L","Legacy")))</x:f>
        <x:v>D1</x:v>
      </x:c>
      <x:c r="G177" s="14" t="str">
        <x:v>ppp4.kiev.ua</x:v>
      </x:c>
      <x:c r="H177" s="14" t="str">
        <x:v>2-тижневий workflow discovery — потрібні вимоги одного проєкту</x:v>
      </x:c>
      <x:c r="I177" s="16" t="n">
        <x:v>1</x:v>
      </x:c>
      <x:c r="J177" s="16" t="n">
        <x:v>5</x:v>
      </x:c>
      <x:c r="K177" s="16" t="n">
        <x:v>5</x:v>
      </x:c>
      <x:c r="L177" s="16" t="n">
        <x:v>4</x:v>
      </x:c>
      <x:c r="M177" s="16" t="n">
        <x:v>5</x:v>
      </x:c>
      <x:c r="N177" s="16" t="n">
        <x:v>5</x:v>
      </x:c>
      <x:c r="O177" s="16" t="n">
        <x:v>5</x:v>
      </x:c>
      <x:c r="P177" s="16" t="n">
        <x:f>IF(COUNT(I177:O177)&lt;7,"",I177*8+J177*3+K177*2+L177*2+M177*2+N177*2+O177)</x:f>
        <x:v>66</x:v>
      </x:c>
      <x:c r="Q177" s="16" t="n">
        <x:f>IF(COUNT(J177:O177)&lt;6,"",J177*5+K177*4+M177*4+L177*3+N177*2+O177*2)</x:f>
        <x:v>97</x:v>
      </x:c>
      <x:c r="R177" s="14" t="str">
        <x:v>high</x:v>
      </x:c>
      <x:c r="S177" s="14" t="str">
        <x:v>google_index_verified_2026-08-24</x:v>
      </x:c>
      <x:c r="T177" s="14" t="str">
        <x:v>indexed_official_service_page</x:v>
      </x:c>
      <x:c r="U177" s="14" t="str">
        <x:v>Новий — не контактували</x:v>
      </x:c>
      <x:c r="V177" s="15" t="str">
        <x:v>2-тижневий discovery: запросити вимоги 1 активного проєкту + 1 знеособлений артефакт</x:v>
      </x:c>
      <x:c r="W177" s="15" t="str">
        <x:v>Комерційний директор; керівник проєктів; головний технолог / ПТО</x:v>
      </x:c>
      <x:c r="X177" s="15" t="str">
        <x:v>Проєктування, монтаж і сервіс очисних споруд. Пошуковий результат веде на індексовану сторінку корпоративного домену: Очищення стічних вод — проєктування, монтаж, сервіс.</x:v>
      </x:c>
      <x:c r="Y177" s="15" t="str">
        <x:v>Трубопроводи, закладні, резервуари, мембрани й пусконалагодження потребують поетапних актів, фото та протоколів.</x:v>
      </x:c>
      <x:c r="Z177" s="15" t="str">
        <x:v>https://ppp4.kiev.ua/about_us.html</x:v>
      </x:c>
      <x:c r="AA177" s="14" t="str"/>
      <x:c r="AB177" s="14" t="str">
        <x:v>2026-08-24</x:v>
      </x:c>
      <x:c r="AC177" s="14" t="str">
        <x:v>Олександр</x:v>
      </x:c>
      <x:c r="AD177" s="20" t="str"/>
      <x:c r="AE177" s="14" t="str"/>
      <x:c r="AF177" s="14" t="n">
        <x:v>0</x:v>
      </x:c>
      <x:c r="AG177" s="14" t="str">
        <x:v>—</x:v>
      </x:c>
      <x:c r="AH177" s="14" t="n">
        <x:v>0</x:v>
      </x:c>
      <x:c r="AI177" s="14" t="n">
        <x:v>0</x:v>
      </x:c>
      <x:c r="AJ177" s="18" t="n">
        <x:v>0</x:v>
      </x:c>
      <x:c r="AK177" s="14" t="str"/>
      <x:c r="AL177" s="19" t="str"/>
      <x:c r="AM177" s="19" t="str"/>
      <x:c r="AN177" s="15" t="str"/>
      <x:c r="AO177" s="15" t="str">
        <x:v>google_index_verified_2026-08-24</x:v>
      </x:c>
    </x:row>
    <x:row r="178">
      <x:c r="A178" s="14" t="str">
        <x:v>W2-009</x:v>
      </x:c>
      <x:c r="B178" s="14" t="str">
        <x:v>Проєктний сигнал — 24.08</x:v>
      </x:c>
      <x:c r="C178" s="14" t="str">
        <x:v>AquaCenter</x:v>
      </x:c>
      <x:c r="D178" s="14" t="str">
        <x:v>Водоочищення та очисні споруди</x:v>
      </x:c>
      <x:c r="E178" s="14" t="str">
        <x:v>Expansion discovery</x:v>
      </x:c>
      <x:c r="F178" s="17" t="str">
        <x:f>IF(E178="Pilot now",IF(P178&gt;=84,"P1",IF(P178&gt;=72,"P2","P3")),IF(E178="Expansion discovery",IF(Q178&gt;=88,"D1",IF(Q178&gt;=78,"D2","D3")),IF(E178="Later / requirements","L","Legacy")))</x:f>
        <x:v>D1</x:v>
      </x:c>
      <x:c r="G178" s="14" t="str">
        <x:v>aquacenter.com.ua</x:v>
      </x:c>
      <x:c r="H178" s="14" t="str">
        <x:v>2-тижневий workflow discovery — потрібні вимоги одного проєкту</x:v>
      </x:c>
      <x:c r="I178" s="16" t="n">
        <x:v>1</x:v>
      </x:c>
      <x:c r="J178" s="16" t="n">
        <x:v>5</x:v>
      </x:c>
      <x:c r="K178" s="16" t="n">
        <x:v>5</x:v>
      </x:c>
      <x:c r="L178" s="16" t="n">
        <x:v>4</x:v>
      </x:c>
      <x:c r="M178" s="16" t="n">
        <x:v>5</x:v>
      </x:c>
      <x:c r="N178" s="16" t="n">
        <x:v>5</x:v>
      </x:c>
      <x:c r="O178" s="16" t="n">
        <x:v>5</x:v>
      </x:c>
      <x:c r="P178" s="16" t="n">
        <x:f>IF(COUNT(I178:O178)&lt;7,"",I178*8+J178*3+K178*2+L178*2+M178*2+N178*2+O178)</x:f>
        <x:v>66</x:v>
      </x:c>
      <x:c r="Q178" s="16" t="n">
        <x:f>IF(COUNT(J178:O178)&lt;6,"",J178*5+K178*4+M178*4+L178*3+N178*2+O178*2)</x:f>
        <x:v>97</x:v>
      </x:c>
      <x:c r="R178" s="14" t="str">
        <x:v>high</x:v>
      </x:c>
      <x:c r="S178" s="14" t="str">
        <x:v>google_index_verified_2026-08-24</x:v>
      </x:c>
      <x:c r="T178" s="14" t="str">
        <x:v>indexed_official_service_page</x:v>
      </x:c>
      <x:c r="U178" s="14" t="str">
        <x:v>Новий — не контактували</x:v>
      </x:c>
      <x:c r="V178" s="15" t="str">
        <x:v>2-тижневий discovery: запросити вимоги 1 активного проєкту + 1 знеособлений артефакт</x:v>
      </x:c>
      <x:c r="W178" s="15" t="str">
        <x:v>Комерційний директор; керівник проєктів; головний технолог / ПТО</x:v>
      </x:c>
      <x:c r="X178" s="15" t="str">
        <x:v>Проєктування та монтаж під ключ. Пошуковий результат веде на індексовану сторінку корпоративного домену: Очищення стічних вод під ключ — AquaCenter.</x:v>
      </x:c>
      <x:c r="Y178" s="15" t="str">
        <x:v>Трубопроводи, закладні, резервуари, мембрани й пусконалагодження потребують поетапних актів, фото та протоколів.</x:v>
      </x:c>
      <x:c r="Z178" s="15" t="str">
        <x:v>https://aquacenter.com.ua/ochistka-stochnyh-vod/</x:v>
      </x:c>
      <x:c r="AA178" s="14" t="str"/>
      <x:c r="AB178" s="14" t="str">
        <x:v>2026-08-24</x:v>
      </x:c>
      <x:c r="AC178" s="14" t="str">
        <x:v>Олександр</x:v>
      </x:c>
      <x:c r="AD178" s="20" t="str"/>
      <x:c r="AE178" s="14" t="str"/>
      <x:c r="AF178" s="14" t="n">
        <x:v>0</x:v>
      </x:c>
      <x:c r="AG178" s="14" t="str">
        <x:v>—</x:v>
      </x:c>
      <x:c r="AH178" s="14" t="n">
        <x:v>0</x:v>
      </x:c>
      <x:c r="AI178" s="14" t="n">
        <x:v>0</x:v>
      </x:c>
      <x:c r="AJ178" s="18" t="n">
        <x:v>0</x:v>
      </x:c>
      <x:c r="AK178" s="14" t="str"/>
      <x:c r="AL178" s="19" t="str"/>
      <x:c r="AM178" s="19" t="str"/>
      <x:c r="AN178" s="15" t="str"/>
      <x:c r="AO178" s="15" t="str">
        <x:v>google_index_verified_2026-08-24</x:v>
      </x:c>
    </x:row>
    <x:row r="179">
      <x:c r="A179" s="14" t="str">
        <x:v>W2-010</x:v>
      </x:c>
      <x:c r="B179" s="14" t="str">
        <x:v>Проєктний сигнал — 24.08</x:v>
      </x:c>
      <x:c r="C179" s="14" t="str">
        <x:v>ETE</x:v>
      </x:c>
      <x:c r="D179" s="14" t="str">
        <x:v>Водоочищення та очисні споруди</x:v>
      </x:c>
      <x:c r="E179" s="14" t="str">
        <x:v>Expansion discovery</x:v>
      </x:c>
      <x:c r="F179" s="17" t="str">
        <x:f>IF(E179="Pilot now",IF(P179&gt;=84,"P1",IF(P179&gt;=72,"P2","P3")),IF(E179="Expansion discovery",IF(Q179&gt;=88,"D1",IF(Q179&gt;=78,"D2","D3")),IF(E179="Later / requirements","L","Legacy")))</x:f>
        <x:v>D1</x:v>
      </x:c>
      <x:c r="G179" s="14" t="str">
        <x:v>ete.net.ua</x:v>
      </x:c>
      <x:c r="H179" s="14" t="str">
        <x:v>2-тижневий workflow discovery — потрібні вимоги одного проєкту</x:v>
      </x:c>
      <x:c r="I179" s="16" t="n">
        <x:v>1</x:v>
      </x:c>
      <x:c r="J179" s="16" t="n">
        <x:v>5</x:v>
      </x:c>
      <x:c r="K179" s="16" t="n">
        <x:v>5</x:v>
      </x:c>
      <x:c r="L179" s="16" t="n">
        <x:v>4</x:v>
      </x:c>
      <x:c r="M179" s="16" t="n">
        <x:v>5</x:v>
      </x:c>
      <x:c r="N179" s="16" t="n">
        <x:v>5</x:v>
      </x:c>
      <x:c r="O179" s="16" t="n">
        <x:v>5</x:v>
      </x:c>
      <x:c r="P179" s="16" t="n">
        <x:f>IF(COUNT(I179:O179)&lt;7,"",I179*8+J179*3+K179*2+L179*2+M179*2+N179*2+O179)</x:f>
        <x:v>66</x:v>
      </x:c>
      <x:c r="Q179" s="16" t="n">
        <x:f>IF(COUNT(J179:O179)&lt;6,"",J179*5+K179*4+M179*4+L179*3+N179*2+O179*2)</x:f>
        <x:v>97</x:v>
      </x:c>
      <x:c r="R179" s="14" t="str">
        <x:v>high</x:v>
      </x:c>
      <x:c r="S179" s="14" t="str">
        <x:v>google_index_verified_2026-08-24</x:v>
      </x:c>
      <x:c r="T179" s="14" t="str">
        <x:v>indexed_official_service_page</x:v>
      </x:c>
      <x:c r="U179" s="14" t="str">
        <x:v>Новий — не контактували</x:v>
      </x:c>
      <x:c r="V179" s="15" t="str">
        <x:v>2-тижневий discovery: запросити вимоги 1 активного проєкту + 1 знеособлений артефакт</x:v>
      </x:c>
      <x:c r="W179" s="15" t="str">
        <x:v>Комерційний директор; керівник проєктів; головний технолог / ПТО</x:v>
      </x:c>
      <x:c r="X179" s="15" t="str">
        <x:v>Очисні споруди та системи водопостачання. Пошуковий результат веде на індексовану сторінку корпоративного домену: Проєктування очисних споруд та водопостачання — ETE.</x:v>
      </x:c>
      <x:c r="Y179" s="15" t="str">
        <x:v>Трубопроводи, закладні, резервуари, мембрани й пусконалагодження потребують поетапних актів, фото та протоколів.</x:v>
      </x:c>
      <x:c r="Z179" s="15" t="str">
        <x:v>https://ete.net.ua/proektuvannya/</x:v>
      </x:c>
      <x:c r="AA179" s="14" t="str"/>
      <x:c r="AB179" s="14" t="str">
        <x:v>2026-08-24</x:v>
      </x:c>
      <x:c r="AC179" s="14" t="str">
        <x:v>Олександр</x:v>
      </x:c>
      <x:c r="AD179" s="20" t="str"/>
      <x:c r="AE179" s="14" t="str"/>
      <x:c r="AF179" s="14" t="n">
        <x:v>0</x:v>
      </x:c>
      <x:c r="AG179" s="14" t="str">
        <x:v>—</x:v>
      </x:c>
      <x:c r="AH179" s="14" t="n">
        <x:v>0</x:v>
      </x:c>
      <x:c r="AI179" s="14" t="n">
        <x:v>0</x:v>
      </x:c>
      <x:c r="AJ179" s="18" t="n">
        <x:v>0</x:v>
      </x:c>
      <x:c r="AK179" s="14" t="str"/>
      <x:c r="AL179" s="19" t="str"/>
      <x:c r="AM179" s="19" t="str"/>
      <x:c r="AN179" s="15" t="str"/>
      <x:c r="AO179" s="15" t="str">
        <x:v>google_index_verified_2026-08-24</x:v>
      </x:c>
    </x:row>
    <x:row r="180">
      <x:c r="A180" s="14" t="str">
        <x:v>W2-011</x:v>
      </x:c>
      <x:c r="B180" s="14" t="str">
        <x:v>Проєктний сигнал — 24.08</x:v>
      </x:c>
      <x:c r="C180" s="14" t="str">
        <x:v>AQUATEC</x:v>
      </x:c>
      <x:c r="D180" s="14" t="str">
        <x:v>Водоочищення та очисні споруди</x:v>
      </x:c>
      <x:c r="E180" s="14" t="str">
        <x:v>Expansion discovery</x:v>
      </x:c>
      <x:c r="F180" s="17" t="str">
        <x:f>IF(E180="Pilot now",IF(P180&gt;=84,"P1",IF(P180&gt;=72,"P2","P3")),IF(E180="Expansion discovery",IF(Q180&gt;=88,"D1",IF(Q180&gt;=78,"D2","D3")),IF(E180="Later / requirements","L","Legacy")))</x:f>
        <x:v>D1</x:v>
      </x:c>
      <x:c r="G180" s="14" t="str">
        <x:v>aquatec.in.ua</x:v>
      </x:c>
      <x:c r="H180" s="14" t="str">
        <x:v>2-тижневий workflow discovery — потрібні вимоги одного проєкту</x:v>
      </x:c>
      <x:c r="I180" s="16" t="n">
        <x:v>1</x:v>
      </x:c>
      <x:c r="J180" s="16" t="n">
        <x:v>5</x:v>
      </x:c>
      <x:c r="K180" s="16" t="n">
        <x:v>5</x:v>
      </x:c>
      <x:c r="L180" s="16" t="n">
        <x:v>4</x:v>
      </x:c>
      <x:c r="M180" s="16" t="n">
        <x:v>5</x:v>
      </x:c>
      <x:c r="N180" s="16" t="n">
        <x:v>5</x:v>
      </x:c>
      <x:c r="O180" s="16" t="n">
        <x:v>5</x:v>
      </x:c>
      <x:c r="P180" s="16" t="n">
        <x:f>IF(COUNT(I180:O180)&lt;7,"",I180*8+J180*3+K180*2+L180*2+M180*2+N180*2+O180)</x:f>
        <x:v>66</x:v>
      </x:c>
      <x:c r="Q180" s="16" t="n">
        <x:f>IF(COUNT(J180:O180)&lt;6,"",J180*5+K180*4+M180*4+L180*3+N180*2+O180*2)</x:f>
        <x:v>97</x:v>
      </x:c>
      <x:c r="R180" s="14" t="str">
        <x:v>high</x:v>
      </x:c>
      <x:c r="S180" s="14" t="str">
        <x:v>google_index_verified_2026-08-24</x:v>
      </x:c>
      <x:c r="T180" s="14" t="str">
        <x:v>indexed_official_service_page</x:v>
      </x:c>
      <x:c r="U180" s="14" t="str">
        <x:v>Новий — не контактували</x:v>
      </x:c>
      <x:c r="V180" s="15" t="str">
        <x:v>2-тижневий discovery: запросити вимоги 1 активного проєкту + 1 знеособлений артефакт</x:v>
      </x:c>
      <x:c r="W180" s="15" t="str">
        <x:v>Комерційний директор; керівник проєктів; головний технолог / ПТО</x:v>
      </x:c>
      <x:c r="X180" s="15" t="str">
        <x:v>Публічний кейс реконструкції промислових очисних споруд. Пошуковий результат веде на індексовану сторінку корпоративного домену: Реконструкція очисних споруд — AQUATEC.</x:v>
      </x:c>
      <x:c r="Y180" s="15" t="str">
        <x:v>Трубопроводи, закладні, резервуари, мембрани й пусконалагодження потребують поетапних актів, фото та протоколів.</x:v>
      </x:c>
      <x:c r="Z180" s="15" t="str">
        <x:v>https://aquatec.in.ua/solutions/rekonstruktsiya-ochisnikh-sporud-pidpriyemstva-kropivnitskiy</x:v>
      </x:c>
      <x:c r="AA180" s="14" t="str"/>
      <x:c r="AB180" s="14" t="str">
        <x:v>2026-08-24</x:v>
      </x:c>
      <x:c r="AC180" s="14" t="str">
        <x:v>Олександр</x:v>
      </x:c>
      <x:c r="AD180" s="20" t="str"/>
      <x:c r="AE180" s="14" t="str"/>
      <x:c r="AF180" s="14" t="n">
        <x:v>0</x:v>
      </x:c>
      <x:c r="AG180" s="14" t="str">
        <x:v>—</x:v>
      </x:c>
      <x:c r="AH180" s="14" t="n">
        <x:v>0</x:v>
      </x:c>
      <x:c r="AI180" s="14" t="n">
        <x:v>0</x:v>
      </x:c>
      <x:c r="AJ180" s="18" t="n">
        <x:v>0</x:v>
      </x:c>
      <x:c r="AK180" s="14" t="str"/>
      <x:c r="AL180" s="19" t="str"/>
      <x:c r="AM180" s="19" t="str"/>
      <x:c r="AN180" s="15" t="str"/>
      <x:c r="AO180" s="15" t="str">
        <x:v>google_index_verified_2026-08-24</x:v>
      </x:c>
    </x:row>
    <x:row r="181">
      <x:c r="A181" s="14" t="str">
        <x:v>W2-012</x:v>
      </x:c>
      <x:c r="B181" s="14" t="str">
        <x:v>Проєктний сигнал — 24.08</x:v>
      </x:c>
      <x:c r="C181" s="14" t="str">
        <x:v>ONSS</x:v>
      </x:c>
      <x:c r="D181" s="14" t="str">
        <x:v>Водоочищення та очисні споруди</x:v>
      </x:c>
      <x:c r="E181" s="14" t="str">
        <x:v>Expansion discovery</x:v>
      </x:c>
      <x:c r="F181" s="17" t="str">
        <x:f>IF(E181="Pilot now",IF(P181&gt;=84,"P1",IF(P181&gt;=72,"P2","P3")),IF(E181="Expansion discovery",IF(Q181&gt;=88,"D1",IF(Q181&gt;=78,"D2","D3")),IF(E181="Later / requirements","L","Legacy")))</x:f>
        <x:v>D1</x:v>
      </x:c>
      <x:c r="G181" s="14" t="str">
        <x:v>onss.com.ua</x:v>
      </x:c>
      <x:c r="H181" s="14" t="str">
        <x:v>2-тижневий workflow discovery — потрібні вимоги одного проєкту</x:v>
      </x:c>
      <x:c r="I181" s="16" t="n">
        <x:v>1</x:v>
      </x:c>
      <x:c r="J181" s="16" t="n">
        <x:v>5</x:v>
      </x:c>
      <x:c r="K181" s="16" t="n">
        <x:v>5</x:v>
      </x:c>
      <x:c r="L181" s="16" t="n">
        <x:v>4</x:v>
      </x:c>
      <x:c r="M181" s="16" t="n">
        <x:v>5</x:v>
      </x:c>
      <x:c r="N181" s="16" t="n">
        <x:v>5</x:v>
      </x:c>
      <x:c r="O181" s="16" t="n">
        <x:v>5</x:v>
      </x:c>
      <x:c r="P181" s="16" t="n">
        <x:f>IF(COUNT(I181:O181)&lt;7,"",I181*8+J181*3+K181*2+L181*2+M181*2+N181*2+O181)</x:f>
        <x:v>66</x:v>
      </x:c>
      <x:c r="Q181" s="16" t="n">
        <x:f>IF(COUNT(J181:O181)&lt;6,"",J181*5+K181*4+M181*4+L181*3+N181*2+O181*2)</x:f>
        <x:v>97</x:v>
      </x:c>
      <x:c r="R181" s="14" t="str">
        <x:v>high</x:v>
      </x:c>
      <x:c r="S181" s="14" t="str">
        <x:v>google_index_verified_2026-08-24</x:v>
      </x:c>
      <x:c r="T181" s="14" t="str">
        <x:v>indexed_official_service_page</x:v>
      </x:c>
      <x:c r="U181" s="14" t="str">
        <x:v>Новий — не контактували</x:v>
      </x:c>
      <x:c r="V181" s="15" t="str">
        <x:v>2-тижневий discovery: запросити вимоги 1 активного проєкту + 1 знеособлений артефакт</x:v>
      </x:c>
      <x:c r="W181" s="15" t="str">
        <x:v>Комерційний директор; керівник проєктів; головний технолог / ПТО</x:v>
      </x:c>
      <x:c r="X181" s="15" t="str">
        <x:v>Водоочищення під ключ. Пошуковий результат веде на індексовану сторінку корпоративного домену: Проєктування систем водоочищення під ключ — ONSS.</x:v>
      </x:c>
      <x:c r="Y181" s="15" t="str">
        <x:v>Трубопроводи, закладні, резервуари, мембрани й пусконалагодження потребують поетапних актів, фото та протоколів.</x:v>
      </x:c>
      <x:c r="Z181" s="15" t="str">
        <x:v>https://onss.com.ua/poslugy/proyektuvannya-system-vodoochyshhennya/</x:v>
      </x:c>
      <x:c r="AA181" s="14" t="str"/>
      <x:c r="AB181" s="14" t="str">
        <x:v>2026-08-24</x:v>
      </x:c>
      <x:c r="AC181" s="14" t="str">
        <x:v>Олександр</x:v>
      </x:c>
      <x:c r="AD181" s="20" t="str"/>
      <x:c r="AE181" s="14" t="str"/>
      <x:c r="AF181" s="14" t="n">
        <x:v>0</x:v>
      </x:c>
      <x:c r="AG181" s="14" t="str">
        <x:v>—</x:v>
      </x:c>
      <x:c r="AH181" s="14" t="n">
        <x:v>0</x:v>
      </x:c>
      <x:c r="AI181" s="14" t="n">
        <x:v>0</x:v>
      </x:c>
      <x:c r="AJ181" s="18" t="n">
        <x:v>0</x:v>
      </x:c>
      <x:c r="AK181" s="14" t="str"/>
      <x:c r="AL181" s="19" t="str"/>
      <x:c r="AM181" s="19" t="str"/>
      <x:c r="AN181" s="15" t="str"/>
      <x:c r="AO181" s="15" t="str">
        <x:v>google_index_verified_2026-08-24</x:v>
      </x:c>
    </x:row>
    <x:row r="182">
      <x:c r="A182" s="14" t="str">
        <x:v>W2-013</x:v>
      </x:c>
      <x:c r="B182" s="14" t="str">
        <x:v>Проєктний сигнал — 24.08</x:v>
      </x:c>
      <x:c r="C182" s="14" t="str">
        <x:v>AQUANTIS</x:v>
      </x:c>
      <x:c r="D182" s="14" t="str">
        <x:v>Водоочищення та очисні споруди</x:v>
      </x:c>
      <x:c r="E182" s="14" t="str">
        <x:v>Expansion discovery</x:v>
      </x:c>
      <x:c r="F182" s="17" t="str">
        <x:f>IF(E182="Pilot now",IF(P182&gt;=84,"P1",IF(P182&gt;=72,"P2","P3")),IF(E182="Expansion discovery",IF(Q182&gt;=88,"D1",IF(Q182&gt;=78,"D2","D3")),IF(E182="Later / requirements","L","Legacy")))</x:f>
        <x:v>D1</x:v>
      </x:c>
      <x:c r="G182" s="14" t="str">
        <x:v>aquantis.com.ua</x:v>
      </x:c>
      <x:c r="H182" s="14" t="str">
        <x:v>2-тижневий workflow discovery — потрібні вимоги одного проєкту</x:v>
      </x:c>
      <x:c r="I182" s="16" t="n">
        <x:v>1</x:v>
      </x:c>
      <x:c r="J182" s="16" t="n">
        <x:v>5</x:v>
      </x:c>
      <x:c r="K182" s="16" t="n">
        <x:v>5</x:v>
      </x:c>
      <x:c r="L182" s="16" t="n">
        <x:v>4</x:v>
      </x:c>
      <x:c r="M182" s="16" t="n">
        <x:v>5</x:v>
      </x:c>
      <x:c r="N182" s="16" t="n">
        <x:v>5</x:v>
      </x:c>
      <x:c r="O182" s="16" t="n">
        <x:v>5</x:v>
      </x:c>
      <x:c r="P182" s="16" t="n">
        <x:f>IF(COUNT(I182:O182)&lt;7,"",I182*8+J182*3+K182*2+L182*2+M182*2+N182*2+O182)</x:f>
        <x:v>66</x:v>
      </x:c>
      <x:c r="Q182" s="16" t="n">
        <x:f>IF(COUNT(J182:O182)&lt;6,"",J182*5+K182*4+M182*4+L182*3+N182*2+O182*2)</x:f>
        <x:v>97</x:v>
      </x:c>
      <x:c r="R182" s="14" t="str">
        <x:v>high</x:v>
      </x:c>
      <x:c r="S182" s="14" t="str">
        <x:v>google_index_verified_2026-08-24</x:v>
      </x:c>
      <x:c r="T182" s="14" t="str">
        <x:v>indexed_official_service_page</x:v>
      </x:c>
      <x:c r="U182" s="14" t="str">
        <x:v>Новий — не контактували</x:v>
      </x:c>
      <x:c r="V182" s="15" t="str">
        <x:v>2-тижневий discovery: запросити вимоги 1 активного проєкту + 1 знеособлений артефакт</x:v>
      </x:c>
      <x:c r="W182" s="15" t="str">
        <x:v>Комерційний директор; керівник проєктів; головний технолог / ПТО</x:v>
      </x:c>
      <x:c r="X182" s="15" t="str">
        <x:v>Компанія з очисних споруд. Пошуковий результат веде на індексовану сторінку корпоративного домену: AQUANTIS — очисні споруди.</x:v>
      </x:c>
      <x:c r="Y182" s="15" t="str">
        <x:v>Трубопроводи, закладні, резервуари, мембрани й пусконалагодження потребують поетапних актів, фото та протоколів.</x:v>
      </x:c>
      <x:c r="Z182" s="15" t="str">
        <x:v>https://aquantis.com.ua/uk/page/company</x:v>
      </x:c>
      <x:c r="AA182" s="14" t="str"/>
      <x:c r="AB182" s="14" t="str">
        <x:v>2026-08-24</x:v>
      </x:c>
      <x:c r="AC182" s="14" t="str">
        <x:v>Олександр</x:v>
      </x:c>
      <x:c r="AD182" s="20" t="str"/>
      <x:c r="AE182" s="14" t="str"/>
      <x:c r="AF182" s="14" t="n">
        <x:v>0</x:v>
      </x:c>
      <x:c r="AG182" s="14" t="str">
        <x:v>—</x:v>
      </x:c>
      <x:c r="AH182" s="14" t="n">
        <x:v>0</x:v>
      </x:c>
      <x:c r="AI182" s="14" t="n">
        <x:v>0</x:v>
      </x:c>
      <x:c r="AJ182" s="18" t="n">
        <x:v>0</x:v>
      </x:c>
      <x:c r="AK182" s="14" t="str"/>
      <x:c r="AL182" s="19" t="str"/>
      <x:c r="AM182" s="19" t="str"/>
      <x:c r="AN182" s="15" t="str"/>
      <x:c r="AO182" s="15" t="str">
        <x:v>google_index_verified_2026-08-24</x:v>
      </x:c>
    </x:row>
    <x:row r="183">
      <x:c r="A183" s="14" t="str">
        <x:v>W2-014</x:v>
      </x:c>
      <x:c r="B183" s="14" t="str">
        <x:v>Проєктний сигнал — 24.08</x:v>
      </x:c>
      <x:c r="C183" s="14" t="str">
        <x:v>Акваторія</x:v>
      </x:c>
      <x:c r="D183" s="14" t="str">
        <x:v>Водоочищення та очисні споруди</x:v>
      </x:c>
      <x:c r="E183" s="14" t="str">
        <x:v>Expansion discovery</x:v>
      </x:c>
      <x:c r="F183" s="17" t="str">
        <x:f>IF(E183="Pilot now",IF(P183&gt;=84,"P1",IF(P183&gt;=72,"P2","P3")),IF(E183="Expansion discovery",IF(Q183&gt;=88,"D1",IF(Q183&gt;=78,"D2","D3")),IF(E183="Later / requirements","L","Legacy")))</x:f>
        <x:v>D1</x:v>
      </x:c>
      <x:c r="G183" s="14" t="str">
        <x:v>aquatoria.kiev.ua</x:v>
      </x:c>
      <x:c r="H183" s="14" t="str">
        <x:v>2-тижневий workflow discovery — потрібні вимоги одного проєкту</x:v>
      </x:c>
      <x:c r="I183" s="16" t="n">
        <x:v>1</x:v>
      </x:c>
      <x:c r="J183" s="16" t="n">
        <x:v>5</x:v>
      </x:c>
      <x:c r="K183" s="16" t="n">
        <x:v>5</x:v>
      </x:c>
      <x:c r="L183" s="16" t="n">
        <x:v>4</x:v>
      </x:c>
      <x:c r="M183" s="16" t="n">
        <x:v>5</x:v>
      </x:c>
      <x:c r="N183" s="16" t="n">
        <x:v>5</x:v>
      </x:c>
      <x:c r="O183" s="16" t="n">
        <x:v>5</x:v>
      </x:c>
      <x:c r="P183" s="16" t="n">
        <x:f>IF(COUNT(I183:O183)&lt;7,"",I183*8+J183*3+K183*2+L183*2+M183*2+N183*2+O183)</x:f>
        <x:v>66</x:v>
      </x:c>
      <x:c r="Q183" s="16" t="n">
        <x:f>IF(COUNT(J183:O183)&lt;6,"",J183*5+K183*4+M183*4+L183*3+N183*2+O183*2)</x:f>
        <x:v>97</x:v>
      </x:c>
      <x:c r="R183" s="14" t="str">
        <x:v>high</x:v>
      </x:c>
      <x:c r="S183" s="14" t="str">
        <x:v>google_index_verified_2026-08-24</x:v>
      </x:c>
      <x:c r="T183" s="14" t="str">
        <x:v>indexed_official_service_page</x:v>
      </x:c>
      <x:c r="U183" s="14" t="str">
        <x:v>Новий — не контактували</x:v>
      </x:c>
      <x:c r="V183" s="15" t="str">
        <x:v>2-тижневий discovery: запросити вимоги 1 активного проєкту + 1 знеособлений артефакт</x:v>
      </x:c>
      <x:c r="W183" s="15" t="str">
        <x:v>Комерційний директор; керівник проєктів; головний технолог / ПТО</x:v>
      </x:c>
      <x:c r="X183" s="15" t="str">
        <x:v>Монтаж локальних очисних споруд. Пошуковий результат веде на індексовану сторінку корпоративного домену: Монтаж локальних очисних споруд — Акваторія.</x:v>
      </x:c>
      <x:c r="Y183" s="15" t="str">
        <x:v>Трубопроводи, закладні, резервуари, мембрани й пусконалагодження потребують поетапних актів, фото та протоколів.</x:v>
      </x:c>
      <x:c r="Z183" s="15" t="str">
        <x:v>https://aquatoria.kiev.ua/avtonomna-kanalizatsiia/montazh-lokalnykh-ochysnykh-sporud</x:v>
      </x:c>
      <x:c r="AA183" s="14" t="str"/>
      <x:c r="AB183" s="14" t="str">
        <x:v>2026-08-24</x:v>
      </x:c>
      <x:c r="AC183" s="14" t="str">
        <x:v>Олександр</x:v>
      </x:c>
      <x:c r="AD183" s="20" t="str"/>
      <x:c r="AE183" s="14" t="str"/>
      <x:c r="AF183" s="14" t="n">
        <x:v>0</x:v>
      </x:c>
      <x:c r="AG183" s="14" t="str">
        <x:v>—</x:v>
      </x:c>
      <x:c r="AH183" s="14" t="n">
        <x:v>0</x:v>
      </x:c>
      <x:c r="AI183" s="14" t="n">
        <x:v>0</x:v>
      </x:c>
      <x:c r="AJ183" s="18" t="n">
        <x:v>0</x:v>
      </x:c>
      <x:c r="AK183" s="14" t="str"/>
      <x:c r="AL183" s="19" t="str"/>
      <x:c r="AM183" s="19" t="str"/>
      <x:c r="AN183" s="15" t="str"/>
      <x:c r="AO183" s="15" t="str">
        <x:v>google_index_verified_2026-08-24</x:v>
      </x:c>
    </x:row>
    <x:row r="184">
      <x:c r="A184" s="14" t="str">
        <x:v>W2-015</x:v>
      </x:c>
      <x:c r="B184" s="14" t="str">
        <x:v>Проєктний сигнал — 24.08</x:v>
      </x:c>
      <x:c r="C184" s="14" t="str">
        <x:v>AMM Project</x:v>
      </x:c>
      <x:c r="D184" s="14" t="str">
        <x:v>Промислова автоматизація / SCADA</x:v>
      </x:c>
      <x:c r="E184" s="14" t="str">
        <x:v>Expansion discovery</x:v>
      </x:c>
      <x:c r="F184" s="17" t="str">
        <x:f>IF(E184="Pilot now",IF(P184&gt;=84,"P1",IF(P184&gt;=72,"P2","P3")),IF(E184="Expansion discovery",IF(Q184&gt;=88,"D1",IF(Q184&gt;=78,"D2","D3")),IF(E184="Later / requirements","L","Legacy")))</x:f>
        <x:v>D1</x:v>
      </x:c>
      <x:c r="G184" s="14" t="str">
        <x:v>ammproject.com.ua</x:v>
      </x:c>
      <x:c r="H184" s="14" t="str">
        <x:v>2-тижневий workflow discovery — потрібні вимоги одного проєкту</x:v>
      </x:c>
      <x:c r="I184" s="16" t="n">
        <x:v>1</x:v>
      </x:c>
      <x:c r="J184" s="16" t="n">
        <x:v>5</x:v>
      </x:c>
      <x:c r="K184" s="16" t="n">
        <x:v>4</x:v>
      </x:c>
      <x:c r="L184" s="16" t="n">
        <x:v>4</x:v>
      </x:c>
      <x:c r="M184" s="16" t="n">
        <x:v>5</x:v>
      </x:c>
      <x:c r="N184" s="16" t="n">
        <x:v>5</x:v>
      </x:c>
      <x:c r="O184" s="16" t="n">
        <x:v>5</x:v>
      </x:c>
      <x:c r="P184" s="16" t="n">
        <x:f>IF(COUNT(I184:O184)&lt;7,"",I184*8+J184*3+K184*2+L184*2+M184*2+N184*2+O184)</x:f>
        <x:v>64</x:v>
      </x:c>
      <x:c r="Q184" s="16" t="n">
        <x:f>IF(COUNT(J184:O184)&lt;6,"",J184*5+K184*4+M184*4+L184*3+N184*2+O184*2)</x:f>
        <x:v>93</x:v>
      </x:c>
      <x:c r="R184" s="14" t="str">
        <x:v>high</x:v>
      </x:c>
      <x:c r="S184" s="14" t="str">
        <x:v>google_index_verified_2026-08-24</x:v>
      </x:c>
      <x:c r="T184" s="14" t="str">
        <x:v>indexed_official_service_page</x:v>
      </x:c>
      <x:c r="U184" s="14" t="str">
        <x:v>Новий — не контактували</x:v>
      </x:c>
      <x:c r="V184" s="15" t="str">
        <x:v>2-тижневий discovery: запросити вимоги 1 активного проєкту + 1 знеособлений артефакт</x:v>
      </x:c>
      <x:c r="W184" s="15" t="str">
        <x:v>Комерційний директор; керівник проєктів АСК ТП; керівник пусконалагодження</x:v>
      </x:c>
      <x:c r="X184" s="15" t="str">
        <x:v>Промислова автоматизація та інженерні проєкти. Пошуковий результат веде на індексовану сторінку корпоративного домену: Автоматизація — AMM Project.</x:v>
      </x:c>
      <x:c r="Y184" s="15" t="str">
        <x:v>Шафи, кабелі, маркування, loop-check та FAT/SAT створюють пакет доказів між монтажем, ПНР і замовником.</x:v>
      </x:c>
      <x:c r="Z184" s="15" t="str">
        <x:v>https://ammproject.com.ua/posluhy/avtomatyzacia/</x:v>
      </x:c>
      <x:c r="AA184" s="14" t="str"/>
      <x:c r="AB184" s="14" t="str">
        <x:v>2026-08-24</x:v>
      </x:c>
      <x:c r="AC184" s="14" t="str">
        <x:v>Олександр</x:v>
      </x:c>
      <x:c r="AD184" s="20" t="str"/>
      <x:c r="AE184" s="14" t="str"/>
      <x:c r="AF184" s="14" t="n">
        <x:v>0</x:v>
      </x:c>
      <x:c r="AG184" s="14" t="str">
        <x:v>—</x:v>
      </x:c>
      <x:c r="AH184" s="14" t="n">
        <x:v>0</x:v>
      </x:c>
      <x:c r="AI184" s="14" t="n">
        <x:v>0</x:v>
      </x:c>
      <x:c r="AJ184" s="18" t="n">
        <x:v>0</x:v>
      </x:c>
      <x:c r="AK184" s="14" t="str"/>
      <x:c r="AL184" s="19" t="str"/>
      <x:c r="AM184" s="19" t="str"/>
      <x:c r="AN184" s="15" t="str"/>
      <x:c r="AO184" s="15" t="str">
        <x:v>google_index_verified_2026-08-24</x:v>
      </x:c>
    </x:row>
    <x:row r="185">
      <x:c r="A185" s="14" t="str">
        <x:v>W2-016</x:v>
      </x:c>
      <x:c r="B185" s="14" t="str">
        <x:v>Проєктний сигнал — 24.08</x:v>
      </x:c>
      <x:c r="C185" s="14" t="str">
        <x:v>Intecracy Group</x:v>
      </x:c>
      <x:c r="D185" s="14" t="str">
        <x:v>Промислова автоматизація / SCADA</x:v>
      </x:c>
      <x:c r="E185" s="14" t="str">
        <x:v>Expansion discovery</x:v>
      </x:c>
      <x:c r="F185" s="17" t="str">
        <x:f>IF(E185="Pilot now",IF(P185&gt;=84,"P1",IF(P185&gt;=72,"P2","P3")),IF(E185="Expansion discovery",IF(Q185&gt;=88,"D1",IF(Q185&gt;=78,"D2","D3")),IF(E185="Later / requirements","L","Legacy")))</x:f>
        <x:v>D1</x:v>
      </x:c>
      <x:c r="G185" s="14" t="str">
        <x:v>intecracy.com</x:v>
      </x:c>
      <x:c r="H185" s="14" t="str">
        <x:v>2-тижневий workflow discovery — потрібні вимоги одного проєкту</x:v>
      </x:c>
      <x:c r="I185" s="16" t="n">
        <x:v>1</x:v>
      </x:c>
      <x:c r="J185" s="16" t="n">
        <x:v>5</x:v>
      </x:c>
      <x:c r="K185" s="16" t="n">
        <x:v>4</x:v>
      </x:c>
      <x:c r="L185" s="16" t="n">
        <x:v>4</x:v>
      </x:c>
      <x:c r="M185" s="16" t="n">
        <x:v>5</x:v>
      </x:c>
      <x:c r="N185" s="16" t="n">
        <x:v>5</x:v>
      </x:c>
      <x:c r="O185" s="16" t="n">
        <x:v>5</x:v>
      </x:c>
      <x:c r="P185" s="16" t="n">
        <x:f>IF(COUNT(I185:O185)&lt;7,"",I185*8+J185*3+K185*2+L185*2+M185*2+N185*2+O185)</x:f>
        <x:v>64</x:v>
      </x:c>
      <x:c r="Q185" s="16" t="n">
        <x:f>IF(COUNT(J185:O185)&lt;6,"",J185*5+K185*4+M185*4+L185*3+N185*2+O185*2)</x:f>
        <x:v>93</x:v>
      </x:c>
      <x:c r="R185" s="14" t="str">
        <x:v>high</x:v>
      </x:c>
      <x:c r="S185" s="14" t="str">
        <x:v>google_index_verified_2026-08-24</x:v>
      </x:c>
      <x:c r="T185" s="14" t="str">
        <x:v>indexed_official_service_page</x:v>
      </x:c>
      <x:c r="U185" s="14" t="str">
        <x:v>Новий — не контактували</x:v>
      </x:c>
      <x:c r="V185" s="15" t="str">
        <x:v>2-тижневий discovery: запросити вимоги 1 активного проєкту + 1 знеособлений артефакт</x:v>
      </x:c>
      <x:c r="W185" s="15" t="str">
        <x:v>Комерційний директор; керівник проєктів АСК ТП; керівник пусконалагодження</x:v>
      </x:c>
      <x:c r="X185" s="15" t="str">
        <x:v>IIoT і SCADA інтеграція. Пошуковий результат веде на індексовану сторінку корпоративного домену: IoT та промислова автоматизація — Intecracy Group.</x:v>
      </x:c>
      <x:c r="Y185" s="15" t="str">
        <x:v>Шафи, кабелі, маркування, loop-check та FAT/SAT створюють пакет доказів між монтажем, ПНР і замовником.</x:v>
      </x:c>
      <x:c r="Z185" s="15" t="str">
        <x:v>https://intecracy.com/iot-industrial/</x:v>
      </x:c>
      <x:c r="AA185" s="14" t="str"/>
      <x:c r="AB185" s="14" t="str">
        <x:v>2026-08-24</x:v>
      </x:c>
      <x:c r="AC185" s="14" t="str">
        <x:v>Олександр</x:v>
      </x:c>
      <x:c r="AD185" s="20" t="str"/>
      <x:c r="AE185" s="14" t="str"/>
      <x:c r="AF185" s="14" t="n">
        <x:v>0</x:v>
      </x:c>
      <x:c r="AG185" s="14" t="str">
        <x:v>—</x:v>
      </x:c>
      <x:c r="AH185" s="14" t="n">
        <x:v>0</x:v>
      </x:c>
      <x:c r="AI185" s="14" t="n">
        <x:v>0</x:v>
      </x:c>
      <x:c r="AJ185" s="18" t="n">
        <x:v>0</x:v>
      </x:c>
      <x:c r="AK185" s="14" t="str"/>
      <x:c r="AL185" s="19" t="str"/>
      <x:c r="AM185" s="19" t="str"/>
      <x:c r="AN185" s="15" t="str"/>
      <x:c r="AO185" s="15" t="str">
        <x:v>google_index_verified_2026-08-24</x:v>
      </x:c>
    </x:row>
    <x:row r="186">
      <x:c r="A186" s="14" t="str">
        <x:v>W2-017</x:v>
      </x:c>
      <x:c r="B186" s="14" t="str">
        <x:v>Проєктний сигнал — 24.08</x:v>
      </x:c>
      <x:c r="C186" s="14" t="str">
        <x:v>СКБ СистемА</x:v>
      </x:c>
      <x:c r="D186" s="14" t="str">
        <x:v>Промислова автоматизація / SCADA</x:v>
      </x:c>
      <x:c r="E186" s="14" t="str">
        <x:v>Expansion discovery</x:v>
      </x:c>
      <x:c r="F186" s="17" t="str">
        <x:f>IF(E186="Pilot now",IF(P186&gt;=84,"P1",IF(P186&gt;=72,"P2","P3")),IF(E186="Expansion discovery",IF(Q186&gt;=88,"D1",IF(Q186&gt;=78,"D2","D3")),IF(E186="Later / requirements","L","Legacy")))</x:f>
        <x:v>D1</x:v>
      </x:c>
      <x:c r="G186" s="14" t="str">
        <x:v>promotic.co.ua</x:v>
      </x:c>
      <x:c r="H186" s="14" t="str">
        <x:v>2-тижневий workflow discovery — потрібні вимоги одного проєкту</x:v>
      </x:c>
      <x:c r="I186" s="16" t="n">
        <x:v>1</x:v>
      </x:c>
      <x:c r="J186" s="16" t="n">
        <x:v>5</x:v>
      </x:c>
      <x:c r="K186" s="16" t="n">
        <x:v>4</x:v>
      </x:c>
      <x:c r="L186" s="16" t="n">
        <x:v>4</x:v>
      </x:c>
      <x:c r="M186" s="16" t="n">
        <x:v>5</x:v>
      </x:c>
      <x:c r="N186" s="16" t="n">
        <x:v>5</x:v>
      </x:c>
      <x:c r="O186" s="16" t="n">
        <x:v>5</x:v>
      </x:c>
      <x:c r="P186" s="16" t="n">
        <x:f>IF(COUNT(I186:O186)&lt;7,"",I186*8+J186*3+K186*2+L186*2+M186*2+N186*2+O186)</x:f>
        <x:v>64</x:v>
      </x:c>
      <x:c r="Q186" s="16" t="n">
        <x:f>IF(COUNT(J186:O186)&lt;6,"",J186*5+K186*4+M186*4+L186*3+N186*2+O186*2)</x:f>
        <x:v>93</x:v>
      </x:c>
      <x:c r="R186" s="14" t="str">
        <x:v>high</x:v>
      </x:c>
      <x:c r="S186" s="14" t="str">
        <x:v>google_index_verified_2026-08-24</x:v>
      </x:c>
      <x:c r="T186" s="14" t="str">
        <x:v>indexed_official_service_page</x:v>
      </x:c>
      <x:c r="U186" s="14" t="str">
        <x:v>Новий — не контактували</x:v>
      </x:c>
      <x:c r="V186" s="15" t="str">
        <x:v>2-тижневий discovery: запросити вимоги 1 активного проєкту + 1 знеособлений артефакт</x:v>
      </x:c>
      <x:c r="W186" s="15" t="str">
        <x:v>Комерційний директор; керівник проєктів АСК ТП; керівник пусконалагодження</x:v>
      </x:c>
      <x:c r="X186" s="15" t="str">
        <x:v>Інженерне бюро автоматизації. Пошуковий результат веде на індексовану сторінку корпоративного домену: Інженерне бюро промислової автоматизації — СКБ СистемА.</x:v>
      </x:c>
      <x:c r="Y186" s="15" t="str">
        <x:v>Шафи, кабелі, маркування, loop-check та FAT/SAT створюють пакет доказів між монтажем, ПНР і замовником.</x:v>
      </x:c>
      <x:c r="Z186" s="15" t="str">
        <x:v>https://promotic.co.ua/</x:v>
      </x:c>
      <x:c r="AA186" s="14" t="str"/>
      <x:c r="AB186" s="14" t="str">
        <x:v>2026-08-24</x:v>
      </x:c>
      <x:c r="AC186" s="14" t="str">
        <x:v>Олександр</x:v>
      </x:c>
      <x:c r="AD186" s="20" t="str"/>
      <x:c r="AE186" s="14" t="str"/>
      <x:c r="AF186" s="14" t="n">
        <x:v>0</x:v>
      </x:c>
      <x:c r="AG186" s="14" t="str">
        <x:v>—</x:v>
      </x:c>
      <x:c r="AH186" s="14" t="n">
        <x:v>0</x:v>
      </x:c>
      <x:c r="AI186" s="14" t="n">
        <x:v>0</x:v>
      </x:c>
      <x:c r="AJ186" s="18" t="n">
        <x:v>0</x:v>
      </x:c>
      <x:c r="AK186" s="14" t="str"/>
      <x:c r="AL186" s="19" t="str"/>
      <x:c r="AM186" s="19" t="str"/>
      <x:c r="AN186" s="15" t="str"/>
      <x:c r="AO186" s="15" t="str">
        <x:v>google_index_verified_2026-08-24</x:v>
      </x:c>
    </x:row>
    <x:row r="187">
      <x:c r="A187" s="14" t="str">
        <x:v>W2-018</x:v>
      </x:c>
      <x:c r="B187" s="14" t="str">
        <x:v>Проєктний сигнал — 24.08</x:v>
      </x:c>
      <x:c r="C187" s="14" t="str">
        <x:v>Променерго</x:v>
      </x:c>
      <x:c r="D187" s="14" t="str">
        <x:v>Промислова автоматизація / SCADA</x:v>
      </x:c>
      <x:c r="E187" s="14" t="str">
        <x:v>Expansion discovery</x:v>
      </x:c>
      <x:c r="F187" s="17" t="str">
        <x:f>IF(E187="Pilot now",IF(P187&gt;=84,"P1",IF(P187&gt;=72,"P2","P3")),IF(E187="Expansion discovery",IF(Q187&gt;=88,"D1",IF(Q187&gt;=78,"D2","D3")),IF(E187="Later / requirements","L","Legacy")))</x:f>
        <x:v>D1</x:v>
      </x:c>
      <x:c r="G187" s="14" t="str">
        <x:v>promenergo.dp.ua</x:v>
      </x:c>
      <x:c r="H187" s="14" t="str">
        <x:v>2-тижневий workflow discovery — потрібні вимоги одного проєкту</x:v>
      </x:c>
      <x:c r="I187" s="16" t="n">
        <x:v>1</x:v>
      </x:c>
      <x:c r="J187" s="16" t="n">
        <x:v>5</x:v>
      </x:c>
      <x:c r="K187" s="16" t="n">
        <x:v>4</x:v>
      </x:c>
      <x:c r="L187" s="16" t="n">
        <x:v>4</x:v>
      </x:c>
      <x:c r="M187" s="16" t="n">
        <x:v>5</x:v>
      </x:c>
      <x:c r="N187" s="16" t="n">
        <x:v>5</x:v>
      </x:c>
      <x:c r="O187" s="16" t="n">
        <x:v>5</x:v>
      </x:c>
      <x:c r="P187" s="16" t="n">
        <x:f>IF(COUNT(I187:O187)&lt;7,"",I187*8+J187*3+K187*2+L187*2+M187*2+N187*2+O187)</x:f>
        <x:v>64</x:v>
      </x:c>
      <x:c r="Q187" s="16" t="n">
        <x:f>IF(COUNT(J187:O187)&lt;6,"",J187*5+K187*4+M187*4+L187*3+N187*2+O187*2)</x:f>
        <x:v>93</x:v>
      </x:c>
      <x:c r="R187" s="14" t="str">
        <x:v>high</x:v>
      </x:c>
      <x:c r="S187" s="14" t="str">
        <x:v>google_index_verified_2026-08-24</x:v>
      </x:c>
      <x:c r="T187" s="14" t="str">
        <x:v>indexed_official_service_page</x:v>
      </x:c>
      <x:c r="U187" s="14" t="str">
        <x:v>Новий — не контактували</x:v>
      </x:c>
      <x:c r="V187" s="15" t="str">
        <x:v>2-тижневий discovery: запросити вимоги 1 активного проєкту + 1 знеособлений артефакт</x:v>
      </x:c>
      <x:c r="W187" s="15" t="str">
        <x:v>Комерційний директор; керівник проєктів АСК ТП; керівник пусконалагодження</x:v>
      </x:c>
      <x:c r="X187" s="15" t="str">
        <x:v>Публічне портфоліо проєктів автоматизації. Пошуковий результат веде на індексовану сторінку корпоративного домену: Реалізовані проєкти з промислової автоматизації — Променерго.</x:v>
      </x:c>
      <x:c r="Y187" s="15" t="str">
        <x:v>Шафи, кабелі, маркування, loop-check та FAT/SAT створюють пакет доказів між монтажем, ПНР і замовником.</x:v>
      </x:c>
      <x:c r="Z187" s="15" t="str">
        <x:v>https://promenergo.dp.ua/projects</x:v>
      </x:c>
      <x:c r="AA187" s="14" t="str"/>
      <x:c r="AB187" s="14" t="str">
        <x:v>2026-08-24</x:v>
      </x:c>
      <x:c r="AC187" s="14" t="str">
        <x:v>Олександр</x:v>
      </x:c>
      <x:c r="AD187" s="20" t="str"/>
      <x:c r="AE187" s="14" t="str"/>
      <x:c r="AF187" s="14" t="n">
        <x:v>0</x:v>
      </x:c>
      <x:c r="AG187" s="14" t="str">
        <x:v>—</x:v>
      </x:c>
      <x:c r="AH187" s="14" t="n">
        <x:v>0</x:v>
      </x:c>
      <x:c r="AI187" s="14" t="n">
        <x:v>0</x:v>
      </x:c>
      <x:c r="AJ187" s="18" t="n">
        <x:v>0</x:v>
      </x:c>
      <x:c r="AK187" s="14" t="str"/>
      <x:c r="AL187" s="19" t="str"/>
      <x:c r="AM187" s="19" t="str"/>
      <x:c r="AN187" s="15" t="str"/>
      <x:c r="AO187" s="15" t="str">
        <x:v>google_index_verified_2026-08-24</x:v>
      </x:c>
    </x:row>
    <x:row r="188">
      <x:c r="A188" s="14" t="str">
        <x:v>W2-019</x:v>
      </x:c>
      <x:c r="B188" s="14" t="str">
        <x:v>Проєктний сигнал — 24.08</x:v>
      </x:c>
      <x:c r="C188" s="14" t="str">
        <x:v>ELAKS</x:v>
      </x:c>
      <x:c r="D188" s="14" t="str">
        <x:v>Промислова автоматизація / SCADA</x:v>
      </x:c>
      <x:c r="E188" s="14" t="str">
        <x:v>Expansion discovery</x:v>
      </x:c>
      <x:c r="F188" s="17" t="str">
        <x:f>IF(E188="Pilot now",IF(P188&gt;=84,"P1",IF(P188&gt;=72,"P2","P3")),IF(E188="Expansion discovery",IF(Q188&gt;=88,"D1",IF(Q188&gt;=78,"D2","D3")),IF(E188="Later / requirements","L","Legacy")))</x:f>
        <x:v>D1</x:v>
      </x:c>
      <x:c r="G188" s="14" t="str">
        <x:v>elaks.ua</x:v>
      </x:c>
      <x:c r="H188" s="14" t="str">
        <x:v>2-тижневий workflow discovery — потрібні вимоги одного проєкту</x:v>
      </x:c>
      <x:c r="I188" s="16" t="n">
        <x:v>1</x:v>
      </x:c>
      <x:c r="J188" s="16" t="n">
        <x:v>5</x:v>
      </x:c>
      <x:c r="K188" s="16" t="n">
        <x:v>4</x:v>
      </x:c>
      <x:c r="L188" s="16" t="n">
        <x:v>4</x:v>
      </x:c>
      <x:c r="M188" s="16" t="n">
        <x:v>5</x:v>
      </x:c>
      <x:c r="N188" s="16" t="n">
        <x:v>5</x:v>
      </x:c>
      <x:c r="O188" s="16" t="n">
        <x:v>5</x:v>
      </x:c>
      <x:c r="P188" s="16" t="n">
        <x:f>IF(COUNT(I188:O188)&lt;7,"",I188*8+J188*3+K188*2+L188*2+M188*2+N188*2+O188)</x:f>
        <x:v>64</x:v>
      </x:c>
      <x:c r="Q188" s="16" t="n">
        <x:f>IF(COUNT(J188:O188)&lt;6,"",J188*5+K188*4+M188*4+L188*3+N188*2+O188*2)</x:f>
        <x:v>93</x:v>
      </x:c>
      <x:c r="R188" s="14" t="str">
        <x:v>high</x:v>
      </x:c>
      <x:c r="S188" s="14" t="str">
        <x:v>google_index_verified_2026-08-24</x:v>
      </x:c>
      <x:c r="T188" s="14" t="str">
        <x:v>indexed_official_service_page</x:v>
      </x:c>
      <x:c r="U188" s="14" t="str">
        <x:v>Новий — не контактували</x:v>
      </x:c>
      <x:c r="V188" s="15" t="str">
        <x:v>2-тижневий discovery: запросити вимоги 1 активного проєкту + 1 знеособлений артефакт</x:v>
      </x:c>
      <x:c r="W188" s="15" t="str">
        <x:v>Комерційний директор; керівник проєктів АСК ТП; керівник пусконалагодження</x:v>
      </x:c>
      <x:c r="X188" s="15" t="str">
        <x:v>SCADA, АСК ТП і пусконалагодження. Пошуковий результат веде на індексовану сторінку корпоративного домену: АСК ТП, SCADA та електроприводи — ELAKS.</x:v>
      </x:c>
      <x:c r="Y188" s="15" t="str">
        <x:v>Шафи, кабелі, маркування, loop-check та FAT/SAT створюють пакет доказів між монтажем, ПНР і замовником.</x:v>
      </x:c>
      <x:c r="Z188" s="15" t="str">
        <x:v>https://elaks.ua/promislovist/ask-tp-ta-elektroprivod-scada</x:v>
      </x:c>
      <x:c r="AA188" s="14" t="str"/>
      <x:c r="AB188" s="14" t="str">
        <x:v>2026-08-24</x:v>
      </x:c>
      <x:c r="AC188" s="14" t="str">
        <x:v>Олександр</x:v>
      </x:c>
      <x:c r="AD188" s="20" t="str"/>
      <x:c r="AE188" s="14" t="str"/>
      <x:c r="AF188" s="14" t="n">
        <x:v>0</x:v>
      </x:c>
      <x:c r="AG188" s="14" t="str">
        <x:v>—</x:v>
      </x:c>
      <x:c r="AH188" s="14" t="n">
        <x:v>0</x:v>
      </x:c>
      <x:c r="AI188" s="14" t="n">
        <x:v>0</x:v>
      </x:c>
      <x:c r="AJ188" s="18" t="n">
        <x:v>0</x:v>
      </x:c>
      <x:c r="AK188" s="14" t="str"/>
      <x:c r="AL188" s="19" t="str"/>
      <x:c r="AM188" s="19" t="str"/>
      <x:c r="AN188" s="15" t="str"/>
      <x:c r="AO188" s="15" t="str">
        <x:v>google_index_verified_2026-08-24</x:v>
      </x:c>
    </x:row>
    <x:row r="189">
      <x:c r="A189" s="14" t="str">
        <x:v>W2-020</x:v>
      </x:c>
      <x:c r="B189" s="14" t="str">
        <x:v>Проєктний сигнал — 24.08</x:v>
      </x:c>
      <x:c r="C189" s="14" t="str">
        <x:v>Індастріал Автоматизація</x:v>
      </x:c>
      <x:c r="D189" s="14" t="str">
        <x:v>Промислова автоматизація / SCADA</x:v>
      </x:c>
      <x:c r="E189" s="14" t="str">
        <x:v>Expansion discovery</x:v>
      </x:c>
      <x:c r="F189" s="17" t="str">
        <x:f>IF(E189="Pilot now",IF(P189&gt;=84,"P1",IF(P189&gt;=72,"P2","P3")),IF(E189="Expansion discovery",IF(Q189&gt;=88,"D1",IF(Q189&gt;=78,"D2","D3")),IF(E189="Later / requirements","L","Legacy")))</x:f>
        <x:v>D1</x:v>
      </x:c>
      <x:c r="G189" s="14" t="str">
        <x:v>ia.ua</x:v>
      </x:c>
      <x:c r="H189" s="14" t="str">
        <x:v>2-тижневий workflow discovery — потрібні вимоги одного проєкту</x:v>
      </x:c>
      <x:c r="I189" s="16" t="n">
        <x:v>1</x:v>
      </x:c>
      <x:c r="J189" s="16" t="n">
        <x:v>5</x:v>
      </x:c>
      <x:c r="K189" s="16" t="n">
        <x:v>4</x:v>
      </x:c>
      <x:c r="L189" s="16" t="n">
        <x:v>4</x:v>
      </x:c>
      <x:c r="M189" s="16" t="n">
        <x:v>5</x:v>
      </x:c>
      <x:c r="N189" s="16" t="n">
        <x:v>5</x:v>
      </x:c>
      <x:c r="O189" s="16" t="n">
        <x:v>5</x:v>
      </x:c>
      <x:c r="P189" s="16" t="n">
        <x:f>IF(COUNT(I189:O189)&lt;7,"",I189*8+J189*3+K189*2+L189*2+M189*2+N189*2+O189)</x:f>
        <x:v>64</x:v>
      </x:c>
      <x:c r="Q189" s="16" t="n">
        <x:f>IF(COUNT(J189:O189)&lt;6,"",J189*5+K189*4+M189*4+L189*3+N189*2+O189*2)</x:f>
        <x:v>93</x:v>
      </x:c>
      <x:c r="R189" s="14" t="str">
        <x:v>high</x:v>
      </x:c>
      <x:c r="S189" s="14" t="str">
        <x:v>google_index_verified_2026-08-24</x:v>
      </x:c>
      <x:c r="T189" s="14" t="str">
        <x:v>indexed_official_service_page</x:v>
      </x:c>
      <x:c r="U189" s="14" t="str">
        <x:v>Новий — не контактували</x:v>
      </x:c>
      <x:c r="V189" s="15" t="str">
        <x:v>2-тижневий discovery: запросити вимоги 1 активного проєкту + 1 знеособлений артефакт</x:v>
      </x:c>
      <x:c r="W189" s="15" t="str">
        <x:v>Комерційний директор; керівник проєктів АСК ТП; керівник пусконалагодження</x:v>
      </x:c>
      <x:c r="X189" s="15" t="str">
        <x:v>Комплексна автоматизація та модернізація. Пошуковий результат веде на індексовану сторінку корпоративного домену: Комплексна автоматизація виробництва — IA.</x:v>
      </x:c>
      <x:c r="Y189" s="15" t="str">
        <x:v>Шафи, кабелі, маркування, loop-check та FAT/SAT створюють пакет доказів між монтажем, ПНР і замовником.</x:v>
      </x:c>
      <x:c r="Z189" s="15" t="str">
        <x:v>https://ia.ua/uk/poslygu/kompleksna-avtomatizaciya-virobnictva-promislova-avtomatizaciya-modernizaciya/</x:v>
      </x:c>
      <x:c r="AA189" s="14" t="str"/>
      <x:c r="AB189" s="14" t="str">
        <x:v>2026-08-24</x:v>
      </x:c>
      <x:c r="AC189" s="14" t="str">
        <x:v>Олександр</x:v>
      </x:c>
      <x:c r="AD189" s="20" t="str"/>
      <x:c r="AE189" s="14" t="str"/>
      <x:c r="AF189" s="14" t="n">
        <x:v>0</x:v>
      </x:c>
      <x:c r="AG189" s="14" t="str">
        <x:v>—</x:v>
      </x:c>
      <x:c r="AH189" s="14" t="n">
        <x:v>0</x:v>
      </x:c>
      <x:c r="AI189" s="14" t="n">
        <x:v>0</x:v>
      </x:c>
      <x:c r="AJ189" s="18" t="n">
        <x:v>0</x:v>
      </x:c>
      <x:c r="AK189" s="14" t="str"/>
      <x:c r="AL189" s="19" t="str"/>
      <x:c r="AM189" s="19" t="str"/>
      <x:c r="AN189" s="15" t="str"/>
      <x:c r="AO189" s="15" t="str">
        <x:v>google_index_verified_2026-08-24</x:v>
      </x:c>
    </x:row>
    <x:row r="190">
      <x:c r="A190" s="14" t="str">
        <x:v>W2-021</x:v>
      </x:c>
      <x:c r="B190" s="14" t="str">
        <x:v>Проєктний сигнал — 24.08</x:v>
      </x:c>
      <x:c r="C190" s="14" t="str">
        <x:v>Energosys</x:v>
      </x:c>
      <x:c r="D190" s="14" t="str">
        <x:v>Промислова автоматизація / SCADA</x:v>
      </x:c>
      <x:c r="E190" s="14" t="str">
        <x:v>Expansion discovery</x:v>
      </x:c>
      <x:c r="F190" s="17" t="str">
        <x:f>IF(E190="Pilot now",IF(P190&gt;=84,"P1",IF(P190&gt;=72,"P2","P3")),IF(E190="Expansion discovery",IF(Q190&gt;=88,"D1",IF(Q190&gt;=78,"D2","D3")),IF(E190="Later / requirements","L","Legacy")))</x:f>
        <x:v>D1</x:v>
      </x:c>
      <x:c r="G190" s="14" t="str">
        <x:v>energosys.com.ua</x:v>
      </x:c>
      <x:c r="H190" s="14" t="str">
        <x:v>2-тижневий workflow discovery — потрібні вимоги одного проєкту</x:v>
      </x:c>
      <x:c r="I190" s="16" t="n">
        <x:v>1</x:v>
      </x:c>
      <x:c r="J190" s="16" t="n">
        <x:v>5</x:v>
      </x:c>
      <x:c r="K190" s="16" t="n">
        <x:v>4</x:v>
      </x:c>
      <x:c r="L190" s="16" t="n">
        <x:v>4</x:v>
      </x:c>
      <x:c r="M190" s="16" t="n">
        <x:v>5</x:v>
      </x:c>
      <x:c r="N190" s="16" t="n">
        <x:v>5</x:v>
      </x:c>
      <x:c r="O190" s="16" t="n">
        <x:v>5</x:v>
      </x:c>
      <x:c r="P190" s="16" t="n">
        <x:f>IF(COUNT(I190:O190)&lt;7,"",I190*8+J190*3+K190*2+L190*2+M190*2+N190*2+O190)</x:f>
        <x:v>64</x:v>
      </x:c>
      <x:c r="Q190" s="16" t="n">
        <x:f>IF(COUNT(J190:O190)&lt;6,"",J190*5+K190*4+M190*4+L190*3+N190*2+O190*2)</x:f>
        <x:v>93</x:v>
      </x:c>
      <x:c r="R190" s="14" t="str">
        <x:v>high</x:v>
      </x:c>
      <x:c r="S190" s="14" t="str">
        <x:v>google_index_verified_2026-08-24</x:v>
      </x:c>
      <x:c r="T190" s="14" t="str">
        <x:v>indexed_official_service_page</x:v>
      </x:c>
      <x:c r="U190" s="14" t="str">
        <x:v>Новий — не контактували</x:v>
      </x:c>
      <x:c r="V190" s="15" t="str">
        <x:v>2-тижневий discovery: запросити вимоги 1 активного проєкту + 1 знеособлений артефакт</x:v>
      </x:c>
      <x:c r="W190" s="15" t="str">
        <x:v>Комерційний директор; керівник проєктів АСК ТП; керівник пусконалагодження</x:v>
      </x:c>
      <x:c r="X190" s="15" t="str">
        <x:v>Проєктування та впровадження SCADA. Пошуковий результат веде на індексовану сторінку корпоративного домену: SCADA системи — Energosys.</x:v>
      </x:c>
      <x:c r="Y190" s="15" t="str">
        <x:v>Шафи, кабелі, маркування, loop-check та FAT/SAT створюють пакет доказів між монтажем, ПНР і замовником.</x:v>
      </x:c>
      <x:c r="Z190" s="15" t="str">
        <x:v>https://energosys.com.ua/scada-systemy-ohliad/</x:v>
      </x:c>
      <x:c r="AA190" s="14" t="str"/>
      <x:c r="AB190" s="14" t="str">
        <x:v>2026-08-24</x:v>
      </x:c>
      <x:c r="AC190" s="14" t="str">
        <x:v>Олександр</x:v>
      </x:c>
      <x:c r="AD190" s="20" t="str"/>
      <x:c r="AE190" s="14" t="str"/>
      <x:c r="AF190" s="14" t="n">
        <x:v>0</x:v>
      </x:c>
      <x:c r="AG190" s="14" t="str">
        <x:v>—</x:v>
      </x:c>
      <x:c r="AH190" s="14" t="n">
        <x:v>0</x:v>
      </x:c>
      <x:c r="AI190" s="14" t="n">
        <x:v>0</x:v>
      </x:c>
      <x:c r="AJ190" s="18" t="n">
        <x:v>0</x:v>
      </x:c>
      <x:c r="AK190" s="14" t="str"/>
      <x:c r="AL190" s="19" t="str"/>
      <x:c r="AM190" s="19" t="str"/>
      <x:c r="AN190" s="15" t="str"/>
      <x:c r="AO190" s="15" t="str">
        <x:v>google_index_verified_2026-08-24</x:v>
      </x:c>
    </x:row>
    <x:row r="191">
      <x:c r="A191" s="14" t="str">
        <x:v>W2-022</x:v>
      </x:c>
      <x:c r="B191" s="14" t="str">
        <x:v>Проєктний сигнал — 24.08</x:v>
      </x:c>
      <x:c r="C191" s="14" t="str">
        <x:v>ObjectSCADA</x:v>
      </x:c>
      <x:c r="D191" s="14" t="str">
        <x:v>Промислова автоматизація / SCADA</x:v>
      </x:c>
      <x:c r="E191" s="14" t="str">
        <x:v>Expansion discovery</x:v>
      </x:c>
      <x:c r="F191" s="17" t="str">
        <x:f>IF(E191="Pilot now",IF(P191&gt;=84,"P1",IF(P191&gt;=72,"P2","P3")),IF(E191="Expansion discovery",IF(Q191&gt;=88,"D1",IF(Q191&gt;=78,"D2","D3")),IF(E191="Later / requirements","L","Legacy")))</x:f>
        <x:v>D1</x:v>
      </x:c>
      <x:c r="G191" s="14" t="str">
        <x:v>objectscada.site</x:v>
      </x:c>
      <x:c r="H191" s="14" t="str">
        <x:v>2-тижневий workflow discovery — потрібні вимоги одного проєкту</x:v>
      </x:c>
      <x:c r="I191" s="16" t="n">
        <x:v>1</x:v>
      </x:c>
      <x:c r="J191" s="16" t="n">
        <x:v>5</x:v>
      </x:c>
      <x:c r="K191" s="16" t="n">
        <x:v>4</x:v>
      </x:c>
      <x:c r="L191" s="16" t="n">
        <x:v>4</x:v>
      </x:c>
      <x:c r="M191" s="16" t="n">
        <x:v>5</x:v>
      </x:c>
      <x:c r="N191" s="16" t="n">
        <x:v>5</x:v>
      </x:c>
      <x:c r="O191" s="16" t="n">
        <x:v>4</x:v>
      </x:c>
      <x:c r="P191" s="16" t="n">
        <x:f>IF(COUNT(I191:O191)&lt;7,"",I191*8+J191*3+K191*2+L191*2+M191*2+N191*2+O191)</x:f>
        <x:v>63</x:v>
      </x:c>
      <x:c r="Q191" s="16" t="n">
        <x:f>IF(COUNT(J191:O191)&lt;6,"",J191*5+K191*4+M191*4+L191*3+N191*2+O191*2)</x:f>
        <x:v>91</x:v>
      </x:c>
      <x:c r="R191" s="14" t="str">
        <x:v>medium</x:v>
      </x:c>
      <x:c r="S191" s="14" t="str">
        <x:v>google_index_verified_manual_check_2026-08-24</x:v>
      </x:c>
      <x:c r="T191" s="14" t="str">
        <x:v>indexed_official_page_manual_check</x:v>
      </x:c>
      <x:c r="U191" s="14" t="str">
        <x:v>Новий — не контактували</x:v>
      </x:c>
      <x:c r="V191" s="15" t="str">
        <x:v>2-тижневий discovery: запросити вимоги 1 активного проєкту + 1 знеособлений артефакт</x:v>
      </x:c>
      <x:c r="W191" s="15" t="str">
        <x:v>Комерційний директор; керівник проєктів АСК ТП; керівник пусконалагодження</x:v>
      </x:c>
      <x:c r="X191" s="15" t="str">
        <x:v>Промисловий моніторинг і керування. Пошуковий результат веде на індексовану сторінку корпоративного домену: Промислова система управління та моніторингу — ObjectSCADA.</x:v>
      </x:c>
      <x:c r="Y191" s="15" t="str">
        <x:v>Шафи, кабелі, маркування, loop-check та FAT/SAT створюють пакет доказів між монтажем, ПНР і замовником.</x:v>
      </x:c>
      <x:c r="Z191" s="15" t="str">
        <x:v>https://objectscada.site/uk/</x:v>
      </x:c>
      <x:c r="AA191" s="14" t="str"/>
      <x:c r="AB191" s="14" t="str">
        <x:v>2026-08-24</x:v>
      </x:c>
      <x:c r="AC191" s="14" t="str">
        <x:v>Олександр</x:v>
      </x:c>
      <x:c r="AD191" s="20" t="str"/>
      <x:c r="AE191" s="14" t="str"/>
      <x:c r="AF191" s="14" t="n">
        <x:v>0</x:v>
      </x:c>
      <x:c r="AG191" s="14" t="str">
        <x:v>—</x:v>
      </x:c>
      <x:c r="AH191" s="14" t="n">
        <x:v>0</x:v>
      </x:c>
      <x:c r="AI191" s="14" t="n">
        <x:v>0</x:v>
      </x:c>
      <x:c r="AJ191" s="18" t="n">
        <x:v>0</x:v>
      </x:c>
      <x:c r="AK191" s="14" t="str"/>
      <x:c r="AL191" s="19" t="str"/>
      <x:c r="AM191" s="19" t="str"/>
      <x:c r="AN191" s="15" t="str"/>
      <x:c r="AO191" s="15" t="str">
        <x:v>google_index_verified_manual_check_2026-08-24</x:v>
      </x:c>
    </x:row>
    <x:row r="192">
      <x:c r="A192" s="14" t="str">
        <x:v>W2-023</x:v>
      </x:c>
      <x:c r="B192" s="14" t="str">
        <x:v>Проєктний сигнал — 24.08</x:v>
      </x:c>
      <x:c r="C192" s="14" t="str">
        <x:v>Cool Factory</x:v>
      </x:c>
      <x:c r="D192" s="14" t="str">
        <x:v>Промисловий холод</x:v>
      </x:c>
      <x:c r="E192" s="14" t="str">
        <x:v>Expansion discovery</x:v>
      </x:c>
      <x:c r="F192" s="17" t="str">
        <x:f>IF(E192="Pilot now",IF(P192&gt;=84,"P1",IF(P192&gt;=72,"P2","P3")),IF(E192="Expansion discovery",IF(Q192&gt;=88,"D1",IF(Q192&gt;=78,"D2","D3")),IF(E192="Later / requirements","L","Legacy")))</x:f>
        <x:v>D1</x:v>
      </x:c>
      <x:c r="G192" s="14" t="str">
        <x:v>cool-factory.com</x:v>
      </x:c>
      <x:c r="H192" s="14" t="str">
        <x:v>2-тижневий workflow discovery — потрібні вимоги одного проєкту</x:v>
      </x:c>
      <x:c r="I192" s="16" t="n">
        <x:v>1</x:v>
      </x:c>
      <x:c r="J192" s="16" t="n">
        <x:v>5</x:v>
      </x:c>
      <x:c r="K192" s="16" t="n">
        <x:v>5</x:v>
      </x:c>
      <x:c r="L192" s="16" t="n">
        <x:v>4</x:v>
      </x:c>
      <x:c r="M192" s="16" t="n">
        <x:v>5</x:v>
      </x:c>
      <x:c r="N192" s="16" t="n">
        <x:v>5</x:v>
      </x:c>
      <x:c r="O192" s="16" t="n">
        <x:v>4</x:v>
      </x:c>
      <x:c r="P192" s="16" t="n">
        <x:f>IF(COUNT(I192:O192)&lt;7,"",I192*8+J192*3+K192*2+L192*2+M192*2+N192*2+O192)</x:f>
        <x:v>65</x:v>
      </x:c>
      <x:c r="Q192" s="16" t="n">
        <x:f>IF(COUNT(J192:O192)&lt;6,"",J192*5+K192*4+M192*4+L192*3+N192*2+O192*2)</x:f>
        <x:v>95</x:v>
      </x:c>
      <x:c r="R192" s="14" t="str">
        <x:v>medium</x:v>
      </x:c>
      <x:c r="S192" s="14" t="str">
        <x:v>google_index_verified_manual_check_2026-08-24</x:v>
      </x:c>
      <x:c r="T192" s="14" t="str">
        <x:v>indexed_official_page_manual_check</x:v>
      </x:c>
      <x:c r="U192" s="14" t="str">
        <x:v>Новий — не контактували</x:v>
      </x:c>
      <x:c r="V192" s="15" t="str">
        <x:v>2-тижневий discovery: запросити вимоги 1 активного проєкту + 1 знеособлений артефакт</x:v>
      </x:c>
      <x:c r="W192" s="15" t="str">
        <x:v>Власник / директор; керівник проєктів; головний холодильний інженер / ПТО</x:v>
      </x:c>
      <x:c r="X192" s="15" t="str">
        <x:v>Промислові холодильні системи. Пошуковий результат веде на індексовану сторінку корпоративного домену: Cool Factory.</x:v>
      </x:c>
      <x:c r="Y192" s="15" t="str">
        <x:v>Трубопроводи холодоагенту, ізоляція, випробування та ПНР закриваються послідовно і потребують протоколів.</x:v>
      </x:c>
      <x:c r="Z192" s="15" t="str">
        <x:v>https://cool-factory.com/</x:v>
      </x:c>
      <x:c r="AA192" s="14" t="str"/>
      <x:c r="AB192" s="14" t="str">
        <x:v>2026-08-24</x:v>
      </x:c>
      <x:c r="AC192" s="14" t="str">
        <x:v>Олександр</x:v>
      </x:c>
      <x:c r="AD192" s="20" t="str"/>
      <x:c r="AE192" s="14" t="str"/>
      <x:c r="AF192" s="14" t="n">
        <x:v>0</x:v>
      </x:c>
      <x:c r="AG192" s="14" t="str">
        <x:v>—</x:v>
      </x:c>
      <x:c r="AH192" s="14" t="n">
        <x:v>0</x:v>
      </x:c>
      <x:c r="AI192" s="14" t="n">
        <x:v>0</x:v>
      </x:c>
      <x:c r="AJ192" s="18" t="n">
        <x:v>0</x:v>
      </x:c>
      <x:c r="AK192" s="14" t="str"/>
      <x:c r="AL192" s="19" t="str"/>
      <x:c r="AM192" s="19" t="str"/>
      <x:c r="AN192" s="15" t="str"/>
      <x:c r="AO192" s="15" t="str">
        <x:v>google_index_verified_manual_check_2026-08-24</x:v>
      </x:c>
    </x:row>
    <x:row r="193">
      <x:c r="A193" s="14" t="str">
        <x:v>W2-024</x:v>
      </x:c>
      <x:c r="B193" s="14" t="str">
        <x:v>Проєктний сигнал — 24.08</x:v>
      </x:c>
      <x:c r="C193" s="14" t="str">
        <x:v>4 Стихії</x:v>
      </x:c>
      <x:c r="D193" s="14" t="str">
        <x:v>Промисловий холод</x:v>
      </x:c>
      <x:c r="E193" s="14" t="str">
        <x:v>Expansion discovery</x:v>
      </x:c>
      <x:c r="F193" s="17" t="str">
        <x:f>IF(E193="Pilot now",IF(P193&gt;=84,"P1",IF(P193&gt;=72,"P2","P3")),IF(E193="Expansion discovery",IF(Q193&gt;=88,"D1",IF(Q193&gt;=78,"D2","D3")),IF(E193="Later / requirements","L","Legacy")))</x:f>
        <x:v>D1</x:v>
      </x:c>
      <x:c r="G193" s="14" t="str">
        <x:v>4stykhii.com.ua</x:v>
      </x:c>
      <x:c r="H193" s="14" t="str">
        <x:v>2-тижневий workflow discovery — потрібні вимоги одного проєкту</x:v>
      </x:c>
      <x:c r="I193" s="16" t="n">
        <x:v>1</x:v>
      </x:c>
      <x:c r="J193" s="16" t="n">
        <x:v>5</x:v>
      </x:c>
      <x:c r="K193" s="16" t="n">
        <x:v>5</x:v>
      </x:c>
      <x:c r="L193" s="16" t="n">
        <x:v>4</x:v>
      </x:c>
      <x:c r="M193" s="16" t="n">
        <x:v>5</x:v>
      </x:c>
      <x:c r="N193" s="16" t="n">
        <x:v>5</x:v>
      </x:c>
      <x:c r="O193" s="16" t="n">
        <x:v>5</x:v>
      </x:c>
      <x:c r="P193" s="16" t="n">
        <x:f>IF(COUNT(I193:O193)&lt;7,"",I193*8+J193*3+K193*2+L193*2+M193*2+N193*2+O193)</x:f>
        <x:v>66</x:v>
      </x:c>
      <x:c r="Q193" s="16" t="n">
        <x:f>IF(COUNT(J193:O193)&lt;6,"",J193*5+K193*4+M193*4+L193*3+N193*2+O193*2)</x:f>
        <x:v>97</x:v>
      </x:c>
      <x:c r="R193" s="14" t="str">
        <x:v>high</x:v>
      </x:c>
      <x:c r="S193" s="14" t="str">
        <x:v>google_index_verified_2026-08-24</x:v>
      </x:c>
      <x:c r="T193" s="14" t="str">
        <x:v>indexed_official_service_page</x:v>
      </x:c>
      <x:c r="U193" s="14" t="str">
        <x:v>Новий — не контактували</x:v>
      </x:c>
      <x:c r="V193" s="15" t="str">
        <x:v>2-тижневий discovery: запросити вимоги 1 активного проєкту + 1 знеособлений артефакт</x:v>
      </x:c>
      <x:c r="W193" s="15" t="str">
        <x:v>Власник / директор; керівник проєктів; головний холодильний інженер / ПТО</x:v>
      </x:c>
      <x:c r="X193" s="15" t="str">
        <x:v>Промислові холодильні проєкти. Пошуковий результат веде на індексовану сторінку корпоративного домену: Підбір промислового холодильного обладнання — 4 Стихії.</x:v>
      </x:c>
      <x:c r="Y193" s="15" t="str">
        <x:v>Трубопроводи холодоагенту, ізоляція, випробування та ПНР закриваються послідовно і потребують протоколів.</x:v>
      </x:c>
      <x:c r="Z193" s="15" t="str">
        <x:v>https://4stykhii.com.ua/konsultaciya/</x:v>
      </x:c>
      <x:c r="AA193" s="14" t="str"/>
      <x:c r="AB193" s="14" t="str">
        <x:v>2026-08-24</x:v>
      </x:c>
      <x:c r="AC193" s="14" t="str">
        <x:v>Олександр</x:v>
      </x:c>
      <x:c r="AD193" s="20" t="str"/>
      <x:c r="AE193" s="14" t="str"/>
      <x:c r="AF193" s="14" t="n">
        <x:v>0</x:v>
      </x:c>
      <x:c r="AG193" s="14" t="str">
        <x:v>—</x:v>
      </x:c>
      <x:c r="AH193" s="14" t="n">
        <x:v>0</x:v>
      </x:c>
      <x:c r="AI193" s="14" t="n">
        <x:v>0</x:v>
      </x:c>
      <x:c r="AJ193" s="18" t="n">
        <x:v>0</x:v>
      </x:c>
      <x:c r="AK193" s="14" t="str"/>
      <x:c r="AL193" s="19" t="str"/>
      <x:c r="AM193" s="19" t="str"/>
      <x:c r="AN193" s="15" t="str"/>
      <x:c r="AO193" s="15" t="str">
        <x:v>google_index_verified_2026-08-24</x:v>
      </x:c>
    </x:row>
    <x:row r="194">
      <x:c r="A194" s="14" t="str">
        <x:v>W2-025</x:v>
      </x:c>
      <x:c r="B194" s="14" t="str">
        <x:v>Проєктний сигнал — 24.08</x:v>
      </x:c>
      <x:c r="C194" s="14" t="str">
        <x:v>ТРВ</x:v>
      </x:c>
      <x:c r="D194" s="14" t="str">
        <x:v>Промисловий холод</x:v>
      </x:c>
      <x:c r="E194" s="14" t="str">
        <x:v>Expansion discovery</x:v>
      </x:c>
      <x:c r="F194" s="17" t="str">
        <x:f>IF(E194="Pilot now",IF(P194&gt;=84,"P1",IF(P194&gt;=72,"P2","P3")),IF(E194="Expansion discovery",IF(Q194&gt;=88,"D1",IF(Q194&gt;=78,"D2","D3")),IF(E194="Later / requirements","L","Legacy")))</x:f>
        <x:v>D1</x:v>
      </x:c>
      <x:c r="G194" s="14" t="str">
        <x:v>trv.kiev.ua</x:v>
      </x:c>
      <x:c r="H194" s="14" t="str">
        <x:v>2-тижневий workflow discovery — потрібні вимоги одного проєкту</x:v>
      </x:c>
      <x:c r="I194" s="16" t="n">
        <x:v>1</x:v>
      </x:c>
      <x:c r="J194" s="16" t="n">
        <x:v>5</x:v>
      </x:c>
      <x:c r="K194" s="16" t="n">
        <x:v>5</x:v>
      </x:c>
      <x:c r="L194" s="16" t="n">
        <x:v>4</x:v>
      </x:c>
      <x:c r="M194" s="16" t="n">
        <x:v>5</x:v>
      </x:c>
      <x:c r="N194" s="16" t="n">
        <x:v>5</x:v>
      </x:c>
      <x:c r="O194" s="16" t="n">
        <x:v>3</x:v>
      </x:c>
      <x:c r="P194" s="16" t="n">
        <x:f>IF(COUNT(I194:O194)&lt;7,"",I194*8+J194*3+K194*2+L194*2+M194*2+N194*2+O194)</x:f>
        <x:v>64</x:v>
      </x:c>
      <x:c r="Q194" s="16" t="n">
        <x:f>IF(COUNT(J194:O194)&lt;6,"",J194*5+K194*4+M194*4+L194*3+N194*2+O194*2)</x:f>
        <x:v>93</x:v>
      </x:c>
      <x:c r="R194" s="14" t="str">
        <x:v>medium</x:v>
      </x:c>
      <x:c r="S194" s="14" t="str">
        <x:v>google_index_verified_manual_check_2026-08-24</x:v>
      </x:c>
      <x:c r="T194" s="14" t="str">
        <x:v>indexed_official_page_manual_check</x:v>
      </x:c>
      <x:c r="U194" s="14" t="str">
        <x:v>Новий — не контактували</x:v>
      </x:c>
      <x:c r="V194" s="15" t="str">
        <x:v>2-тижневий discovery: запросити вимоги 1 активного проєкту + 1 знеособлений артефакт</x:v>
      </x:c>
      <x:c r="W194" s="15" t="str">
        <x:v>Власник / директор; керівник проєктів; головний холодильний інженер / ПТО</x:v>
      </x:c>
      <x:c r="X194" s="15" t="str">
        <x:v>Монтаж і пусконалагодження холодильних систем. Пошуковий результат веде на індексовану сторінку корпоративного домену: Монтаж та пусконалагоджувальні роботи — ТРВ.</x:v>
      </x:c>
      <x:c r="Y194" s="15" t="str">
        <x:v>Трубопроводи холодоагенту, ізоляція, випробування та ПНР закриваються послідовно і потребують протоколів.</x:v>
      </x:c>
      <x:c r="Z194" s="15" t="str">
        <x:v>http://www.trv.kiev.ua/montazh-i-pusko-naladochnye-raboty</x:v>
      </x:c>
      <x:c r="AA194" s="14" t="str"/>
      <x:c r="AB194" s="14" t="str">
        <x:v>2026-08-24</x:v>
      </x:c>
      <x:c r="AC194" s="14" t="str">
        <x:v>Олександр</x:v>
      </x:c>
      <x:c r="AD194" s="20" t="str"/>
      <x:c r="AE194" s="14" t="str"/>
      <x:c r="AF194" s="14" t="n">
        <x:v>0</x:v>
      </x:c>
      <x:c r="AG194" s="14" t="str">
        <x:v>—</x:v>
      </x:c>
      <x:c r="AH194" s="14" t="n">
        <x:v>0</x:v>
      </x:c>
      <x:c r="AI194" s="14" t="n">
        <x:v>0</x:v>
      </x:c>
      <x:c r="AJ194" s="18" t="n">
        <x:v>0</x:v>
      </x:c>
      <x:c r="AK194" s="14" t="str"/>
      <x:c r="AL194" s="19" t="str"/>
      <x:c r="AM194" s="19" t="str"/>
      <x:c r="AN194" s="15" t="str"/>
      <x:c r="AO194" s="15" t="str">
        <x:v>google_index_verified_manual_check_2026-08-24</x:v>
      </x:c>
    </x:row>
    <x:row r="195">
      <x:c r="A195" s="14" t="str">
        <x:v>W2-026</x:v>
      </x:c>
      <x:c r="B195" s="14" t="str">
        <x:v>Проєктний сигнал — 24.08</x:v>
      </x:c>
      <x:c r="C195" s="14" t="str">
        <x:v>Статус Проект</x:v>
      </x:c>
      <x:c r="D195" s="14" t="str">
        <x:v>Промисловий холод</x:v>
      </x:c>
      <x:c r="E195" s="14" t="str">
        <x:v>Expansion discovery</x:v>
      </x:c>
      <x:c r="F195" s="17" t="str">
        <x:f>IF(E195="Pilot now",IF(P195&gt;=84,"P1",IF(P195&gt;=72,"P2","P3")),IF(E195="Expansion discovery",IF(Q195&gt;=88,"D1",IF(Q195&gt;=78,"D2","D3")),IF(E195="Later / requirements","L","Legacy")))</x:f>
        <x:v>D1</x:v>
      </x:c>
      <x:c r="G195" s="14" t="str">
        <x:v>statuspoekt.dp.ua</x:v>
      </x:c>
      <x:c r="H195" s="14" t="str">
        <x:v>2-тижневий workflow discovery — потрібні вимоги одного проєкту</x:v>
      </x:c>
      <x:c r="I195" s="16" t="n">
        <x:v>1</x:v>
      </x:c>
      <x:c r="J195" s="16" t="n">
        <x:v>5</x:v>
      </x:c>
      <x:c r="K195" s="16" t="n">
        <x:v>5</x:v>
      </x:c>
      <x:c r="L195" s="16" t="n">
        <x:v>4</x:v>
      </x:c>
      <x:c r="M195" s="16" t="n">
        <x:v>5</x:v>
      </x:c>
      <x:c r="N195" s="16" t="n">
        <x:v>5</x:v>
      </x:c>
      <x:c r="O195" s="16" t="n">
        <x:v>5</x:v>
      </x:c>
      <x:c r="P195" s="16" t="n">
        <x:f>IF(COUNT(I195:O195)&lt;7,"",I195*8+J195*3+K195*2+L195*2+M195*2+N195*2+O195)</x:f>
        <x:v>66</x:v>
      </x:c>
      <x:c r="Q195" s="16" t="n">
        <x:f>IF(COUNT(J195:O195)&lt;6,"",J195*5+K195*4+M195*4+L195*3+N195*2+O195*2)</x:f>
        <x:v>97</x:v>
      </x:c>
      <x:c r="R195" s="14" t="str">
        <x:v>high</x:v>
      </x:c>
      <x:c r="S195" s="14" t="str">
        <x:v>google_index_verified_2026-08-24</x:v>
      </x:c>
      <x:c r="T195" s="14" t="str">
        <x:v>indexed_official_service_page</x:v>
      </x:c>
      <x:c r="U195" s="14" t="str">
        <x:v>Новий — не контактували</x:v>
      </x:c>
      <x:c r="V195" s="15" t="str">
        <x:v>2-тижневий discovery: запросити вимоги 1 активного проєкту + 1 знеособлений артефакт</x:v>
      </x:c>
      <x:c r="W195" s="15" t="str">
        <x:v>Власник / директор; керівник проєктів; головний холодильний інженер / ПТО</x:v>
      </x:c>
      <x:c r="X195" s="15" t="str">
        <x:v>Проєктування та монтаж холодильних систем. Пошуковий результат веде на індексовану сторінку корпоративного домену: ТОВ Статус Проект.</x:v>
      </x:c>
      <x:c r="Y195" s="15" t="str">
        <x:v>Трубопроводи холодоагенту, ізоляція, випробування та ПНР закриваються послідовно і потребують протоколів.</x:v>
      </x:c>
      <x:c r="Z195" s="15" t="str">
        <x:v>https://statuspoekt.dp.ua/ua/about_us</x:v>
      </x:c>
      <x:c r="AA195" s="14" t="str"/>
      <x:c r="AB195" s="14" t="str">
        <x:v>2026-08-24</x:v>
      </x:c>
      <x:c r="AC195" s="14" t="str">
        <x:v>Олександр</x:v>
      </x:c>
      <x:c r="AD195" s="20" t="str"/>
      <x:c r="AE195" s="14" t="str"/>
      <x:c r="AF195" s="14" t="n">
        <x:v>0</x:v>
      </x:c>
      <x:c r="AG195" s="14" t="str">
        <x:v>—</x:v>
      </x:c>
      <x:c r="AH195" s="14" t="n">
        <x:v>0</x:v>
      </x:c>
      <x:c r="AI195" s="14" t="n">
        <x:v>0</x:v>
      </x:c>
      <x:c r="AJ195" s="18" t="n">
        <x:v>0</x:v>
      </x:c>
      <x:c r="AK195" s="14" t="str"/>
      <x:c r="AL195" s="19" t="str"/>
      <x:c r="AM195" s="19" t="str"/>
      <x:c r="AN195" s="15" t="str"/>
      <x:c r="AO195" s="15" t="str">
        <x:v>google_index_verified_2026-08-24</x:v>
      </x:c>
    </x:row>
    <x:row r="196">
      <x:c r="A196" s="14" t="str">
        <x:v>W2-027</x:v>
      </x:c>
      <x:c r="B196" s="14" t="str">
        <x:v>Проєктний сигнал — 24.08</x:v>
      </x:c>
      <x:c r="C196" s="14" t="str">
        <x:v>Новафрост</x:v>
      </x:c>
      <x:c r="D196" s="14" t="str">
        <x:v>Промисловий холод</x:v>
      </x:c>
      <x:c r="E196" s="14" t="str">
        <x:v>Expansion discovery</x:v>
      </x:c>
      <x:c r="F196" s="17" t="str">
        <x:f>IF(E196="Pilot now",IF(P196&gt;=84,"P1",IF(P196&gt;=72,"P2","P3")),IF(E196="Expansion discovery",IF(Q196&gt;=88,"D1",IF(Q196&gt;=78,"D2","D3")),IF(E196="Later / requirements","L","Legacy")))</x:f>
        <x:v>D1</x:v>
      </x:c>
      <x:c r="G196" s="14" t="str">
        <x:v>novafrost.com.ua</x:v>
      </x:c>
      <x:c r="H196" s="14" t="str">
        <x:v>2-тижневий workflow discovery — потрібні вимоги одного проєкту</x:v>
      </x:c>
      <x:c r="I196" s="16" t="n">
        <x:v>1</x:v>
      </x:c>
      <x:c r="J196" s="16" t="n">
        <x:v>5</x:v>
      </x:c>
      <x:c r="K196" s="16" t="n">
        <x:v>5</x:v>
      </x:c>
      <x:c r="L196" s="16" t="n">
        <x:v>4</x:v>
      </x:c>
      <x:c r="M196" s="16" t="n">
        <x:v>5</x:v>
      </x:c>
      <x:c r="N196" s="16" t="n">
        <x:v>5</x:v>
      </x:c>
      <x:c r="O196" s="16" t="n">
        <x:v>5</x:v>
      </x:c>
      <x:c r="P196" s="16" t="n">
        <x:f>IF(COUNT(I196:O196)&lt;7,"",I196*8+J196*3+K196*2+L196*2+M196*2+N196*2+O196)</x:f>
        <x:v>66</x:v>
      </x:c>
      <x:c r="Q196" s="16" t="n">
        <x:f>IF(COUNT(J196:O196)&lt;6,"",J196*5+K196*4+M196*4+L196*3+N196*2+O196*2)</x:f>
        <x:v>97</x:v>
      </x:c>
      <x:c r="R196" s="14" t="str">
        <x:v>high</x:v>
      </x:c>
      <x:c r="S196" s="14" t="str">
        <x:v>google_index_verified_2026-08-24</x:v>
      </x:c>
      <x:c r="T196" s="14" t="str">
        <x:v>indexed_official_service_page</x:v>
      </x:c>
      <x:c r="U196" s="14" t="str">
        <x:v>Новий — не контактували</x:v>
      </x:c>
      <x:c r="V196" s="15" t="str">
        <x:v>2-тижневий discovery: запросити вимоги 1 активного проєкту + 1 знеособлений артефакт</x:v>
      </x:c>
      <x:c r="W196" s="15" t="str">
        <x:v>Власник / директор; керівник проєктів; головний холодильний інженер / ПТО</x:v>
      </x:c>
      <x:c r="X196" s="15" t="str">
        <x:v>Монтаж камер і складів. Пошуковий результат веде на індексовану сторінку корпоративного домену: Монтаж холодильних і морозильних камер — Новафрост.</x:v>
      </x:c>
      <x:c r="Y196" s="15" t="str">
        <x:v>Трубопроводи холодоагенту, ізоляція, випробування та ПНР закриваються послідовно і потребують протоколів.</x:v>
      </x:c>
      <x:c r="Z196" s="15" t="str">
        <x:v>https://www.novafrost.com.ua/service-loc/kyiv/</x:v>
      </x:c>
      <x:c r="AA196" s="14" t="str"/>
      <x:c r="AB196" s="14" t="str">
        <x:v>2026-08-24</x:v>
      </x:c>
      <x:c r="AC196" s="14" t="str">
        <x:v>Олександр</x:v>
      </x:c>
      <x:c r="AD196" s="20" t="str"/>
      <x:c r="AE196" s="14" t="str"/>
      <x:c r="AF196" s="14" t="n">
        <x:v>0</x:v>
      </x:c>
      <x:c r="AG196" s="14" t="str">
        <x:v>—</x:v>
      </x:c>
      <x:c r="AH196" s="14" t="n">
        <x:v>0</x:v>
      </x:c>
      <x:c r="AI196" s="14" t="n">
        <x:v>0</x:v>
      </x:c>
      <x:c r="AJ196" s="18" t="n">
        <x:v>0</x:v>
      </x:c>
      <x:c r="AK196" s="14" t="str"/>
      <x:c r="AL196" s="19" t="str"/>
      <x:c r="AM196" s="19" t="str"/>
      <x:c r="AN196" s="15" t="str"/>
      <x:c r="AO196" s="15" t="str">
        <x:v>google_index_verified_2026-08-24</x:v>
      </x:c>
    </x:row>
    <x:row r="197">
      <x:c r="A197" s="14" t="str">
        <x:v>W2-028</x:v>
      </x:c>
      <x:c r="B197" s="14" t="str">
        <x:v>Проєктний сигнал — 24.08</x:v>
      </x:c>
      <x:c r="C197" s="14" t="str">
        <x:v>Termocom</x:v>
      </x:c>
      <x:c r="D197" s="14" t="str">
        <x:v>Промисловий холод</x:v>
      </x:c>
      <x:c r="E197" s="14" t="str">
        <x:v>Expansion discovery</x:v>
      </x:c>
      <x:c r="F197" s="17" t="str">
        <x:f>IF(E197="Pilot now",IF(P197&gt;=84,"P1",IF(P197&gt;=72,"P2","P3")),IF(E197="Expansion discovery",IF(Q197&gt;=88,"D1",IF(Q197&gt;=78,"D2","D3")),IF(E197="Later / requirements","L","Legacy")))</x:f>
        <x:v>D1</x:v>
      </x:c>
      <x:c r="G197" s="14" t="str">
        <x:v>termocom.com.ua</x:v>
      </x:c>
      <x:c r="H197" s="14" t="str">
        <x:v>2-тижневий workflow discovery — потрібні вимоги одного проєкту</x:v>
      </x:c>
      <x:c r="I197" s="16" t="n">
        <x:v>1</x:v>
      </x:c>
      <x:c r="J197" s="16" t="n">
        <x:v>5</x:v>
      </x:c>
      <x:c r="K197" s="16" t="n">
        <x:v>5</x:v>
      </x:c>
      <x:c r="L197" s="16" t="n">
        <x:v>4</x:v>
      </x:c>
      <x:c r="M197" s="16" t="n">
        <x:v>5</x:v>
      </x:c>
      <x:c r="N197" s="16" t="n">
        <x:v>5</x:v>
      </x:c>
      <x:c r="O197" s="16" t="n">
        <x:v>5</x:v>
      </x:c>
      <x:c r="P197" s="16" t="n">
        <x:f>IF(COUNT(I197:O197)&lt;7,"",I197*8+J197*3+K197*2+L197*2+M197*2+N197*2+O197)</x:f>
        <x:v>66</x:v>
      </x:c>
      <x:c r="Q197" s="16" t="n">
        <x:f>IF(COUNT(J197:O197)&lt;6,"",J197*5+K197*4+M197*4+L197*3+N197*2+O197*2)</x:f>
        <x:v>97</x:v>
      </x:c>
      <x:c r="R197" s="14" t="str">
        <x:v>high</x:v>
      </x:c>
      <x:c r="S197" s="14" t="str">
        <x:v>google_index_verified_2026-08-24</x:v>
      </x:c>
      <x:c r="T197" s="14" t="str">
        <x:v>indexed_official_service_page</x:v>
      </x:c>
      <x:c r="U197" s="14" t="str">
        <x:v>Новий — не контактували</x:v>
      </x:c>
      <x:c r="V197" s="15" t="str">
        <x:v>2-тижневий discovery: запросити вимоги 1 активного проєкту + 1 знеособлений артефакт</x:v>
      </x:c>
      <x:c r="W197" s="15" t="str">
        <x:v>Власник / директор; керівник проєктів; головний холодильний інженер / ПТО</x:v>
      </x:c>
      <x:c r="X197" s="15" t="str">
        <x:v>Промислове холодильне обладнання. Пошуковий результат веде на індексовану сторінку корпоративного домену: Промисловий холод — Termocom.</x:v>
      </x:c>
      <x:c r="Y197" s="15" t="str">
        <x:v>Трубопроводи холодоагенту, ізоляція, випробування та ПНР закриваються послідовно і потребують протоколів.</x:v>
      </x:c>
      <x:c r="Z197" s="15" t="str">
        <x:v>https://termocom.com.ua/ua/</x:v>
      </x:c>
      <x:c r="AA197" s="14" t="str"/>
      <x:c r="AB197" s="14" t="str">
        <x:v>2026-08-24</x:v>
      </x:c>
      <x:c r="AC197" s="14" t="str">
        <x:v>Олександр</x:v>
      </x:c>
      <x:c r="AD197" s="20" t="str"/>
      <x:c r="AE197" s="14" t="str"/>
      <x:c r="AF197" s="14" t="n">
        <x:v>0</x:v>
      </x:c>
      <x:c r="AG197" s="14" t="str">
        <x:v>—</x:v>
      </x:c>
      <x:c r="AH197" s="14" t="n">
        <x:v>0</x:v>
      </x:c>
      <x:c r="AI197" s="14" t="n">
        <x:v>0</x:v>
      </x:c>
      <x:c r="AJ197" s="18" t="n">
        <x:v>0</x:v>
      </x:c>
      <x:c r="AK197" s="14" t="str"/>
      <x:c r="AL197" s="19" t="str"/>
      <x:c r="AM197" s="19" t="str"/>
      <x:c r="AN197" s="15" t="str"/>
      <x:c r="AO197" s="15" t="str">
        <x:v>google_index_verified_2026-08-24</x:v>
      </x:c>
    </x:row>
    <x:row r="198">
      <x:c r="A198" s="14" t="str">
        <x:v>W2-029</x:v>
      </x:c>
      <x:c r="B198" s="14" t="str">
        <x:v>Проєктний сигнал — 24.08</x:v>
      </x:c>
      <x:c r="C198" s="14" t="str">
        <x:v>Холод-Юг</x:v>
      </x:c>
      <x:c r="D198" s="14" t="str">
        <x:v>Промисловий холод</x:v>
      </x:c>
      <x:c r="E198" s="14" t="str">
        <x:v>Expansion discovery</x:v>
      </x:c>
      <x:c r="F198" s="17" t="str">
        <x:f>IF(E198="Pilot now",IF(P198&gt;=84,"P1",IF(P198&gt;=72,"P2","P3")),IF(E198="Expansion discovery",IF(Q198&gt;=88,"D1",IF(Q198&gt;=78,"D2","D3")),IF(E198="Later / requirements","L","Legacy")))</x:f>
        <x:v>D1</x:v>
      </x:c>
      <x:c r="G198" s="14" t="str">
        <x:v>hladoyug.com</x:v>
      </x:c>
      <x:c r="H198" s="14" t="str">
        <x:v>2-тижневий workflow discovery — потрібні вимоги одного проєкту</x:v>
      </x:c>
      <x:c r="I198" s="16" t="n">
        <x:v>1</x:v>
      </x:c>
      <x:c r="J198" s="16" t="n">
        <x:v>5</x:v>
      </x:c>
      <x:c r="K198" s="16" t="n">
        <x:v>5</x:v>
      </x:c>
      <x:c r="L198" s="16" t="n">
        <x:v>4</x:v>
      </x:c>
      <x:c r="M198" s="16" t="n">
        <x:v>5</x:v>
      </x:c>
      <x:c r="N198" s="16" t="n">
        <x:v>5</x:v>
      </x:c>
      <x:c r="O198" s="16" t="n">
        <x:v>3</x:v>
      </x:c>
      <x:c r="P198" s="16" t="n">
        <x:f>IF(COUNT(I198:O198)&lt;7,"",I198*8+J198*3+K198*2+L198*2+M198*2+N198*2+O198)</x:f>
        <x:v>64</x:v>
      </x:c>
      <x:c r="Q198" s="16" t="n">
        <x:f>IF(COUNT(J198:O198)&lt;6,"",J198*5+K198*4+M198*4+L198*3+N198*2+O198*2)</x:f>
        <x:v>93</x:v>
      </x:c>
      <x:c r="R198" s="14" t="str">
        <x:v>medium</x:v>
      </x:c>
      <x:c r="S198" s="14" t="str">
        <x:v>google_index_verified_manual_check_2026-08-24</x:v>
      </x:c>
      <x:c r="T198" s="14" t="str">
        <x:v>indexed_official_page_manual_check</x:v>
      </x:c>
      <x:c r="U198" s="14" t="str">
        <x:v>Новий — не контактували</x:v>
      </x:c>
      <x:c r="V198" s="15" t="str">
        <x:v>2-тижневий discovery: запросити вимоги 1 активного проєкту + 1 знеособлений артефакт</x:v>
      </x:c>
      <x:c r="W198" s="15" t="str">
        <x:v>Власник / директор; керівник проєктів; головний холодильний інженер / ПТО</x:v>
      </x:c>
      <x:c r="X198" s="15" t="str">
        <x:v>Проєктування та монтаж холодильних систем. Пошуковий результат веде на індексовану сторінку корпоративного домену: Проєктування та монтаж — Холод-Юг.</x:v>
      </x:c>
      <x:c r="Y198" s="15" t="str">
        <x:v>Трубопроводи холодоагенту, ізоляція, випробування та ПНР закриваються послідовно і потребують протоколів.</x:v>
      </x:c>
      <x:c r="Z198" s="15" t="str">
        <x:v>http://hladoyug.com/work</x:v>
      </x:c>
      <x:c r="AA198" s="14" t="str"/>
      <x:c r="AB198" s="14" t="str">
        <x:v>2026-08-24</x:v>
      </x:c>
      <x:c r="AC198" s="14" t="str">
        <x:v>Олександр</x:v>
      </x:c>
      <x:c r="AD198" s="20" t="str"/>
      <x:c r="AE198" s="14" t="str"/>
      <x:c r="AF198" s="14" t="n">
        <x:v>0</x:v>
      </x:c>
      <x:c r="AG198" s="14" t="str">
        <x:v>—</x:v>
      </x:c>
      <x:c r="AH198" s="14" t="n">
        <x:v>0</x:v>
      </x:c>
      <x:c r="AI198" s="14" t="n">
        <x:v>0</x:v>
      </x:c>
      <x:c r="AJ198" s="18" t="n">
        <x:v>0</x:v>
      </x:c>
      <x:c r="AK198" s="14" t="str"/>
      <x:c r="AL198" s="19" t="str"/>
      <x:c r="AM198" s="19" t="str"/>
      <x:c r="AN198" s="15" t="str"/>
      <x:c r="AO198" s="15" t="str">
        <x:v>google_index_verified_manual_check_2026-08-24</x:v>
      </x:c>
    </x:row>
    <x:row r="199">
      <x:c r="A199" s="14" t="str">
        <x:v>W2-030</x:v>
      </x:c>
      <x:c r="B199" s="14" t="str">
        <x:v>Проєктний сигнал — 24.08</x:v>
      </x:c>
      <x:c r="C199" s="14" t="str">
        <x:v>Укрпромхолод</x:v>
      </x:c>
      <x:c r="D199" s="14" t="str">
        <x:v>Промисловий холод</x:v>
      </x:c>
      <x:c r="E199" s="14" t="str">
        <x:v>Expansion discovery</x:v>
      </x:c>
      <x:c r="F199" s="17" t="str">
        <x:f>IF(E199="Pilot now",IF(P199&gt;=84,"P1",IF(P199&gt;=72,"P2","P3")),IF(E199="Expansion discovery",IF(Q199&gt;=88,"D1",IF(Q199&gt;=78,"D2","D3")),IF(E199="Later / requirements","L","Legacy")))</x:f>
        <x:v>D1</x:v>
      </x:c>
      <x:c r="G199" s="14" t="str">
        <x:v>ukrpromholod.com.ua</x:v>
      </x:c>
      <x:c r="H199" s="14" t="str">
        <x:v>2-тижневий workflow discovery — потрібні вимоги одного проєкту</x:v>
      </x:c>
      <x:c r="I199" s="16" t="n">
        <x:v>1</x:v>
      </x:c>
      <x:c r="J199" s="16" t="n">
        <x:v>5</x:v>
      </x:c>
      <x:c r="K199" s="16" t="n">
        <x:v>5</x:v>
      </x:c>
      <x:c r="L199" s="16" t="n">
        <x:v>4</x:v>
      </x:c>
      <x:c r="M199" s="16" t="n">
        <x:v>5</x:v>
      </x:c>
      <x:c r="N199" s="16" t="n">
        <x:v>5</x:v>
      </x:c>
      <x:c r="O199" s="16" t="n">
        <x:v>3</x:v>
      </x:c>
      <x:c r="P199" s="16" t="n">
        <x:f>IF(COUNT(I199:O199)&lt;7,"",I199*8+J199*3+K199*2+L199*2+M199*2+N199*2+O199)</x:f>
        <x:v>64</x:v>
      </x:c>
      <x:c r="Q199" s="16" t="n">
        <x:f>IF(COUNT(J199:O199)&lt;6,"",J199*5+K199*4+M199*4+L199*3+N199*2+O199*2)</x:f>
        <x:v>93</x:v>
      </x:c>
      <x:c r="R199" s="14" t="str">
        <x:v>medium</x:v>
      </x:c>
      <x:c r="S199" s="14" t="str">
        <x:v>google_index_verified_manual_check_2026-08-24</x:v>
      </x:c>
      <x:c r="T199" s="14" t="str">
        <x:v>indexed_official_page_manual_check</x:v>
      </x:c>
      <x:c r="U199" s="14" t="str">
        <x:v>Новий — не контактували</x:v>
      </x:c>
      <x:c r="V199" s="15" t="str">
        <x:v>2-тижневий discovery: запросити вимоги 1 активного проєкту + 1 знеособлений артефакт</x:v>
      </x:c>
      <x:c r="W199" s="15" t="str">
        <x:v>Власник / директор; керівник проєктів; головний холодильний інженер / ПТО</x:v>
      </x:c>
      <x:c r="X199" s="15" t="str">
        <x:v>Промислові холодильні рішення. Пошуковий результат веде на індексовану сторінку корпоративного домену: УКРПРОМХОЛОД.</x:v>
      </x:c>
      <x:c r="Y199" s="15" t="str">
        <x:v>Трубопроводи холодоагенту, ізоляція, випробування та ПНР закриваються послідовно і потребують протоколів.</x:v>
      </x:c>
      <x:c r="Z199" s="15" t="str">
        <x:v>http://ukrpromholod.com.ua/index.php?action=mobiledisable</x:v>
      </x:c>
      <x:c r="AA199" s="14" t="str"/>
      <x:c r="AB199" s="14" t="str">
        <x:v>2026-08-24</x:v>
      </x:c>
      <x:c r="AC199" s="14" t="str">
        <x:v>Олександр</x:v>
      </x:c>
      <x:c r="AD199" s="20" t="str"/>
      <x:c r="AE199" s="14" t="str"/>
      <x:c r="AF199" s="14" t="n">
        <x:v>0</x:v>
      </x:c>
      <x:c r="AG199" s="14" t="str">
        <x:v>—</x:v>
      </x:c>
      <x:c r="AH199" s="14" t="n">
        <x:v>0</x:v>
      </x:c>
      <x:c r="AI199" s="14" t="n">
        <x:v>0</x:v>
      </x:c>
      <x:c r="AJ199" s="18" t="n">
        <x:v>0</x:v>
      </x:c>
      <x:c r="AK199" s="14" t="str"/>
      <x:c r="AL199" s="19" t="str"/>
      <x:c r="AM199" s="19" t="str"/>
      <x:c r="AN199" s="15" t="str"/>
      <x:c r="AO199" s="15" t="str">
        <x:v>google_index_verified_manual_check_2026-08-24</x:v>
      </x:c>
    </x:row>
    <x:row r="200">
      <x:c r="A200" s="14" t="str">
        <x:v>W2-031</x:v>
      </x:c>
      <x:c r="B200" s="14" t="str">
        <x:v>Проєктний сигнал — 24.08</x:v>
      </x:c>
      <x:c r="C200" s="14" t="str">
        <x:v>Пожежна безпека України / Євросервіс</x:v>
      </x:c>
      <x:c r="D200" s="14" t="str">
        <x:v>Пожежогасіння</x:v>
      </x:c>
      <x:c r="E200" s="14" t="str">
        <x:v>Expansion discovery</x:v>
      </x:c>
      <x:c r="F200" s="17" t="str">
        <x:f>IF(E200="Pilot now",IF(P200&gt;=84,"P1",IF(P200&gt;=72,"P2","P3")),IF(E200="Expansion discovery",IF(Q200&gt;=88,"D1",IF(Q200&gt;=78,"D2","D3")),IF(E200="Later / requirements","L","Legacy")))</x:f>
        <x:v>D1</x:v>
      </x:c>
      <x:c r="G200" s="14" t="str">
        <x:v>euroservis.com.ua</x:v>
      </x:c>
      <x:c r="H200" s="14" t="str">
        <x:v>2-тижневий workflow discovery — потрібні вимоги одного проєкту</x:v>
      </x:c>
      <x:c r="I200" s="16" t="n">
        <x:v>1</x:v>
      </x:c>
      <x:c r="J200" s="16" t="n">
        <x:v>5</x:v>
      </x:c>
      <x:c r="K200" s="16" t="n">
        <x:v>5</x:v>
      </x:c>
      <x:c r="L200" s="16" t="n">
        <x:v>4</x:v>
      </x:c>
      <x:c r="M200" s="16" t="n">
        <x:v>5</x:v>
      </x:c>
      <x:c r="N200" s="16" t="n">
        <x:v>5</x:v>
      </x:c>
      <x:c r="O200" s="16" t="n">
        <x:v>5</x:v>
      </x:c>
      <x:c r="P200" s="16" t="n">
        <x:f>IF(COUNT(I200:O200)&lt;7,"",I200*8+J200*3+K200*2+L200*2+M200*2+N200*2+O200)</x:f>
        <x:v>66</x:v>
      </x:c>
      <x:c r="Q200" s="16" t="n">
        <x:f>IF(COUNT(J200:O200)&lt;6,"",J200*5+K200*4+M200*4+L200*3+N200*2+O200*2)</x:f>
        <x:v>97</x:v>
      </x:c>
      <x:c r="R200" s="14" t="str">
        <x:v>high</x:v>
      </x:c>
      <x:c r="S200" s="14" t="str">
        <x:v>google_index_verified_2026-08-24</x:v>
      </x:c>
      <x:c r="T200" s="14" t="str">
        <x:v>indexed_official_service_page</x:v>
      </x:c>
      <x:c r="U200" s="14" t="str">
        <x:v>Новий — не контактували</x:v>
      </x:c>
      <x:c r="V200" s="15" t="str">
        <x:v>2-тижневий discovery: запросити вимоги 1 активного проєкту + 1 знеособлений артефакт</x:v>
      </x:c>
      <x:c r="W200" s="15" t="str">
        <x:v>Директор; керівник проєктів; керівник монтажу / ПТО</x:v>
      </x:c>
      <x:c r="X200" s="15" t="str">
        <x:v>Монтаж і технічне обслуговування пожежогасіння. Пошуковий результат веде на індексовану сторінку корпоративного домену: Монтаж систем пожежогасіння — Пожежна безпека України.</x:v>
      </x:c>
      <x:c r="Y200" s="15" t="str">
        <x:v>Трубопроводи, проходки, спринклери, адресація й випробування потребують доказів до оздоблення та введення.</x:v>
      </x:c>
      <x:c r="Z200" s="15" t="str">
        <x:v>https://euroservis.com.ua/ua/montazh-i-tekhnicheskoe-obsluzhivanie-sistem-pozharotusheniya/</x:v>
      </x:c>
      <x:c r="AA200" s="14" t="str"/>
      <x:c r="AB200" s="14" t="str">
        <x:v>2026-08-24</x:v>
      </x:c>
      <x:c r="AC200" s="14" t="str">
        <x:v>Олександр</x:v>
      </x:c>
      <x:c r="AD200" s="20" t="str"/>
      <x:c r="AE200" s="14" t="str"/>
      <x:c r="AF200" s="14" t="n">
        <x:v>0</x:v>
      </x:c>
      <x:c r="AG200" s="14" t="str">
        <x:v>—</x:v>
      </x:c>
      <x:c r="AH200" s="14" t="n">
        <x:v>0</x:v>
      </x:c>
      <x:c r="AI200" s="14" t="n">
        <x:v>0</x:v>
      </x:c>
      <x:c r="AJ200" s="18" t="n">
        <x:v>0</x:v>
      </x:c>
      <x:c r="AK200" s="14" t="str"/>
      <x:c r="AL200" s="19" t="str"/>
      <x:c r="AM200" s="19" t="str"/>
      <x:c r="AN200" s="15" t="str"/>
      <x:c r="AO200" s="15" t="str">
        <x:v>google_index_verified_2026-08-24</x:v>
      </x:c>
    </x:row>
    <x:row r="201">
      <x:c r="A201" s="14" t="str">
        <x:v>W2-032</x:v>
      </x:c>
      <x:c r="B201" s="14" t="str">
        <x:v>Проєктний сигнал — 24.08</x:v>
      </x:c>
      <x:c r="C201" s="14" t="str">
        <x:v>Кабо Груп</x:v>
      </x:c>
      <x:c r="D201" s="14" t="str">
        <x:v>Пожежогасіння</x:v>
      </x:c>
      <x:c r="E201" s="14" t="str">
        <x:v>Expansion discovery</x:v>
      </x:c>
      <x:c r="F201" s="17" t="str">
        <x:f>IF(E201="Pilot now",IF(P201&gt;=84,"P1",IF(P201&gt;=72,"P2","P3")),IF(E201="Expansion discovery",IF(Q201&gt;=88,"D1",IF(Q201&gt;=78,"D2","D3")),IF(E201="Later / requirements","L","Legacy")))</x:f>
        <x:v>D1</x:v>
      </x:c>
      <x:c r="G201" s="14" t="str">
        <x:v>kabogroup.com.ua</x:v>
      </x:c>
      <x:c r="H201" s="14" t="str">
        <x:v>2-тижневий workflow discovery — потрібні вимоги одного проєкту</x:v>
      </x:c>
      <x:c r="I201" s="16" t="n">
        <x:v>1</x:v>
      </x:c>
      <x:c r="J201" s="16" t="n">
        <x:v>5</x:v>
      </x:c>
      <x:c r="K201" s="16" t="n">
        <x:v>5</x:v>
      </x:c>
      <x:c r="L201" s="16" t="n">
        <x:v>4</x:v>
      </x:c>
      <x:c r="M201" s="16" t="n">
        <x:v>5</x:v>
      </x:c>
      <x:c r="N201" s="16" t="n">
        <x:v>5</x:v>
      </x:c>
      <x:c r="O201" s="16" t="n">
        <x:v>5</x:v>
      </x:c>
      <x:c r="P201" s="16" t="n">
        <x:f>IF(COUNT(I201:O201)&lt;7,"",I201*8+J201*3+K201*2+L201*2+M201*2+N201*2+O201)</x:f>
        <x:v>66</x:v>
      </x:c>
      <x:c r="Q201" s="16" t="n">
        <x:f>IF(COUNT(J201:O201)&lt;6,"",J201*5+K201*4+M201*4+L201*3+N201*2+O201*2)</x:f>
        <x:v>97</x:v>
      </x:c>
      <x:c r="R201" s="14" t="str">
        <x:v>high</x:v>
      </x:c>
      <x:c r="S201" s="14" t="str">
        <x:v>google_index_verified_2026-08-24</x:v>
      </x:c>
      <x:c r="T201" s="14" t="str">
        <x:v>indexed_official_service_page</x:v>
      </x:c>
      <x:c r="U201" s="14" t="str">
        <x:v>Новий — не контактували</x:v>
      </x:c>
      <x:c r="V201" s="15" t="str">
        <x:v>2-тижневий discovery: запросити вимоги 1 активного проєкту + 1 знеособлений артефакт</x:v>
      </x:c>
      <x:c r="W201" s="15" t="str">
        <x:v>Директор; керівник проєктів; керівник монтажу / ПТО</x:v>
      </x:c>
      <x:c r="X201" s="15" t="str">
        <x:v>Комплексні протипожежні роботи. Пошуковий результат веде на індексовану сторінку корпоративного домену: Послуги пожежної безпеки — Кабо Груп.</x:v>
      </x:c>
      <x:c r="Y201" s="15" t="str">
        <x:v>Трубопроводи, проходки, спринклери, адресація й випробування потребують доказів до оздоблення та введення.</x:v>
      </x:c>
      <x:c r="Z201" s="15" t="str">
        <x:v>https://kabogroup.com.ua/%D0%BF%D0%BE%D1%81%D0%BB%D1%83%D0%B3%D0%B8/</x:v>
      </x:c>
      <x:c r="AA201" s="14" t="str"/>
      <x:c r="AB201" s="14" t="str">
        <x:v>2026-08-24</x:v>
      </x:c>
      <x:c r="AC201" s="14" t="str">
        <x:v>Олександр</x:v>
      </x:c>
      <x:c r="AD201" s="20" t="str"/>
      <x:c r="AE201" s="14" t="str"/>
      <x:c r="AF201" s="14" t="n">
        <x:v>0</x:v>
      </x:c>
      <x:c r="AG201" s="14" t="str">
        <x:v>—</x:v>
      </x:c>
      <x:c r="AH201" s="14" t="n">
        <x:v>0</x:v>
      </x:c>
      <x:c r="AI201" s="14" t="n">
        <x:v>0</x:v>
      </x:c>
      <x:c r="AJ201" s="18" t="n">
        <x:v>0</x:v>
      </x:c>
      <x:c r="AK201" s="14" t="str"/>
      <x:c r="AL201" s="19" t="str"/>
      <x:c r="AM201" s="19" t="str"/>
      <x:c r="AN201" s="15" t="str"/>
      <x:c r="AO201" s="15" t="str">
        <x:v>google_index_verified_2026-08-24</x:v>
      </x:c>
    </x:row>
    <x:row r="202">
      <x:c r="A202" s="14" t="str">
        <x:v>W2-033</x:v>
      </x:c>
      <x:c r="B202" s="14" t="str">
        <x:v>Проєктний сигнал — 24.08</x:v>
      </x:c>
      <x:c r="C202" s="14" t="str">
        <x:v>Август СБ</x:v>
      </x:c>
      <x:c r="D202" s="14" t="str">
        <x:v>Пожежогасіння</x:v>
      </x:c>
      <x:c r="E202" s="14" t="str">
        <x:v>Expansion discovery</x:v>
      </x:c>
      <x:c r="F202" s="17" t="str">
        <x:f>IF(E202="Pilot now",IF(P202&gt;=84,"P1",IF(P202&gt;=72,"P2","P3")),IF(E202="Expansion discovery",IF(Q202&gt;=88,"D1",IF(Q202&gt;=78,"D2","D3")),IF(E202="Later / requirements","L","Legacy")))</x:f>
        <x:v>D1</x:v>
      </x:c>
      <x:c r="G202" s="14" t="str">
        <x:v>augustsb.com.ua</x:v>
      </x:c>
      <x:c r="H202" s="14" t="str">
        <x:v>2-тижневий workflow discovery — потрібні вимоги одного проєкту</x:v>
      </x:c>
      <x:c r="I202" s="16" t="n">
        <x:v>1</x:v>
      </x:c>
      <x:c r="J202" s="16" t="n">
        <x:v>5</x:v>
      </x:c>
      <x:c r="K202" s="16" t="n">
        <x:v>5</x:v>
      </x:c>
      <x:c r="L202" s="16" t="n">
        <x:v>4</x:v>
      </x:c>
      <x:c r="M202" s="16" t="n">
        <x:v>5</x:v>
      </x:c>
      <x:c r="N202" s="16" t="n">
        <x:v>5</x:v>
      </x:c>
      <x:c r="O202" s="16" t="n">
        <x:v>5</x:v>
      </x:c>
      <x:c r="P202" s="16" t="n">
        <x:f>IF(COUNT(I202:O202)&lt;7,"",I202*8+J202*3+K202*2+L202*2+M202*2+N202*2+O202)</x:f>
        <x:v>66</x:v>
      </x:c>
      <x:c r="Q202" s="16" t="n">
        <x:f>IF(COUNT(J202:O202)&lt;6,"",J202*5+K202*4+M202*4+L202*3+N202*2+O202*2)</x:f>
        <x:v>97</x:v>
      </x:c>
      <x:c r="R202" s="14" t="str">
        <x:v>high</x:v>
      </x:c>
      <x:c r="S202" s="14" t="str">
        <x:v>google_index_verified_2026-08-24</x:v>
      </x:c>
      <x:c r="T202" s="14" t="str">
        <x:v>indexed_official_service_page</x:v>
      </x:c>
      <x:c r="U202" s="14" t="str">
        <x:v>Новий — не контактували</x:v>
      </x:c>
      <x:c r="V202" s="15" t="str">
        <x:v>2-тижневий discovery: запросити вимоги 1 активного проєкту + 1 знеособлений артефакт</x:v>
      </x:c>
      <x:c r="W202" s="15" t="str">
        <x:v>Директор; керівник проєктів; керівник монтажу / ПТО</x:v>
      </x:c>
      <x:c r="X202" s="15" t="str">
        <x:v>Монтаж і обслуговування по Україні. Пошуковий результат веде на індексовану сторінку корпоративного домену: Монтаж пожежної сигналізації — Август СБ.</x:v>
      </x:c>
      <x:c r="Y202" s="15" t="str">
        <x:v>Трубопроводи, проходки, спринклери, адресація й випробування потребують доказів до оздоблення та введення.</x:v>
      </x:c>
      <x:c r="Z202" s="15" t="str">
        <x:v>https://augustsb.com.ua/sistemi-pozhezhnoyi-signalizacziyi-prodazh-montazh-obslugovuvannya-po-vsij-ukrayini/</x:v>
      </x:c>
      <x:c r="AA202" s="14" t="str"/>
      <x:c r="AB202" s="14" t="str">
        <x:v>2026-08-24</x:v>
      </x:c>
      <x:c r="AC202" s="14" t="str">
        <x:v>Олександр</x:v>
      </x:c>
      <x:c r="AD202" s="20" t="str"/>
      <x:c r="AE202" s="14" t="str"/>
      <x:c r="AF202" s="14" t="n">
        <x:v>0</x:v>
      </x:c>
      <x:c r="AG202" s="14" t="str">
        <x:v>—</x:v>
      </x:c>
      <x:c r="AH202" s="14" t="n">
        <x:v>0</x:v>
      </x:c>
      <x:c r="AI202" s="14" t="n">
        <x:v>0</x:v>
      </x:c>
      <x:c r="AJ202" s="18" t="n">
        <x:v>0</x:v>
      </x:c>
      <x:c r="AK202" s="14" t="str"/>
      <x:c r="AL202" s="19" t="str"/>
      <x:c r="AM202" s="19" t="str"/>
      <x:c r="AN202" s="15" t="str"/>
      <x:c r="AO202" s="15" t="str">
        <x:v>google_index_verified_2026-08-24</x:v>
      </x:c>
    </x:row>
    <x:row r="203">
      <x:c r="A203" s="14" t="str">
        <x:v>W2-034</x:v>
      </x:c>
      <x:c r="B203" s="14" t="str">
        <x:v>Проєктний сигнал — 24.08</x:v>
      </x:c>
      <x:c r="C203" s="14" t="str">
        <x:v>SHERIFF</x:v>
      </x:c>
      <x:c r="D203" s="14" t="str">
        <x:v>Пожежогасіння</x:v>
      </x:c>
      <x:c r="E203" s="14" t="str">
        <x:v>Expansion discovery</x:v>
      </x:c>
      <x:c r="F203" s="17" t="str">
        <x:f>IF(E203="Pilot now",IF(P203&gt;=84,"P1",IF(P203&gt;=72,"P2","P3")),IF(E203="Expansion discovery",IF(Q203&gt;=88,"D1",IF(Q203&gt;=78,"D2","D3")),IF(E203="Later / requirements","L","Legacy")))</x:f>
        <x:v>D1</x:v>
      </x:c>
      <x:c r="G203" s="14" t="str">
        <x:v>sheriff.com.ua</x:v>
      </x:c>
      <x:c r="H203" s="14" t="str">
        <x:v>2-тижневий workflow discovery — потрібні вимоги одного проєкту</x:v>
      </x:c>
      <x:c r="I203" s="16" t="n">
        <x:v>1</x:v>
      </x:c>
      <x:c r="J203" s="16" t="n">
        <x:v>5</x:v>
      </x:c>
      <x:c r="K203" s="16" t="n">
        <x:v>5</x:v>
      </x:c>
      <x:c r="L203" s="16" t="n">
        <x:v>4</x:v>
      </x:c>
      <x:c r="M203" s="16" t="n">
        <x:v>5</x:v>
      </x:c>
      <x:c r="N203" s="16" t="n">
        <x:v>5</x:v>
      </x:c>
      <x:c r="O203" s="16" t="n">
        <x:v>5</x:v>
      </x:c>
      <x:c r="P203" s="16" t="n">
        <x:f>IF(COUNT(I203:O203)&lt;7,"",I203*8+J203*3+K203*2+L203*2+M203*2+N203*2+O203)</x:f>
        <x:v>66</x:v>
      </x:c>
      <x:c r="Q203" s="16" t="n">
        <x:f>IF(COUNT(J203:O203)&lt;6,"",J203*5+K203*4+M203*4+L203*3+N203*2+O203*2)</x:f>
        <x:v>97</x:v>
      </x:c>
      <x:c r="R203" s="14" t="str">
        <x:v>high</x:v>
      </x:c>
      <x:c r="S203" s="14" t="str">
        <x:v>google_index_verified_2026-08-24</x:v>
      </x:c>
      <x:c r="T203" s="14" t="str">
        <x:v>indexed_official_service_page</x:v>
      </x:c>
      <x:c r="U203" s="14" t="str">
        <x:v>Новий — не контактували</x:v>
      </x:c>
      <x:c r="V203" s="15" t="str">
        <x:v>2-тижневий discovery: запросити вимоги 1 активного проєкту + 1 знеособлений артефакт</x:v>
      </x:c>
      <x:c r="W203" s="15" t="str">
        <x:v>Директор; керівник проєктів; керівник монтажу / ПТО</x:v>
      </x:c>
      <x:c r="X203" s="15" t="str">
        <x:v>Монтаж систем протипожежного захисту. Пошуковий результат веде на індексовану сторінку корпоративного домену: Монтаж систем протипожежного захисту — SHERIFF.</x:v>
      </x:c>
      <x:c r="Y203" s="15" t="str">
        <x:v>Трубопроводи, проходки, спринклери, адресація й випробування потребують доказів до оздоблення та введення.</x:v>
      </x:c>
      <x:c r="Z203" s="15" t="str">
        <x:v>https://sheriff.com.ua/services/montazh-sistem-protipozhezhnogo-zahistu</x:v>
      </x:c>
      <x:c r="AA203" s="14" t="str"/>
      <x:c r="AB203" s="14" t="str">
        <x:v>2026-08-24</x:v>
      </x:c>
      <x:c r="AC203" s="14" t="str">
        <x:v>Олександр</x:v>
      </x:c>
      <x:c r="AD203" s="20" t="str"/>
      <x:c r="AE203" s="14" t="str"/>
      <x:c r="AF203" s="14" t="n">
        <x:v>0</x:v>
      </x:c>
      <x:c r="AG203" s="14" t="str">
        <x:v>—</x:v>
      </x:c>
      <x:c r="AH203" s="14" t="n">
        <x:v>0</x:v>
      </x:c>
      <x:c r="AI203" s="14" t="n">
        <x:v>0</x:v>
      </x:c>
      <x:c r="AJ203" s="18" t="n">
        <x:v>0</x:v>
      </x:c>
      <x:c r="AK203" s="14" t="str"/>
      <x:c r="AL203" s="19" t="str"/>
      <x:c r="AM203" s="19" t="str"/>
      <x:c r="AN203" s="15" t="str"/>
      <x:c r="AO203" s="15" t="str">
        <x:v>google_index_verified_2026-08-24</x:v>
      </x:c>
    </x:row>
    <x:row r="204">
      <x:c r="A204" s="14" t="str">
        <x:v>W2-035</x:v>
      </x:c>
      <x:c r="B204" s="14" t="str">
        <x:v>Проєктний сигнал — 24.08</x:v>
      </x:c>
      <x:c r="C204" s="14" t="str">
        <x:v>Solar-M</x:v>
      </x:c>
      <x:c r="D204" s="14" t="str">
        <x:v>Резервне живлення</x:v>
      </x:c>
      <x:c r="E204" s="14" t="str">
        <x:v>Expansion discovery</x:v>
      </x:c>
      <x:c r="F204" s="17" t="str">
        <x:f>IF(E204="Pilot now",IF(P204&gt;=84,"P1",IF(P204&gt;=72,"P2","P3")),IF(E204="Expansion discovery",IF(Q204&gt;=88,"D1",IF(Q204&gt;=78,"D2","D3")),IF(E204="Later / requirements","L","Legacy")))</x:f>
        <x:v>D1</x:v>
      </x:c>
      <x:c r="G204" s="14" t="str">
        <x:v>solar-m.com.ua</x:v>
      </x:c>
      <x:c r="H204" s="14" t="str">
        <x:v>2-тижневий workflow discovery — потрібні вимоги одного проєкту</x:v>
      </x:c>
      <x:c r="I204" s="16" t="n">
        <x:v>1</x:v>
      </x:c>
      <x:c r="J204" s="16" t="n">
        <x:v>5</x:v>
      </x:c>
      <x:c r="K204" s="16" t="n">
        <x:v>4</x:v>
      </x:c>
      <x:c r="L204" s="16" t="n">
        <x:v>4</x:v>
      </x:c>
      <x:c r="M204" s="16" t="n">
        <x:v>5</x:v>
      </x:c>
      <x:c r="N204" s="16" t="n">
        <x:v>5</x:v>
      </x:c>
      <x:c r="O204" s="16" t="n">
        <x:v>5</x:v>
      </x:c>
      <x:c r="P204" s="16" t="n">
        <x:f>IF(COUNT(I204:O204)&lt;7,"",I204*8+J204*3+K204*2+L204*2+M204*2+N204*2+O204)</x:f>
        <x:v>64</x:v>
      </x:c>
      <x:c r="Q204" s="16" t="n">
        <x:f>IF(COUNT(J204:O204)&lt;6,"",J204*5+K204*4+M204*4+L204*3+N204*2+O204*2)</x:f>
        <x:v>93</x:v>
      </x:c>
      <x:c r="R204" s="14" t="str">
        <x:v>high</x:v>
      </x:c>
      <x:c r="S204" s="14" t="str">
        <x:v>google_index_verified_2026-08-24</x:v>
      </x:c>
      <x:c r="T204" s="14" t="str">
        <x:v>indexed_official_service_page</x:v>
      </x:c>
      <x:c r="U204" s="14" t="str">
        <x:v>Новий — не контактували</x:v>
      </x:c>
      <x:c r="V204" s="15" t="str">
        <x:v>2-тижневий discovery: запросити вимоги 1 активного проєкту + 1 знеособлений артефакт</x:v>
      </x:c>
      <x:c r="W204" s="15" t="str">
        <x:v>Комерційний директор; керівник енергетичних проєктів; ПТО / ПНР</x:v>
      </x:c>
      <x:c r="X204" s="15" t="str">
        <x:v>Системи резервного живлення. Пошуковий результат веде на індексовану сторінку корпоративного домену: ДБЖ та сонячні станції — Solar-M.</x:v>
      </x:c>
      <x:c r="Y204" s="15" t="str">
        <x:v>Кабельні траси, АВР, заземлення, налаштування ДБЖ і тест під навантаженням формують контрольний пакет.</x:v>
      </x:c>
      <x:c r="Z204" s="15" t="str">
        <x:v>https://solar-m.com.ua/dbzh-ta-sonyachni-stancziyi-dlya-bagatokvartyrnyh-budynkiv/</x:v>
      </x:c>
      <x:c r="AA204" s="14" t="str"/>
      <x:c r="AB204" s="14" t="str">
        <x:v>2026-08-24</x:v>
      </x:c>
      <x:c r="AC204" s="14" t="str">
        <x:v>Олександр</x:v>
      </x:c>
      <x:c r="AD204" s="20" t="str"/>
      <x:c r="AE204" s="14" t="str"/>
      <x:c r="AF204" s="14" t="n">
        <x:v>0</x:v>
      </x:c>
      <x:c r="AG204" s="14" t="str">
        <x:v>—</x:v>
      </x:c>
      <x:c r="AH204" s="14" t="n">
        <x:v>0</x:v>
      </x:c>
      <x:c r="AI204" s="14" t="n">
        <x:v>0</x:v>
      </x:c>
      <x:c r="AJ204" s="18" t="n">
        <x:v>0</x:v>
      </x:c>
      <x:c r="AK204" s="14" t="str"/>
      <x:c r="AL204" s="19" t="str"/>
      <x:c r="AM204" s="19" t="str"/>
      <x:c r="AN204" s="15" t="str"/>
      <x:c r="AO204" s="15" t="str">
        <x:v>google_index_verified_2026-08-24</x:v>
      </x:c>
    </x:row>
    <x:row r="205">
      <x:c r="A205" s="14" t="str">
        <x:v>W2-036</x:v>
      </x:c>
      <x:c r="B205" s="14" t="str">
        <x:v>Проєктний сигнал — 24.08</x:v>
      </x:c>
      <x:c r="C205" s="14" t="str">
        <x:v>UNTEK</x:v>
      </x:c>
      <x:c r="D205" s="14" t="str">
        <x:v>Резервне живлення</x:v>
      </x:c>
      <x:c r="E205" s="14" t="str">
        <x:v>Expansion discovery</x:v>
      </x:c>
      <x:c r="F205" s="17" t="str">
        <x:f>IF(E205="Pilot now",IF(P205&gt;=84,"P1",IF(P205&gt;=72,"P2","P3")),IF(E205="Expansion discovery",IF(Q205&gt;=88,"D1",IF(Q205&gt;=78,"D2","D3")),IF(E205="Later / requirements","L","Legacy")))</x:f>
        <x:v>D1</x:v>
      </x:c>
      <x:c r="G205" s="14" t="str">
        <x:v>untek.com.ua</x:v>
      </x:c>
      <x:c r="H205" s="14" t="str">
        <x:v>2-тижневий workflow discovery — потрібні вимоги одного проєкту</x:v>
      </x:c>
      <x:c r="I205" s="16" t="n">
        <x:v>1</x:v>
      </x:c>
      <x:c r="J205" s="16" t="n">
        <x:v>5</x:v>
      </x:c>
      <x:c r="K205" s="16" t="n">
        <x:v>4</x:v>
      </x:c>
      <x:c r="L205" s="16" t="n">
        <x:v>4</x:v>
      </x:c>
      <x:c r="M205" s="16" t="n">
        <x:v>5</x:v>
      </x:c>
      <x:c r="N205" s="16" t="n">
        <x:v>5</x:v>
      </x:c>
      <x:c r="O205" s="16" t="n">
        <x:v>5</x:v>
      </x:c>
      <x:c r="P205" s="16" t="n">
        <x:f>IF(COUNT(I205:O205)&lt;7,"",I205*8+J205*3+K205*2+L205*2+M205*2+N205*2+O205)</x:f>
        <x:v>64</x:v>
      </x:c>
      <x:c r="Q205" s="16" t="n">
        <x:f>IF(COUNT(J205:O205)&lt;6,"",J205*5+K205*4+M205*4+L205*3+N205*2+O205*2)</x:f>
        <x:v>93</x:v>
      </x:c>
      <x:c r="R205" s="14" t="str">
        <x:v>high</x:v>
      </x:c>
      <x:c r="S205" s="14" t="str">
        <x:v>google_index_verified_2026-08-24</x:v>
      </x:c>
      <x:c r="T205" s="14" t="str">
        <x:v>indexed_official_service_page</x:v>
      </x:c>
      <x:c r="U205" s="14" t="str">
        <x:v>Новий — не контактували</x:v>
      </x:c>
      <x:c r="V205" s="15" t="str">
        <x:v>2-тижневий discovery: запросити вимоги 1 активного проєкту + 1 знеособлений артефакт</x:v>
      </x:c>
      <x:c r="W205" s="15" t="str">
        <x:v>Комерційний директор; керівник енергетичних проєктів; ПТО / ПНР</x:v>
      </x:c>
      <x:c r="X205" s="15" t="str">
        <x:v>Монтаж автономного живлення. Пошуковий результат веде на індексовану сторінку корпоративного домену: Безперебійне живлення під ключ — UNTEK.</x:v>
      </x:c>
      <x:c r="Y205" s="15" t="str">
        <x:v>Кабельні траси, АВР, заземлення, налаштування ДБЖ і тест під навантаженням формують контрольний пакет.</x:v>
      </x:c>
      <x:c r="Z205" s="15" t="str">
        <x:v>https://untek.com.ua/avtonomne-zhyvlennia</x:v>
      </x:c>
      <x:c r="AA205" s="14" t="str"/>
      <x:c r="AB205" s="14" t="str">
        <x:v>2026-08-24</x:v>
      </x:c>
      <x:c r="AC205" s="14" t="str">
        <x:v>Олександр</x:v>
      </x:c>
      <x:c r="AD205" s="20" t="str"/>
      <x:c r="AE205" s="14" t="str"/>
      <x:c r="AF205" s="14" t="n">
        <x:v>0</x:v>
      </x:c>
      <x:c r="AG205" s="14" t="str">
        <x:v>—</x:v>
      </x:c>
      <x:c r="AH205" s="14" t="n">
        <x:v>0</x:v>
      </x:c>
      <x:c r="AI205" s="14" t="n">
        <x:v>0</x:v>
      </x:c>
      <x:c r="AJ205" s="18" t="n">
        <x:v>0</x:v>
      </x:c>
      <x:c r="AK205" s="14" t="str"/>
      <x:c r="AL205" s="19" t="str"/>
      <x:c r="AM205" s="19" t="str"/>
      <x:c r="AN205" s="15" t="str"/>
      <x:c r="AO205" s="15" t="str">
        <x:v>google_index_verified_2026-08-24</x:v>
      </x:c>
    </x:row>
    <x:row r="206">
      <x:c r="A206" s="14" t="str">
        <x:v>W2-037</x:v>
      </x:c>
      <x:c r="B206" s="14" t="str">
        <x:v>Проєктний сигнал — 24.08</x:v>
      </x:c>
      <x:c r="C206" s="14" t="str">
        <x:v>Suntime</x:v>
      </x:c>
      <x:c r="D206" s="14" t="str">
        <x:v>Резервне живлення</x:v>
      </x:c>
      <x:c r="E206" s="14" t="str">
        <x:v>Expansion discovery</x:v>
      </x:c>
      <x:c r="F206" s="17" t="str">
        <x:f>IF(E206="Pilot now",IF(P206&gt;=84,"P1",IF(P206&gt;=72,"P2","P3")),IF(E206="Expansion discovery",IF(Q206&gt;=88,"D1",IF(Q206&gt;=78,"D2","D3")),IF(E206="Later / requirements","L","Legacy")))</x:f>
        <x:v>D1</x:v>
      </x:c>
      <x:c r="G206" s="14" t="str">
        <x:v>suntime.in.ua</x:v>
      </x:c>
      <x:c r="H206" s="14" t="str">
        <x:v>2-тижневий workflow discovery — потрібні вимоги одного проєкту</x:v>
      </x:c>
      <x:c r="I206" s="16" t="n">
        <x:v>1</x:v>
      </x:c>
      <x:c r="J206" s="16" t="n">
        <x:v>5</x:v>
      </x:c>
      <x:c r="K206" s="16" t="n">
        <x:v>4</x:v>
      </x:c>
      <x:c r="L206" s="16" t="n">
        <x:v>4</x:v>
      </x:c>
      <x:c r="M206" s="16" t="n">
        <x:v>5</x:v>
      </x:c>
      <x:c r="N206" s="16" t="n">
        <x:v>5</x:v>
      </x:c>
      <x:c r="O206" s="16" t="n">
        <x:v>5</x:v>
      </x:c>
      <x:c r="P206" s="16" t="n">
        <x:f>IF(COUNT(I206:O206)&lt;7,"",I206*8+J206*3+K206*2+L206*2+M206*2+N206*2+O206)</x:f>
        <x:v>64</x:v>
      </x:c>
      <x:c r="Q206" s="16" t="n">
        <x:f>IF(COUNT(J206:O206)&lt;6,"",J206*5+K206*4+M206*4+L206*3+N206*2+O206*2)</x:f>
        <x:v>93</x:v>
      </x:c>
      <x:c r="R206" s="14" t="str">
        <x:v>high</x:v>
      </x:c>
      <x:c r="S206" s="14" t="str">
        <x:v>google_index_verified_2026-08-24</x:v>
      </x:c>
      <x:c r="T206" s="14" t="str">
        <x:v>indexed_official_service_page</x:v>
      </x:c>
      <x:c r="U206" s="14" t="str">
        <x:v>Новий — не контактували</x:v>
      </x:c>
      <x:c r="V206" s="15" t="str">
        <x:v>2-тижневий discovery: запросити вимоги 1 активного проєкту + 1 знеособлений артефакт</x:v>
      </x:c>
      <x:c r="W206" s="15" t="str">
        <x:v>Комерційний директор; керівник енергетичних проєктів; ПТО / ПНР</x:v>
      </x:c>
      <x:c r="X206" s="15" t="str">
        <x:v>Будівництво систем резервного живлення. Пошуковий результат веде на індексовану сторінку корпоративного домену: Будівництво систем безперебійного живлення — Suntime.</x:v>
      </x:c>
      <x:c r="Y206" s="15" t="str">
        <x:v>Кабельні траси, АВР, заземлення, налаштування ДБЖ і тест під навантаженням формують контрольний пакет.</x:v>
      </x:c>
      <x:c r="Z206" s="15" t="str">
        <x:v>https://suntime.in.ua/services/budivnytstvo-system-bezperebiinoho-zhyvlennia/</x:v>
      </x:c>
      <x:c r="AA206" s="14" t="str"/>
      <x:c r="AB206" s="14" t="str">
        <x:v>2026-08-24</x:v>
      </x:c>
      <x:c r="AC206" s="14" t="str">
        <x:v>Олександр</x:v>
      </x:c>
      <x:c r="AD206" s="20" t="str"/>
      <x:c r="AE206" s="14" t="str"/>
      <x:c r="AF206" s="14" t="n">
        <x:v>0</x:v>
      </x:c>
      <x:c r="AG206" s="14" t="str">
        <x:v>—</x:v>
      </x:c>
      <x:c r="AH206" s="14" t="n">
        <x:v>0</x:v>
      </x:c>
      <x:c r="AI206" s="14" t="n">
        <x:v>0</x:v>
      </x:c>
      <x:c r="AJ206" s="18" t="n">
        <x:v>0</x:v>
      </x:c>
      <x:c r="AK206" s="14" t="str"/>
      <x:c r="AL206" s="19" t="str"/>
      <x:c r="AM206" s="19" t="str"/>
      <x:c r="AN206" s="15" t="str"/>
      <x:c r="AO206" s="15" t="str">
        <x:v>google_index_verified_2026-08-24</x:v>
      </x:c>
    </x:row>
    <x:row r="207">
      <x:c r="A207" s="14" t="str">
        <x:v>W2-038</x:v>
      </x:c>
      <x:c r="B207" s="14" t="str">
        <x:v>Проєктний сигнал — 24.08</x:v>
      </x:c>
      <x:c r="C207" s="14" t="str">
        <x:v>220 Help</x:v>
      </x:c>
      <x:c r="D207" s="14" t="str">
        <x:v>Резервне живлення</x:v>
      </x:c>
      <x:c r="E207" s="14" t="str">
        <x:v>Expansion discovery</x:v>
      </x:c>
      <x:c r="F207" s="17" t="str">
        <x:f>IF(E207="Pilot now",IF(P207&gt;=84,"P1",IF(P207&gt;=72,"P2","P3")),IF(E207="Expansion discovery",IF(Q207&gt;=88,"D1",IF(Q207&gt;=78,"D2","D3")),IF(E207="Later / requirements","L","Legacy")))</x:f>
        <x:v>D1</x:v>
      </x:c>
      <x:c r="G207" s="14" t="str">
        <x:v>220help.com.ua</x:v>
      </x:c>
      <x:c r="H207" s="14" t="str">
        <x:v>2-тижневий workflow discovery — потрібні вимоги одного проєкту</x:v>
      </x:c>
      <x:c r="I207" s="16" t="n">
        <x:v>1</x:v>
      </x:c>
      <x:c r="J207" s="16" t="n">
        <x:v>5</x:v>
      </x:c>
      <x:c r="K207" s="16" t="n">
        <x:v>4</x:v>
      </x:c>
      <x:c r="L207" s="16" t="n">
        <x:v>4</x:v>
      </x:c>
      <x:c r="M207" s="16" t="n">
        <x:v>5</x:v>
      </x:c>
      <x:c r="N207" s="16" t="n">
        <x:v>5</x:v>
      </x:c>
      <x:c r="O207" s="16" t="n">
        <x:v>5</x:v>
      </x:c>
      <x:c r="P207" s="16" t="n">
        <x:f>IF(COUNT(I207:O207)&lt;7,"",I207*8+J207*3+K207*2+L207*2+M207*2+N207*2+O207)</x:f>
        <x:v>64</x:v>
      </x:c>
      <x:c r="Q207" s="16" t="n">
        <x:f>IF(COUNT(J207:O207)&lt;6,"",J207*5+K207*4+M207*4+L207*3+N207*2+O207*2)</x:f>
        <x:v>93</x:v>
      </x:c>
      <x:c r="R207" s="14" t="str">
        <x:v>high</x:v>
      </x:c>
      <x:c r="S207" s="14" t="str">
        <x:v>google_index_verified_2026-08-24</x:v>
      </x:c>
      <x:c r="T207" s="14" t="str">
        <x:v>indexed_official_service_page</x:v>
      </x:c>
      <x:c r="U207" s="14" t="str">
        <x:v>Новий — не контактували</x:v>
      </x:c>
      <x:c r="V207" s="15" t="str">
        <x:v>2-тижневий discovery: запросити вимоги 1 активного проєкту + 1 знеособлений артефакт</x:v>
      </x:c>
      <x:c r="W207" s="15" t="str">
        <x:v>Комерційний директор; керівник енергетичних проєктів; ПТО / ПНР</x:v>
      </x:c>
      <x:c r="X207" s="15" t="str">
        <x:v>Монтаж резервного живлення. Пошуковий результат веде на індексовану сторінку корпоративного домену: Встановлення резервного живлення — 220 Help.</x:v>
      </x:c>
      <x:c r="Y207" s="15" t="str">
        <x:v>Кабельні траси, АВР, заземлення, налаштування ДБЖ і тест під навантаженням формують контрольний пакет.</x:v>
      </x:c>
      <x:c r="Z207" s="15" t="str">
        <x:v>https://220help.com.ua/electrician_services/ustanovlennia-rezervnoho-zhyvlennia-kyiv/</x:v>
      </x:c>
      <x:c r="AA207" s="14" t="str"/>
      <x:c r="AB207" s="14" t="str">
        <x:v>2026-08-24</x:v>
      </x:c>
      <x:c r="AC207" s="14" t="str">
        <x:v>Олександр</x:v>
      </x:c>
      <x:c r="AD207" s="20" t="str"/>
      <x:c r="AE207" s="14" t="str"/>
      <x:c r="AF207" s="14" t="n">
        <x:v>0</x:v>
      </x:c>
      <x:c r="AG207" s="14" t="str">
        <x:v>—</x:v>
      </x:c>
      <x:c r="AH207" s="14" t="n">
        <x:v>0</x:v>
      </x:c>
      <x:c r="AI207" s="14" t="n">
        <x:v>0</x:v>
      </x:c>
      <x:c r="AJ207" s="18" t="n">
        <x:v>0</x:v>
      </x:c>
      <x:c r="AK207" s="14" t="str"/>
      <x:c r="AL207" s="19" t="str"/>
      <x:c r="AM207" s="19" t="str"/>
      <x:c r="AN207" s="15" t="str"/>
      <x:c r="AO207" s="15" t="str">
        <x:v>google_index_verified_2026-08-24</x:v>
      </x:c>
    </x:row>
    <x:row r="208">
      <x:c r="A208" s="14" t="str">
        <x:v>W2-039</x:v>
      </x:c>
      <x:c r="B208" s="14" t="str">
        <x:v>Проєктний сигнал — 24.08</x:v>
      </x:c>
      <x:c r="C208" s="14" t="str">
        <x:v>ГЕКО-Центр</x:v>
      </x:c>
      <x:c r="D208" s="14" t="str">
        <x:v>Резервне живлення</x:v>
      </x:c>
      <x:c r="E208" s="14" t="str">
        <x:v>Expansion discovery</x:v>
      </x:c>
      <x:c r="F208" s="17" t="str">
        <x:f>IF(E208="Pilot now",IF(P208&gt;=84,"P1",IF(P208&gt;=72,"P2","P3")),IF(E208="Expansion discovery",IF(Q208&gt;=88,"D1",IF(Q208&gt;=78,"D2","D3")),IF(E208="Later / requirements","L","Legacy")))</x:f>
        <x:v>D1</x:v>
      </x:c>
      <x:c r="G208" s="14" t="str">
        <x:v>geko.kiev.ua</x:v>
      </x:c>
      <x:c r="H208" s="14" t="str">
        <x:v>2-тижневий workflow discovery — потрібні вимоги одного проєкту</x:v>
      </x:c>
      <x:c r="I208" s="16" t="n">
        <x:v>1</x:v>
      </x:c>
      <x:c r="J208" s="16" t="n">
        <x:v>5</x:v>
      </x:c>
      <x:c r="K208" s="16" t="n">
        <x:v>4</x:v>
      </x:c>
      <x:c r="L208" s="16" t="n">
        <x:v>4</x:v>
      </x:c>
      <x:c r="M208" s="16" t="n">
        <x:v>5</x:v>
      </x:c>
      <x:c r="N208" s="16" t="n">
        <x:v>5</x:v>
      </x:c>
      <x:c r="O208" s="16" t="n">
        <x:v>5</x:v>
      </x:c>
      <x:c r="P208" s="16" t="n">
        <x:f>IF(COUNT(I208:O208)&lt;7,"",I208*8+J208*3+K208*2+L208*2+M208*2+N208*2+O208)</x:f>
        <x:v>64</x:v>
      </x:c>
      <x:c r="Q208" s="16" t="n">
        <x:f>IF(COUNT(J208:O208)&lt;6,"",J208*5+K208*4+M208*4+L208*3+N208*2+O208*2)</x:f>
        <x:v>93</x:v>
      </x:c>
      <x:c r="R208" s="14" t="str">
        <x:v>high</x:v>
      </x:c>
      <x:c r="S208" s="14" t="str">
        <x:v>google_index_verified_2026-08-24</x:v>
      </x:c>
      <x:c r="T208" s="14" t="str">
        <x:v>indexed_official_service_page</x:v>
      </x:c>
      <x:c r="U208" s="14" t="str">
        <x:v>Новий — не контактували</x:v>
      </x:c>
      <x:c r="V208" s="15" t="str">
        <x:v>2-тижневий discovery: запросити вимоги 1 активного проєкту + 1 знеособлений артефакт</x:v>
      </x:c>
      <x:c r="W208" s="15" t="str">
        <x:v>Комерційний директор; керівник енергетичних проєктів; ПТО / ПНР</x:v>
      </x:c>
      <x:c r="X208" s="15" t="str">
        <x:v>Публічні проєкти електропостачання. Пошуковий результат веде на індексовану сторінку корпоративного домену: Проєкти систем електропостачання — ГЕКО-Центр.</x:v>
      </x:c>
      <x:c r="Y208" s="15" t="str">
        <x:v>Кабельні траси, АВР, заземлення, налаштування ДБЖ і тест під навантаженням формують контрольний пакет.</x:v>
      </x:c>
      <x:c r="Z208" s="15" t="str">
        <x:v>https://geko.kiev.ua/nashi-proekty/</x:v>
      </x:c>
      <x:c r="AA208" s="14" t="str"/>
      <x:c r="AB208" s="14" t="str">
        <x:v>2026-08-24</x:v>
      </x:c>
      <x:c r="AC208" s="14" t="str">
        <x:v>Олександр</x:v>
      </x:c>
      <x:c r="AD208" s="20" t="str"/>
      <x:c r="AE208" s="14" t="str"/>
      <x:c r="AF208" s="14" t="n">
        <x:v>0</x:v>
      </x:c>
      <x:c r="AG208" s="14" t="str">
        <x:v>—</x:v>
      </x:c>
      <x:c r="AH208" s="14" t="n">
        <x:v>0</x:v>
      </x:c>
      <x:c r="AI208" s="14" t="n">
        <x:v>0</x:v>
      </x:c>
      <x:c r="AJ208" s="18" t="n">
        <x:v>0</x:v>
      </x:c>
      <x:c r="AK208" s="14" t="str"/>
      <x:c r="AL208" s="19" t="str"/>
      <x:c r="AM208" s="19" t="str"/>
      <x:c r="AN208" s="15" t="str"/>
      <x:c r="AO208" s="15" t="str">
        <x:v>google_index_verified_2026-08-24</x:v>
      </x:c>
    </x:row>
    <x:row r="209">
      <x:c r="A209" s="14" t="str">
        <x:v>W2-040</x:v>
      </x:c>
      <x:c r="B209" s="14" t="str">
        <x:v>Проєктний сигнал — 24.08</x:v>
      </x:c>
      <x:c r="C209" s="14" t="str">
        <x:v>EnergoSeti</x:v>
      </x:c>
      <x:c r="D209" s="14" t="str">
        <x:v>Резервне живлення</x:v>
      </x:c>
      <x:c r="E209" s="14" t="str">
        <x:v>Expansion discovery</x:v>
      </x:c>
      <x:c r="F209" s="17" t="str">
        <x:f>IF(E209="Pilot now",IF(P209&gt;=84,"P1",IF(P209&gt;=72,"P2","P3")),IF(E209="Expansion discovery",IF(Q209&gt;=88,"D1",IF(Q209&gt;=78,"D2","D3")),IF(E209="Later / requirements","L","Legacy")))</x:f>
        <x:v>D1</x:v>
      </x:c>
      <x:c r="G209" s="14" t="str">
        <x:v>energoseti.com.ua</x:v>
      </x:c>
      <x:c r="H209" s="14" t="str">
        <x:v>2-тижневий workflow discovery — потрібні вимоги одного проєкту</x:v>
      </x:c>
      <x:c r="I209" s="16" t="n">
        <x:v>1</x:v>
      </x:c>
      <x:c r="J209" s="16" t="n">
        <x:v>5</x:v>
      </x:c>
      <x:c r="K209" s="16" t="n">
        <x:v>4</x:v>
      </x:c>
      <x:c r="L209" s="16" t="n">
        <x:v>4</x:v>
      </x:c>
      <x:c r="M209" s="16" t="n">
        <x:v>5</x:v>
      </x:c>
      <x:c r="N209" s="16" t="n">
        <x:v>5</x:v>
      </x:c>
      <x:c r="O209" s="16" t="n">
        <x:v>5</x:v>
      </x:c>
      <x:c r="P209" s="16" t="n">
        <x:f>IF(COUNT(I209:O209)&lt;7,"",I209*8+J209*3+K209*2+L209*2+M209*2+N209*2+O209)</x:f>
        <x:v>64</x:v>
      </x:c>
      <x:c r="Q209" s="16" t="n">
        <x:f>IF(COUNT(J209:O209)&lt;6,"",J209*5+K209*4+M209*4+L209*3+N209*2+O209*2)</x:f>
        <x:v>93</x:v>
      </x:c>
      <x:c r="R209" s="14" t="str">
        <x:v>high</x:v>
      </x:c>
      <x:c r="S209" s="14" t="str">
        <x:v>google_index_verified_2026-08-24</x:v>
      </x:c>
      <x:c r="T209" s="14" t="str">
        <x:v>indexed_official_service_page</x:v>
      </x:c>
      <x:c r="U209" s="14" t="str">
        <x:v>Новий — не контактували</x:v>
      </x:c>
      <x:c r="V209" s="15" t="str">
        <x:v>2-тижневий discovery: запросити вимоги 1 активного проєкту + 1 знеособлений артефакт</x:v>
      </x:c>
      <x:c r="W209" s="15" t="str">
        <x:v>Комерційний директор; керівник енергетичних проєктів; ПТО / ПНР</x:v>
      </x:c>
      <x:c r="X209" s="15" t="str">
        <x:v>Проєктування, монтаж і підключення. Пошуковий результат веде на індексовану сторінку корпоративного домену: Аварійне резервне електропостачання — EnergoSeti.</x:v>
      </x:c>
      <x:c r="Y209" s="15" t="str">
        <x:v>Кабельні траси, АВР, заземлення, налаштування ДБЖ і тест під навантаженням формують контрольний пакет.</x:v>
      </x:c>
      <x:c r="Z209" s="15" t="str">
        <x:v>https://energoseti.com.ua/avarijne-rezervne-elektropostachannya</x:v>
      </x:c>
      <x:c r="AA209" s="14" t="str"/>
      <x:c r="AB209" s="14" t="str">
        <x:v>2026-08-24</x:v>
      </x:c>
      <x:c r="AC209" s="14" t="str">
        <x:v>Олександр</x:v>
      </x:c>
      <x:c r="AD209" s="20" t="str"/>
      <x:c r="AE209" s="14" t="str"/>
      <x:c r="AF209" s="14" t="n">
        <x:v>0</x:v>
      </x:c>
      <x:c r="AG209" s="14" t="str">
        <x:v>—</x:v>
      </x:c>
      <x:c r="AH209" s="14" t="n">
        <x:v>0</x:v>
      </x:c>
      <x:c r="AI209" s="14" t="n">
        <x:v>0</x:v>
      </x:c>
      <x:c r="AJ209" s="18" t="n">
        <x:v>0</x:v>
      </x:c>
      <x:c r="AK209" s="14" t="str"/>
      <x:c r="AL209" s="19" t="str"/>
      <x:c r="AM209" s="19" t="str"/>
      <x:c r="AN209" s="15" t="str"/>
      <x:c r="AO209" s="15" t="str">
        <x:v>google_index_verified_2026-08-24</x:v>
      </x:c>
    </x:row>
    <x:row r="210">
      <x:c r="A210" s="14" t="str">
        <x:v>W2-041</x:v>
      </x:c>
      <x:c r="B210" s="14" t="str">
        <x:v>Проєктний сигнал — 24.08</x:v>
      </x:c>
      <x:c r="C210" s="14" t="str">
        <x:v>Solensy</x:v>
      </x:c>
      <x:c r="D210" s="14" t="str">
        <x:v>Резервне живлення</x:v>
      </x:c>
      <x:c r="E210" s="14" t="str">
        <x:v>Expansion discovery</x:v>
      </x:c>
      <x:c r="F210" s="17" t="str">
        <x:f>IF(E210="Pilot now",IF(P210&gt;=84,"P1",IF(P210&gt;=72,"P2","P3")),IF(E210="Expansion discovery",IF(Q210&gt;=88,"D1",IF(Q210&gt;=78,"D2","D3")),IF(E210="Later / requirements","L","Legacy")))</x:f>
        <x:v>D1</x:v>
      </x:c>
      <x:c r="G210" s="14" t="str">
        <x:v>solensy.com.ua</x:v>
      </x:c>
      <x:c r="H210" s="14" t="str">
        <x:v>2-тижневий workflow discovery — потрібні вимоги одного проєкту</x:v>
      </x:c>
      <x:c r="I210" s="16" t="n">
        <x:v>1</x:v>
      </x:c>
      <x:c r="J210" s="16" t="n">
        <x:v>5</x:v>
      </x:c>
      <x:c r="K210" s="16" t="n">
        <x:v>4</x:v>
      </x:c>
      <x:c r="L210" s="16" t="n">
        <x:v>4</x:v>
      </x:c>
      <x:c r="M210" s="16" t="n">
        <x:v>5</x:v>
      </x:c>
      <x:c r="N210" s="16" t="n">
        <x:v>5</x:v>
      </x:c>
      <x:c r="O210" s="16" t="n">
        <x:v>5</x:v>
      </x:c>
      <x:c r="P210" s="16" t="n">
        <x:f>IF(COUNT(I210:O210)&lt;7,"",I210*8+J210*3+K210*2+L210*2+M210*2+N210*2+O210)</x:f>
        <x:v>64</x:v>
      </x:c>
      <x:c r="Q210" s="16" t="n">
        <x:f>IF(COUNT(J210:O210)&lt;6,"",J210*5+K210*4+M210*4+L210*3+N210*2+O210*2)</x:f>
        <x:v>93</x:v>
      </x:c>
      <x:c r="R210" s="14" t="str">
        <x:v>high</x:v>
      </x:c>
      <x:c r="S210" s="14" t="str">
        <x:v>google_index_verified_2026-08-24</x:v>
      </x:c>
      <x:c r="T210" s="14" t="str">
        <x:v>indexed_official_service_page</x:v>
      </x:c>
      <x:c r="U210" s="14" t="str">
        <x:v>Новий — не контактували</x:v>
      </x:c>
      <x:c r="V210" s="15" t="str">
        <x:v>2-тижневий discovery: запросити вимоги 1 активного проєкту + 1 знеособлений артефакт</x:v>
      </x:c>
      <x:c r="W210" s="15" t="str">
        <x:v>Комерційний директор; керівник енергетичних проєктів; ПТО / ПНР</x:v>
      </x:c>
      <x:c r="X210" s="15" t="str">
        <x:v>Монтаж систем ДБЖ. Пошуковий результат веде на індексовану сторінку корпоративного домену: Резервне електроживлення під ключ — Solensy.</x:v>
      </x:c>
      <x:c r="Y210" s="15" t="str">
        <x:v>Кабельні траси, АВР, заземлення, налаштування ДБЖ і тест під навантаженням формують контрольний пакет.</x:v>
      </x:c>
      <x:c r="Z210" s="15" t="str">
        <x:v>https://solensy.com.ua/rezervne-elektrogivlennya/</x:v>
      </x:c>
      <x:c r="AA210" s="14" t="str"/>
      <x:c r="AB210" s="14" t="str">
        <x:v>2026-08-24</x:v>
      </x:c>
      <x:c r="AC210" s="14" t="str">
        <x:v>Олександр</x:v>
      </x:c>
      <x:c r="AD210" s="20" t="str"/>
      <x:c r="AE210" s="14" t="str"/>
      <x:c r="AF210" s="14" t="n">
        <x:v>0</x:v>
      </x:c>
      <x:c r="AG210" s="14" t="str">
        <x:v>—</x:v>
      </x:c>
      <x:c r="AH210" s="14" t="n">
        <x:v>0</x:v>
      </x:c>
      <x:c r="AI210" s="14" t="n">
        <x:v>0</x:v>
      </x:c>
      <x:c r="AJ210" s="18" t="n">
        <x:v>0</x:v>
      </x:c>
      <x:c r="AK210" s="14" t="str"/>
      <x:c r="AL210" s="19" t="str"/>
      <x:c r="AM210" s="19" t="str"/>
      <x:c r="AN210" s="15" t="str"/>
      <x:c r="AO210" s="15" t="str">
        <x:v>google_index_verified_2026-08-24</x:v>
      </x:c>
    </x:row>
    <x:row r="211">
      <x:c r="A211" s="14" t="str">
        <x:v>W2-042</x:v>
      </x:c>
      <x:c r="B211" s="14" t="str">
        <x:v>Проєктний сигнал — 24.08</x:v>
      </x:c>
      <x:c r="C211" s="14" t="str">
        <x:v>AKSA Generator Ukraine</x:v>
      </x:c>
      <x:c r="D211" s="14" t="str">
        <x:v>Резервне живлення</x:v>
      </x:c>
      <x:c r="E211" s="14" t="str">
        <x:v>Expansion discovery</x:v>
      </x:c>
      <x:c r="F211" s="17" t="str">
        <x:f>IF(E211="Pilot now",IF(P211&gt;=84,"P1",IF(P211&gt;=72,"P2","P3")),IF(E211="Expansion discovery",IF(Q211&gt;=88,"D1",IF(Q211&gt;=78,"D2","D3")),IF(E211="Later / requirements","L","Legacy")))</x:f>
        <x:v>D1</x:v>
      </x:c>
      <x:c r="G211" s="14" t="str">
        <x:v>aksagenerator.com.ua</x:v>
      </x:c>
      <x:c r="H211" s="14" t="str">
        <x:v>2-тижневий workflow discovery — потрібні вимоги одного проєкту</x:v>
      </x:c>
      <x:c r="I211" s="16" t="n">
        <x:v>1</x:v>
      </x:c>
      <x:c r="J211" s="16" t="n">
        <x:v>5</x:v>
      </x:c>
      <x:c r="K211" s="16" t="n">
        <x:v>4</x:v>
      </x:c>
      <x:c r="L211" s="16" t="n">
        <x:v>4</x:v>
      </x:c>
      <x:c r="M211" s="16" t="n">
        <x:v>5</x:v>
      </x:c>
      <x:c r="N211" s="16" t="n">
        <x:v>5</x:v>
      </x:c>
      <x:c r="O211" s="16" t="n">
        <x:v>5</x:v>
      </x:c>
      <x:c r="P211" s="16" t="n">
        <x:f>IF(COUNT(I211:O211)&lt;7,"",I211*8+J211*3+K211*2+L211*2+M211*2+N211*2+O211)</x:f>
        <x:v>64</x:v>
      </x:c>
      <x:c r="Q211" s="16" t="n">
        <x:f>IF(COUNT(J211:O211)&lt;6,"",J211*5+K211*4+M211*4+L211*3+N211*2+O211*2)</x:f>
        <x:v>93</x:v>
      </x:c>
      <x:c r="R211" s="14" t="str">
        <x:v>high</x:v>
      </x:c>
      <x:c r="S211" s="14" t="str">
        <x:v>google_index_verified_2026-08-24</x:v>
      </x:c>
      <x:c r="T211" s="14" t="str">
        <x:v>indexed_official_service_page</x:v>
      </x:c>
      <x:c r="U211" s="14" t="str">
        <x:v>Новий — не контактували</x:v>
      </x:c>
      <x:c r="V211" s="15" t="str">
        <x:v>2-тижневий discovery: запросити вимоги 1 активного проєкту + 1 знеособлений артефакт</x:v>
      </x:c>
      <x:c r="W211" s="15" t="str">
        <x:v>Комерційний директор; керівник енергетичних проєктів; ПТО / ПНР</x:v>
      </x:c>
      <x:c r="X211" s="15" t="str">
        <x:v>Генераторні системи для критичної інфраструктури. Пошуковий результат веде на індексовану сторінку корпоративного домену: Резервне живлення дата-центру — AKSA Generator.</x:v>
      </x:c>
      <x:c r="Y211" s="15" t="str">
        <x:v>Кабельні траси, АВР, заземлення, налаштування ДБЖ і тест під навантаженням формують контрольний пакет.</x:v>
      </x:c>
      <x:c r="Z211" s="15" t="str">
        <x:v>https://aksagenerator.com.ua/index.php?route=octemplates/blog/oct_blogarticle&amp;blogarticle_id=33</x:v>
      </x:c>
      <x:c r="AA211" s="14" t="str"/>
      <x:c r="AB211" s="14" t="str">
        <x:v>2026-08-24</x:v>
      </x:c>
      <x:c r="AC211" s="14" t="str">
        <x:v>Олександр</x:v>
      </x:c>
      <x:c r="AD211" s="20" t="str"/>
      <x:c r="AE211" s="14" t="str"/>
      <x:c r="AF211" s="14" t="n">
        <x:v>0</x:v>
      </x:c>
      <x:c r="AG211" s="14" t="str">
        <x:v>—</x:v>
      </x:c>
      <x:c r="AH211" s="14" t="n">
        <x:v>0</x:v>
      </x:c>
      <x:c r="AI211" s="14" t="n">
        <x:v>0</x:v>
      </x:c>
      <x:c r="AJ211" s="18" t="n">
        <x:v>0</x:v>
      </x:c>
      <x:c r="AK211" s="14" t="str"/>
      <x:c r="AL211" s="19" t="str"/>
      <x:c r="AM211" s="19" t="str"/>
      <x:c r="AN211" s="15" t="str"/>
      <x:c r="AO211" s="15" t="str">
        <x:v>google_index_verified_2026-08-24</x:v>
      </x:c>
    </x:row>
    <x:row r="212">
      <x:c r="A212" s="14" t="str">
        <x:v>W2-043</x:v>
      </x:c>
      <x:c r="B212" s="14" t="str">
        <x:v>Проєктний сигнал — 24.08</x:v>
      </x:c>
      <x:c r="C212" s="14" t="str">
        <x:v>Energy DK</x:v>
      </x:c>
      <x:c r="D212" s="14" t="str">
        <x:v>Резервне живлення</x:v>
      </x:c>
      <x:c r="E212" s="14" t="str">
        <x:v>Expansion discovery</x:v>
      </x:c>
      <x:c r="F212" s="17" t="str">
        <x:f>IF(E212="Pilot now",IF(P212&gt;=84,"P1",IF(P212&gt;=72,"P2","P3")),IF(E212="Expansion discovery",IF(Q212&gt;=88,"D1",IF(Q212&gt;=78,"D2","D3")),IF(E212="Later / requirements","L","Legacy")))</x:f>
        <x:v>D1</x:v>
      </x:c>
      <x:c r="G212" s="14" t="str">
        <x:v>energy-dk.com.ua</x:v>
      </x:c>
      <x:c r="H212" s="14" t="str">
        <x:v>2-тижневий workflow discovery — потрібні вимоги одного проєкту</x:v>
      </x:c>
      <x:c r="I212" s="16" t="n">
        <x:v>1</x:v>
      </x:c>
      <x:c r="J212" s="16" t="n">
        <x:v>5</x:v>
      </x:c>
      <x:c r="K212" s="16" t="n">
        <x:v>4</x:v>
      </x:c>
      <x:c r="L212" s="16" t="n">
        <x:v>4</x:v>
      </x:c>
      <x:c r="M212" s="16" t="n">
        <x:v>5</x:v>
      </x:c>
      <x:c r="N212" s="16" t="n">
        <x:v>5</x:v>
      </x:c>
      <x:c r="O212" s="16" t="n">
        <x:v>5</x:v>
      </x:c>
      <x:c r="P212" s="16" t="n">
        <x:f>IF(COUNT(I212:O212)&lt;7,"",I212*8+J212*3+K212*2+L212*2+M212*2+N212*2+O212)</x:f>
        <x:v>64</x:v>
      </x:c>
      <x:c r="Q212" s="16" t="n">
        <x:f>IF(COUNT(J212:O212)&lt;6,"",J212*5+K212*4+M212*4+L212*3+N212*2+O212*2)</x:f>
        <x:v>93</x:v>
      </x:c>
      <x:c r="R212" s="14" t="str">
        <x:v>high</x:v>
      </x:c>
      <x:c r="S212" s="14" t="str">
        <x:v>google_index_verified_2026-08-24</x:v>
      </x:c>
      <x:c r="T212" s="14" t="str">
        <x:v>indexed_official_service_page</x:v>
      </x:c>
      <x:c r="U212" s="14" t="str">
        <x:v>Новий — не контактували</x:v>
      </x:c>
      <x:c r="V212" s="15" t="str">
        <x:v>2-тижневий discovery: запросити вимоги 1 активного проєкту + 1 знеособлений артефакт</x:v>
      </x:c>
      <x:c r="W212" s="15" t="str">
        <x:v>Комерційний директор; керівник енергетичних проєктів; ПТО / ПНР</x:v>
      </x:c>
      <x:c r="X212" s="15" t="str">
        <x:v>Інсталяція резервного живлення. Пошуковий результат веде на індексовану сторінку корпоративного домену: Резервне живлення — Energy DK.</x:v>
      </x:c>
      <x:c r="Y212" s="15" t="str">
        <x:v>Кабельні траси, АВР, заземлення, налаштування ДБЖ і тест під навантаженням формують контрольний пакет.</x:v>
      </x:c>
      <x:c r="Z212" s="15" t="str">
        <x:v>https://energy-dk.com.ua/svitlodim-razom-z-energy-dk/</x:v>
      </x:c>
      <x:c r="AA212" s="14" t="str"/>
      <x:c r="AB212" s="14" t="str">
        <x:v>2026-08-24</x:v>
      </x:c>
      <x:c r="AC212" s="14" t="str">
        <x:v>Олександр</x:v>
      </x:c>
      <x:c r="AD212" s="20" t="str"/>
      <x:c r="AE212" s="14" t="str"/>
      <x:c r="AF212" s="14" t="n">
        <x:v>0</x:v>
      </x:c>
      <x:c r="AG212" s="14" t="str">
        <x:v>—</x:v>
      </x:c>
      <x:c r="AH212" s="14" t="n">
        <x:v>0</x:v>
      </x:c>
      <x:c r="AI212" s="14" t="n">
        <x:v>0</x:v>
      </x:c>
      <x:c r="AJ212" s="18" t="n">
        <x:v>0</x:v>
      </x:c>
      <x:c r="AK212" s="14" t="str"/>
      <x:c r="AL212" s="19" t="str"/>
      <x:c r="AM212" s="19" t="str"/>
      <x:c r="AN212" s="15" t="str"/>
      <x:c r="AO212" s="15" t="str">
        <x:v>google_index_verified_2026-08-24</x:v>
      </x:c>
    </x:row>
    <x:row r="213">
      <x:c r="A213" s="14" t="str">
        <x:v>W2-044</x:v>
      </x:c>
      <x:c r="B213" s="14" t="str">
        <x:v>Проєктний сигнал — 24.08</x:v>
      </x:c>
      <x:c r="C213" s="14" t="str">
        <x:v>Secur.ua</x:v>
      </x:c>
      <x:c r="D213" s="14" t="str">
        <x:v>Безпека / СКУД / CCTV</x:v>
      </x:c>
      <x:c r="E213" s="14" t="str">
        <x:v>Expansion discovery</x:v>
      </x:c>
      <x:c r="F213" s="17" t="str">
        <x:f>IF(E213="Pilot now",IF(P213&gt;=84,"P1",IF(P213&gt;=72,"P2","P3")),IF(E213="Expansion discovery",IF(Q213&gt;=88,"D1",IF(Q213&gt;=78,"D2","D3")),IF(E213="Later / requirements","L","Legacy")))</x:f>
        <x:v>D1</x:v>
      </x:c>
      <x:c r="G213" s="14" t="str">
        <x:v>secur.ua</x:v>
      </x:c>
      <x:c r="H213" s="14" t="str">
        <x:v>2-тижневий workflow discovery — потрібні вимоги одного проєкту</x:v>
      </x:c>
      <x:c r="I213" s="16" t="n">
        <x:v>1</x:v>
      </x:c>
      <x:c r="J213" s="16" t="n">
        <x:v>5</x:v>
      </x:c>
      <x:c r="K213" s="16" t="n">
        <x:v>4</x:v>
      </x:c>
      <x:c r="L213" s="16" t="n">
        <x:v>4</x:v>
      </x:c>
      <x:c r="M213" s="16" t="n">
        <x:v>5</x:v>
      </x:c>
      <x:c r="N213" s="16" t="n">
        <x:v>5</x:v>
      </x:c>
      <x:c r="O213" s="16" t="n">
        <x:v>5</x:v>
      </x:c>
      <x:c r="P213" s="16" t="n">
        <x:f>IF(COUNT(I213:O213)&lt;7,"",I213*8+J213*3+K213*2+L213*2+M213*2+N213*2+O213)</x:f>
        <x:v>64</x:v>
      </x:c>
      <x:c r="Q213" s="16" t="n">
        <x:f>IF(COUNT(J213:O213)&lt;6,"",J213*5+K213*4+M213*4+L213*3+N213*2+O213*2)</x:f>
        <x:v>93</x:v>
      </x:c>
      <x:c r="R213" s="14" t="str">
        <x:v>high</x:v>
      </x:c>
      <x:c r="S213" s="14" t="str">
        <x:v>google_index_verified_2026-08-24</x:v>
      </x:c>
      <x:c r="T213" s="14" t="str">
        <x:v>indexed_official_service_page</x:v>
      </x:c>
      <x:c r="U213" s="14" t="str">
        <x:v>Новий — не контактували</x:v>
      </x:c>
      <x:c r="V213" s="15" t="str">
        <x:v>2-тижневий discovery: запросити вимоги 1 активного проєкту + 1 знеособлений артефакт</x:v>
      </x:c>
      <x:c r="W213" s="15" t="str">
        <x:v>Власник / комерційний директор; керівник проєктів; керівник монтажу / ПТО</x:v>
      </x:c>
      <x:c r="X213" s="15" t="str">
        <x:v>Монтаж комплексних систем безпеки. Пошуковий результат веде на індексовану сторінку корпоративного домену: Інтегратор систем безпеки — Secur.ua.</x:v>
      </x:c>
      <x:c r="Y213" s="15" t="str">
        <x:v>Кабельні траси, адресація, налаштування й acceptance-тести розподілені між монтажником, інтегратором і замовником.</x:v>
      </x:c>
      <x:c r="Z213" s="15" t="str">
        <x:v>https://secur.ua/montazh</x:v>
      </x:c>
      <x:c r="AA213" s="14" t="str"/>
      <x:c r="AB213" s="14" t="str">
        <x:v>2026-08-24</x:v>
      </x:c>
      <x:c r="AC213" s="14" t="str">
        <x:v>Олександр</x:v>
      </x:c>
      <x:c r="AD213" s="20" t="str"/>
      <x:c r="AE213" s="14" t="str"/>
      <x:c r="AF213" s="14" t="n">
        <x:v>0</x:v>
      </x:c>
      <x:c r="AG213" s="14" t="str">
        <x:v>—</x:v>
      </x:c>
      <x:c r="AH213" s="14" t="n">
        <x:v>0</x:v>
      </x:c>
      <x:c r="AI213" s="14" t="n">
        <x:v>0</x:v>
      </x:c>
      <x:c r="AJ213" s="18" t="n">
        <x:v>0</x:v>
      </x:c>
      <x:c r="AK213" s="14" t="str"/>
      <x:c r="AL213" s="19" t="str"/>
      <x:c r="AM213" s="19" t="str"/>
      <x:c r="AN213" s="15" t="str"/>
      <x:c r="AO213" s="15" t="str">
        <x:v>google_index_verified_2026-08-24</x:v>
      </x:c>
    </x:row>
    <x:row r="214">
      <x:c r="A214" s="14" t="str">
        <x:v>W2-045</x:v>
      </x:c>
      <x:c r="B214" s="14" t="str">
        <x:v>Проєктний сигнал — 24.08</x:v>
      </x:c>
      <x:c r="C214" s="14" t="str">
        <x:v>DEPS</x:v>
      </x:c>
      <x:c r="D214" s="14" t="str">
        <x:v>Безпека / СКУД / CCTV</x:v>
      </x:c>
      <x:c r="E214" s="14" t="str">
        <x:v>Expansion discovery</x:v>
      </x:c>
      <x:c r="F214" s="17" t="str">
        <x:f>IF(E214="Pilot now",IF(P214&gt;=84,"P1",IF(P214&gt;=72,"P2","P3")),IF(E214="Expansion discovery",IF(Q214&gt;=88,"D1",IF(Q214&gt;=78,"D2","D3")),IF(E214="Later / requirements","L","Legacy")))</x:f>
        <x:v>D1</x:v>
      </x:c>
      <x:c r="G214" s="14" t="str">
        <x:v>deps.ua</x:v>
      </x:c>
      <x:c r="H214" s="14" t="str">
        <x:v>2-тижневий workflow discovery — потрібні вимоги одного проєкту</x:v>
      </x:c>
      <x:c r="I214" s="16" t="n">
        <x:v>1</x:v>
      </x:c>
      <x:c r="J214" s="16" t="n">
        <x:v>5</x:v>
      </x:c>
      <x:c r="K214" s="16" t="n">
        <x:v>4</x:v>
      </x:c>
      <x:c r="L214" s="16" t="n">
        <x:v>4</x:v>
      </x:c>
      <x:c r="M214" s="16" t="n">
        <x:v>5</x:v>
      </x:c>
      <x:c r="N214" s="16" t="n">
        <x:v>5</x:v>
      </x:c>
      <x:c r="O214" s="16" t="n">
        <x:v>5</x:v>
      </x:c>
      <x:c r="P214" s="16" t="n">
        <x:f>IF(COUNT(I214:O214)&lt;7,"",I214*8+J214*3+K214*2+L214*2+M214*2+N214*2+O214)</x:f>
        <x:v>64</x:v>
      </x:c>
      <x:c r="Q214" s="16" t="n">
        <x:f>IF(COUNT(J214:O214)&lt;6,"",J214*5+K214*4+M214*4+L214*3+N214*2+O214*2)</x:f>
        <x:v>93</x:v>
      </x:c>
      <x:c r="R214" s="14" t="str">
        <x:v>high</x:v>
      </x:c>
      <x:c r="S214" s="14" t="str">
        <x:v>google_index_verified_2026-08-24</x:v>
      </x:c>
      <x:c r="T214" s="14" t="str">
        <x:v>indexed_official_service_page</x:v>
      </x:c>
      <x:c r="U214" s="14" t="str">
        <x:v>Новий — не контактували</x:v>
      </x:c>
      <x:c r="V214" s="15" t="str">
        <x:v>2-тижневий discovery: запросити вимоги 1 активного проєкту + 1 знеособлений артефакт</x:v>
      </x:c>
      <x:c r="W214" s="15" t="str">
        <x:v>Власник / комерційний директор; керівник проєктів; керівник монтажу / ПТО</x:v>
      </x:c>
      <x:c r="X214" s="15" t="str">
        <x:v>Системна інтеграція та інсталяція. Пошуковий результат веде на індексовану сторінку корпоративного домену: Системний інтегратор — DEPS.</x:v>
      </x:c>
      <x:c r="Y214" s="15" t="str">
        <x:v>Кабельні траси, адресація, налаштування й acceptance-тести розподілені між монтажником, інтегратором і замовником.</x:v>
      </x:c>
      <x:c r="Z214" s="15" t="str">
        <x:v>https://deps.ua/ua/system-integration.html</x:v>
      </x:c>
      <x:c r="AA214" s="14" t="str"/>
      <x:c r="AB214" s="14" t="str">
        <x:v>2026-08-24</x:v>
      </x:c>
      <x:c r="AC214" s="14" t="str">
        <x:v>Олександр</x:v>
      </x:c>
      <x:c r="AD214" s="20" t="str"/>
      <x:c r="AE214" s="14" t="str"/>
      <x:c r="AF214" s="14" t="n">
        <x:v>0</x:v>
      </x:c>
      <x:c r="AG214" s="14" t="str">
        <x:v>—</x:v>
      </x:c>
      <x:c r="AH214" s="14" t="n">
        <x:v>0</x:v>
      </x:c>
      <x:c r="AI214" s="14" t="n">
        <x:v>0</x:v>
      </x:c>
      <x:c r="AJ214" s="18" t="n">
        <x:v>0</x:v>
      </x:c>
      <x:c r="AK214" s="14" t="str"/>
      <x:c r="AL214" s="19" t="str"/>
      <x:c r="AM214" s="19" t="str"/>
      <x:c r="AN214" s="15" t="str"/>
      <x:c r="AO214" s="15" t="str">
        <x:v>google_index_verified_2026-08-24</x:v>
      </x:c>
    </x:row>
    <x:row r="215">
      <x:c r="A215" s="14" t="str">
        <x:v>W2-046</x:v>
      </x:c>
      <x:c r="B215" s="14" t="str">
        <x:v>Проєктний сигнал — 24.08</x:v>
      </x:c>
      <x:c r="C215" s="14" t="str">
        <x:v>Літер Інтеграція</x:v>
      </x:c>
      <x:c r="D215" s="14" t="str">
        <x:v>Безпека / СКУД / CCTV</x:v>
      </x:c>
      <x:c r="E215" s="14" t="str">
        <x:v>Expansion discovery</x:v>
      </x:c>
      <x:c r="F215" s="17" t="str">
        <x:f>IF(E215="Pilot now",IF(P215&gt;=84,"P1",IF(P215&gt;=72,"P2","P3")),IF(E215="Expansion discovery",IF(Q215&gt;=88,"D1",IF(Q215&gt;=78,"D2","D3")),IF(E215="Later / requirements","L","Legacy")))</x:f>
        <x:v>D1</x:v>
      </x:c>
      <x:c r="G215" s="14" t="str">
        <x:v>leater.ua</x:v>
      </x:c>
      <x:c r="H215" s="14" t="str">
        <x:v>2-тижневий workflow discovery — потрібні вимоги одного проєкту</x:v>
      </x:c>
      <x:c r="I215" s="16" t="n">
        <x:v>1</x:v>
      </x:c>
      <x:c r="J215" s="16" t="n">
        <x:v>5</x:v>
      </x:c>
      <x:c r="K215" s="16" t="n">
        <x:v>4</x:v>
      </x:c>
      <x:c r="L215" s="16" t="n">
        <x:v>4</x:v>
      </x:c>
      <x:c r="M215" s="16" t="n">
        <x:v>5</x:v>
      </x:c>
      <x:c r="N215" s="16" t="n">
        <x:v>5</x:v>
      </x:c>
      <x:c r="O215" s="16" t="n">
        <x:v>5</x:v>
      </x:c>
      <x:c r="P215" s="16" t="n">
        <x:f>IF(COUNT(I215:O215)&lt;7,"",I215*8+J215*3+K215*2+L215*2+M215*2+N215*2+O215)</x:f>
        <x:v>64</x:v>
      </x:c>
      <x:c r="Q215" s="16" t="n">
        <x:f>IF(COUNT(J215:O215)&lt;6,"",J215*5+K215*4+M215*4+L215*3+N215*2+O215*2)</x:f>
        <x:v>93</x:v>
      </x:c>
      <x:c r="R215" s="14" t="str">
        <x:v>high</x:v>
      </x:c>
      <x:c r="S215" s="14" t="str">
        <x:v>google_index_verified_2026-08-24</x:v>
      </x:c>
      <x:c r="T215" s="14" t="str">
        <x:v>indexed_official_service_page</x:v>
      </x:c>
      <x:c r="U215" s="14" t="str">
        <x:v>Новий — не контактували</x:v>
      </x:c>
      <x:c r="V215" s="15" t="str">
        <x:v>2-тижневий discovery: запросити вимоги 1 активного проєкту + 1 знеособлений артефакт</x:v>
      </x:c>
      <x:c r="W215" s="15" t="str">
        <x:v>Власник / комерційний директор; керівник проєктів; керівник монтажу / ПТО</x:v>
      </x:c>
      <x:c r="X215" s="15" t="str">
        <x:v>Відеонагляд і комплексна безпека. Пошуковий результат веде на індексовану сторінку корпоративного домену: Комплексні системи безпеки — Літер Інтеграція.</x:v>
      </x:c>
      <x:c r="Y215" s="15" t="str">
        <x:v>Кабельні траси, адресація, налаштування й acceptance-тести розподілені між монтажником, інтегратором і замовником.</x:v>
      </x:c>
      <x:c r="Z215" s="15" t="str">
        <x:v>https://leater.ua/catalog/bezpeka-ta-videonaglad</x:v>
      </x:c>
      <x:c r="AA215" s="14" t="str"/>
      <x:c r="AB215" s="14" t="str">
        <x:v>2026-08-24</x:v>
      </x:c>
      <x:c r="AC215" s="14" t="str">
        <x:v>Олександр</x:v>
      </x:c>
      <x:c r="AD215" s="20" t="str"/>
      <x:c r="AE215" s="14" t="str"/>
      <x:c r="AF215" s="14" t="n">
        <x:v>0</x:v>
      </x:c>
      <x:c r="AG215" s="14" t="str">
        <x:v>—</x:v>
      </x:c>
      <x:c r="AH215" s="14" t="n">
        <x:v>0</x:v>
      </x:c>
      <x:c r="AI215" s="14" t="n">
        <x:v>0</x:v>
      </x:c>
      <x:c r="AJ215" s="18" t="n">
        <x:v>0</x:v>
      </x:c>
      <x:c r="AK215" s="14" t="str"/>
      <x:c r="AL215" s="19" t="str"/>
      <x:c r="AM215" s="19" t="str"/>
      <x:c r="AN215" s="15" t="str"/>
      <x:c r="AO215" s="15" t="str">
        <x:v>google_index_verified_2026-08-24</x:v>
      </x:c>
    </x:row>
    <x:row r="216">
      <x:c r="A216" s="14" t="str">
        <x:v>W2-047</x:v>
      </x:c>
      <x:c r="B216" s="14" t="str">
        <x:v>Проєктний сигнал — 24.08</x:v>
      </x:c>
      <x:c r="C216" s="14" t="str">
        <x:v>SM Integrator</x:v>
      </x:c>
      <x:c r="D216" s="14" t="str">
        <x:v>Безпека / СКУД / CCTV</x:v>
      </x:c>
      <x:c r="E216" s="14" t="str">
        <x:v>Expansion discovery</x:v>
      </x:c>
      <x:c r="F216" s="17" t="str">
        <x:f>IF(E216="Pilot now",IF(P216&gt;=84,"P1",IF(P216&gt;=72,"P2","P3")),IF(E216="Expansion discovery",IF(Q216&gt;=88,"D1",IF(Q216&gt;=78,"D2","D3")),IF(E216="Later / requirements","L","Legacy")))</x:f>
        <x:v>D1</x:v>
      </x:c>
      <x:c r="G216" s="14" t="str">
        <x:v>sm-integrator.com.ua</x:v>
      </x:c>
      <x:c r="H216" s="14" t="str">
        <x:v>2-тижневий workflow discovery — потрібні вимоги одного проєкту</x:v>
      </x:c>
      <x:c r="I216" s="16" t="n">
        <x:v>1</x:v>
      </x:c>
      <x:c r="J216" s="16" t="n">
        <x:v>5</x:v>
      </x:c>
      <x:c r="K216" s="16" t="n">
        <x:v>4</x:v>
      </x:c>
      <x:c r="L216" s="16" t="n">
        <x:v>4</x:v>
      </x:c>
      <x:c r="M216" s="16" t="n">
        <x:v>5</x:v>
      </x:c>
      <x:c r="N216" s="16" t="n">
        <x:v>5</x:v>
      </x:c>
      <x:c r="O216" s="16" t="n">
        <x:v>5</x:v>
      </x:c>
      <x:c r="P216" s="16" t="n">
        <x:f>IF(COUNT(I216:O216)&lt;7,"",I216*8+J216*3+K216*2+L216*2+M216*2+N216*2+O216)</x:f>
        <x:v>64</x:v>
      </x:c>
      <x:c r="Q216" s="16" t="n">
        <x:f>IF(COUNT(J216:O216)&lt;6,"",J216*5+K216*4+M216*4+L216*3+N216*2+O216*2)</x:f>
        <x:v>93</x:v>
      </x:c>
      <x:c r="R216" s="14" t="str">
        <x:v>high</x:v>
      </x:c>
      <x:c r="S216" s="14" t="str">
        <x:v>google_index_verified_2026-08-24</x:v>
      </x:c>
      <x:c r="T216" s="14" t="str">
        <x:v>indexed_official_service_page</x:v>
      </x:c>
      <x:c r="U216" s="14" t="str">
        <x:v>Новий — не контактували</x:v>
      </x:c>
      <x:c r="V216" s="15" t="str">
        <x:v>2-тижневий discovery: запросити вимоги 1 активного проєкту + 1 знеособлений артефакт</x:v>
      </x:c>
      <x:c r="W216" s="15" t="str">
        <x:v>Власник / комерційний директор; керівник проєктів; керівник монтажу / ПТО</x:v>
      </x:c>
      <x:c r="X216" s="15" t="str">
        <x:v>Інтеграція систем безпеки. Пошуковий результат веде на індексовану сторінку корпоративного домену: Послуги — SM Integrator.</x:v>
      </x:c>
      <x:c r="Y216" s="15" t="str">
        <x:v>Кабельні траси, адресація, налаштування й acceptance-тести розподілені між монтажником, інтегратором і замовником.</x:v>
      </x:c>
      <x:c r="Z216" s="15" t="str">
        <x:v>https://sm-integrator.com.ua/?page_id=25</x:v>
      </x:c>
      <x:c r="AA216" s="14" t="str"/>
      <x:c r="AB216" s="14" t="str">
        <x:v>2026-08-24</x:v>
      </x:c>
      <x:c r="AC216" s="14" t="str">
        <x:v>Олександр</x:v>
      </x:c>
      <x:c r="AD216" s="20" t="str"/>
      <x:c r="AE216" s="14" t="str"/>
      <x:c r="AF216" s="14" t="n">
        <x:v>0</x:v>
      </x:c>
      <x:c r="AG216" s="14" t="str">
        <x:v>—</x:v>
      </x:c>
      <x:c r="AH216" s="14" t="n">
        <x:v>0</x:v>
      </x:c>
      <x:c r="AI216" s="14" t="n">
        <x:v>0</x:v>
      </x:c>
      <x:c r="AJ216" s="18" t="n">
        <x:v>0</x:v>
      </x:c>
      <x:c r="AK216" s="14" t="str"/>
      <x:c r="AL216" s="19" t="str"/>
      <x:c r="AM216" s="19" t="str"/>
      <x:c r="AN216" s="15" t="str"/>
      <x:c r="AO216" s="15" t="str">
        <x:v>google_index_verified_2026-08-24</x:v>
      </x:c>
    </x:row>
    <x:row r="217">
      <x:c r="A217" s="14" t="str">
        <x:v>W2-048</x:v>
      </x:c>
      <x:c r="B217" s="14" t="str">
        <x:v>Проєктний сигнал — 24.08</x:v>
      </x:c>
      <x:c r="C217" s="14" t="str">
        <x:v>ВТП Трансекспо</x:v>
      </x:c>
      <x:c r="D217" s="14" t="str">
        <x:v>Безпека / СКУД / CCTV</x:v>
      </x:c>
      <x:c r="E217" s="14" t="str">
        <x:v>Expansion discovery</x:v>
      </x:c>
      <x:c r="F217" s="17" t="str">
        <x:f>IF(E217="Pilot now",IF(P217&gt;=84,"P1",IF(P217&gt;=72,"P2","P3")),IF(E217="Expansion discovery",IF(Q217&gt;=88,"D1",IF(Q217&gt;=78,"D2","D3")),IF(E217="Later / requirements","L","Legacy")))</x:f>
        <x:v>D1</x:v>
      </x:c>
      <x:c r="G217" s="14" t="str">
        <x:v>transexpo.ua</x:v>
      </x:c>
      <x:c r="H217" s="14" t="str">
        <x:v>2-тижневий workflow discovery — потрібні вимоги одного проєкту</x:v>
      </x:c>
      <x:c r="I217" s="16" t="n">
        <x:v>1</x:v>
      </x:c>
      <x:c r="J217" s="16" t="n">
        <x:v>5</x:v>
      </x:c>
      <x:c r="K217" s="16" t="n">
        <x:v>4</x:v>
      </x:c>
      <x:c r="L217" s="16" t="n">
        <x:v>4</x:v>
      </x:c>
      <x:c r="M217" s="16" t="n">
        <x:v>5</x:v>
      </x:c>
      <x:c r="N217" s="16" t="n">
        <x:v>5</x:v>
      </x:c>
      <x:c r="O217" s="16" t="n">
        <x:v>5</x:v>
      </x:c>
      <x:c r="P217" s="16" t="n">
        <x:f>IF(COUNT(I217:O217)&lt;7,"",I217*8+J217*3+K217*2+L217*2+M217*2+N217*2+O217)</x:f>
        <x:v>64</x:v>
      </x:c>
      <x:c r="Q217" s="16" t="n">
        <x:f>IF(COUNT(J217:O217)&lt;6,"",J217*5+K217*4+M217*4+L217*3+N217*2+O217*2)</x:f>
        <x:v>93</x:v>
      </x:c>
      <x:c r="R217" s="14" t="str">
        <x:v>high</x:v>
      </x:c>
      <x:c r="S217" s="14" t="str">
        <x:v>google_index_verified_2026-08-24</x:v>
      </x:c>
      <x:c r="T217" s="14" t="str">
        <x:v>indexed_official_service_page</x:v>
      </x:c>
      <x:c r="U217" s="14" t="str">
        <x:v>Новий — не контактували</x:v>
      </x:c>
      <x:c r="V217" s="15" t="str">
        <x:v>2-тижневий discovery: запросити вимоги 1 активного проєкту + 1 знеособлений артефакт</x:v>
      </x:c>
      <x:c r="W217" s="15" t="str">
        <x:v>Власник / комерційний директор; керівник проєктів; керівник монтажу / ПТО</x:v>
      </x:c>
      <x:c r="X217" s="15" t="str">
        <x:v>Проєктування та монтаж систем безпеки. Пошуковий результат веде на індексовану сторінку корпоративного домену: Системи безпеки — ВТП Трансекспо.</x:v>
      </x:c>
      <x:c r="Y217" s="15" t="str">
        <x:v>Кабельні траси, адресація, налаштування й acceptance-тести розподілені між монтажником, інтегратором і замовником.</x:v>
      </x:c>
      <x:c r="Z217" s="15" t="str">
        <x:v>https://transexpo.ua/ua/poslugi/sistemi-bezpeki/</x:v>
      </x:c>
      <x:c r="AA217" s="14" t="str"/>
      <x:c r="AB217" s="14" t="str">
        <x:v>2026-08-24</x:v>
      </x:c>
      <x:c r="AC217" s="14" t="str">
        <x:v>Олександр</x:v>
      </x:c>
      <x:c r="AD217" s="20" t="str"/>
      <x:c r="AE217" s="14" t="str"/>
      <x:c r="AF217" s="14" t="n">
        <x:v>0</x:v>
      </x:c>
      <x:c r="AG217" s="14" t="str">
        <x:v>—</x:v>
      </x:c>
      <x:c r="AH217" s="14" t="n">
        <x:v>0</x:v>
      </x:c>
      <x:c r="AI217" s="14" t="n">
        <x:v>0</x:v>
      </x:c>
      <x:c r="AJ217" s="18" t="n">
        <x:v>0</x:v>
      </x:c>
      <x:c r="AK217" s="14" t="str"/>
      <x:c r="AL217" s="19" t="str"/>
      <x:c r="AM217" s="19" t="str"/>
      <x:c r="AN217" s="15" t="str"/>
      <x:c r="AO217" s="15" t="str">
        <x:v>google_index_verified_2026-08-24</x:v>
      </x:c>
    </x:row>
    <x:row r="218">
      <x:c r="A218" s="14" t="str">
        <x:v>W2-049</x:v>
      </x:c>
      <x:c r="B218" s="14" t="str">
        <x:v>Проєктний сигнал — 24.08</x:v>
      </x:c>
      <x:c r="C218" s="14" t="str">
        <x:v>Kobi</x:v>
      </x:c>
      <x:c r="D218" s="14" t="str">
        <x:v>Безпека / СКУД / CCTV</x:v>
      </x:c>
      <x:c r="E218" s="14" t="str">
        <x:v>Expansion discovery</x:v>
      </x:c>
      <x:c r="F218" s="17" t="str">
        <x:f>IF(E218="Pilot now",IF(P218&gt;=84,"P1",IF(P218&gt;=72,"P2","P3")),IF(E218="Expansion discovery",IF(Q218&gt;=88,"D1",IF(Q218&gt;=78,"D2","D3")),IF(E218="Later / requirements","L","Legacy")))</x:f>
        <x:v>D1</x:v>
      </x:c>
      <x:c r="G218" s="14" t="str">
        <x:v>kobi.ua</x:v>
      </x:c>
      <x:c r="H218" s="14" t="str">
        <x:v>2-тижневий workflow discovery — потрібні вимоги одного проєкту</x:v>
      </x:c>
      <x:c r="I218" s="16" t="n">
        <x:v>1</x:v>
      </x:c>
      <x:c r="J218" s="16" t="n">
        <x:v>5</x:v>
      </x:c>
      <x:c r="K218" s="16" t="n">
        <x:v>4</x:v>
      </x:c>
      <x:c r="L218" s="16" t="n">
        <x:v>4</x:v>
      </x:c>
      <x:c r="M218" s="16" t="n">
        <x:v>5</x:v>
      </x:c>
      <x:c r="N218" s="16" t="n">
        <x:v>5</x:v>
      </x:c>
      <x:c r="O218" s="16" t="n">
        <x:v>5</x:v>
      </x:c>
      <x:c r="P218" s="16" t="n">
        <x:f>IF(COUNT(I218:O218)&lt;7,"",I218*8+J218*3+K218*2+L218*2+M218*2+N218*2+O218)</x:f>
        <x:v>64</x:v>
      </x:c>
      <x:c r="Q218" s="16" t="n">
        <x:f>IF(COUNT(J218:O218)&lt;6,"",J218*5+K218*4+M218*4+L218*3+N218*2+O218*2)</x:f>
        <x:v>93</x:v>
      </x:c>
      <x:c r="R218" s="14" t="str">
        <x:v>high</x:v>
      </x:c>
      <x:c r="S218" s="14" t="str">
        <x:v>google_index_verified_2026-08-24</x:v>
      </x:c>
      <x:c r="T218" s="14" t="str">
        <x:v>indexed_official_service_page</x:v>
      </x:c>
      <x:c r="U218" s="14" t="str">
        <x:v>Новий — не контактували</x:v>
      </x:c>
      <x:c r="V218" s="15" t="str">
        <x:v>2-тижневий discovery: запросити вимоги 1 активного проєкту + 1 знеособлений артефакт</x:v>
      </x:c>
      <x:c r="W218" s="15" t="str">
        <x:v>Власник / комерційний директор; керівник проєктів; керівник монтажу / ПТО</x:v>
      </x:c>
      <x:c r="X218" s="15" t="str">
        <x:v>Інтеграція відеоспостереження. Пошуковий результат веде на індексовану сторінку корпоративного домену: Системи безпеки та відеоспостереження — Kobi.</x:v>
      </x:c>
      <x:c r="Y218" s="15" t="str">
        <x:v>Кабельні траси, адресація, налаштування й acceptance-тести розподілені між монтажником, інтегратором і замовником.</x:v>
      </x:c>
      <x:c r="Z218" s="15" t="str">
        <x:v>https://kobi.ua/</x:v>
      </x:c>
      <x:c r="AA218" s="14" t="str"/>
      <x:c r="AB218" s="14" t="str">
        <x:v>2026-08-24</x:v>
      </x:c>
      <x:c r="AC218" s="14" t="str">
        <x:v>Олександр</x:v>
      </x:c>
      <x:c r="AD218" s="20" t="str"/>
      <x:c r="AE218" s="14" t="str"/>
      <x:c r="AF218" s="14" t="n">
        <x:v>0</x:v>
      </x:c>
      <x:c r="AG218" s="14" t="str">
        <x:v>—</x:v>
      </x:c>
      <x:c r="AH218" s="14" t="n">
        <x:v>0</x:v>
      </x:c>
      <x:c r="AI218" s="14" t="n">
        <x:v>0</x:v>
      </x:c>
      <x:c r="AJ218" s="18" t="n">
        <x:v>0</x:v>
      </x:c>
      <x:c r="AK218" s="14" t="str"/>
      <x:c r="AL218" s="19" t="str"/>
      <x:c r="AM218" s="19" t="str"/>
      <x:c r="AN218" s="15" t="str"/>
      <x:c r="AO218" s="15" t="str">
        <x:v>google_index_verified_2026-08-24</x:v>
      </x:c>
    </x:row>
    <x:row r="219">
      <x:c r="A219" s="14" t="str">
        <x:v>W2-050</x:v>
      </x:c>
      <x:c r="B219" s="14" t="str">
        <x:v>Проєктний сигнал — 24.08</x:v>
      </x:c>
      <x:c r="C219" s="14" t="str">
        <x:v>Focus Zaxid</x:v>
      </x:c>
      <x:c r="D219" s="14" t="str">
        <x:v>Безпека / СКУД / CCTV</x:v>
      </x:c>
      <x:c r="E219" s="14" t="str">
        <x:v>Expansion discovery</x:v>
      </x:c>
      <x:c r="F219" s="17" t="str">
        <x:f>IF(E219="Pilot now",IF(P219&gt;=84,"P1",IF(P219&gt;=72,"P2","P3")),IF(E219="Expansion discovery",IF(Q219&gt;=88,"D1",IF(Q219&gt;=78,"D2","D3")),IF(E219="Later / requirements","L","Legacy")))</x:f>
        <x:v>D1</x:v>
      </x:c>
      <x:c r="G219" s="14" t="str">
        <x:v>focuszaxid.com</x:v>
      </x:c>
      <x:c r="H219" s="14" t="str">
        <x:v>2-тижневий workflow discovery — потрібні вимоги одного проєкту</x:v>
      </x:c>
      <x:c r="I219" s="16" t="n">
        <x:v>1</x:v>
      </x:c>
      <x:c r="J219" s="16" t="n">
        <x:v>5</x:v>
      </x:c>
      <x:c r="K219" s="16" t="n">
        <x:v>4</x:v>
      </x:c>
      <x:c r="L219" s="16" t="n">
        <x:v>4</x:v>
      </x:c>
      <x:c r="M219" s="16" t="n">
        <x:v>5</x:v>
      </x:c>
      <x:c r="N219" s="16" t="n">
        <x:v>5</x:v>
      </x:c>
      <x:c r="O219" s="16" t="n">
        <x:v>5</x:v>
      </x:c>
      <x:c r="P219" s="16" t="n">
        <x:f>IF(COUNT(I219:O219)&lt;7,"",I219*8+J219*3+K219*2+L219*2+M219*2+N219*2+O219)</x:f>
        <x:v>64</x:v>
      </x:c>
      <x:c r="Q219" s="16" t="n">
        <x:f>IF(COUNT(J219:O219)&lt;6,"",J219*5+K219*4+M219*4+L219*3+N219*2+O219*2)</x:f>
        <x:v>93</x:v>
      </x:c>
      <x:c r="R219" s="14" t="str">
        <x:v>high</x:v>
      </x:c>
      <x:c r="S219" s="14" t="str">
        <x:v>google_index_verified_2026-08-24</x:v>
      </x:c>
      <x:c r="T219" s="14" t="str">
        <x:v>indexed_official_service_page</x:v>
      </x:c>
      <x:c r="U219" s="14" t="str">
        <x:v>Новий — не контактували</x:v>
      </x:c>
      <x:c r="V219" s="15" t="str">
        <x:v>2-тижневий discovery: запросити вимоги 1 активного проєкту + 1 знеособлений артефакт</x:v>
      </x:c>
      <x:c r="W219" s="15" t="str">
        <x:v>Власник / комерційний директор; керівник проєктів; керівник монтажу / ПТО</x:v>
      </x:c>
      <x:c r="X219" s="15" t="str">
        <x:v>Комплексна безпека й автоматизація. Пошуковий результат веде на індексовану сторінку корпоративного домену: Системний інтегратор безпеки та автоматизації — Focus Zaxid.</x:v>
      </x:c>
      <x:c r="Y219" s="15" t="str">
        <x:v>Кабельні траси, адресація, налаштування й acceptance-тести розподілені між монтажником, інтегратором і замовником.</x:v>
      </x:c>
      <x:c r="Z219" s="15" t="str">
        <x:v>https://focuszaxid.com/about-us</x:v>
      </x:c>
      <x:c r="AA219" s="14" t="str"/>
      <x:c r="AB219" s="14" t="str">
        <x:v>2026-08-24</x:v>
      </x:c>
      <x:c r="AC219" s="14" t="str">
        <x:v>Олександр</x:v>
      </x:c>
      <x:c r="AD219" s="20" t="str"/>
      <x:c r="AE219" s="14" t="str"/>
      <x:c r="AF219" s="14" t="n">
        <x:v>0</x:v>
      </x:c>
      <x:c r="AG219" s="14" t="str">
        <x:v>—</x:v>
      </x:c>
      <x:c r="AH219" s="14" t="n">
        <x:v>0</x:v>
      </x:c>
      <x:c r="AI219" s="14" t="n">
        <x:v>0</x:v>
      </x:c>
      <x:c r="AJ219" s="18" t="n">
        <x:v>0</x:v>
      </x:c>
      <x:c r="AK219" s="14" t="str"/>
      <x:c r="AL219" s="19" t="str"/>
      <x:c r="AM219" s="19" t="str"/>
      <x:c r="AN219" s="15" t="str"/>
      <x:c r="AO219" s="15" t="str">
        <x:v>google_index_verified_2026-08-24</x:v>
      </x:c>
    </x:row>
    <x:row r="220">
      <x:c r="A220" s="14" t="str">
        <x:v>W2-051</x:v>
      </x:c>
      <x:c r="B220" s="14" t="str">
        <x:v>Проєктний сигнал — 24.08</x:v>
      </x:c>
      <x:c r="C220" s="14" t="str">
        <x:v>AM Integrator Group</x:v>
      </x:c>
      <x:c r="D220" s="14" t="str">
        <x:v>Безпека / СКУД / CCTV</x:v>
      </x:c>
      <x:c r="E220" s="14" t="str">
        <x:v>Expansion discovery</x:v>
      </x:c>
      <x:c r="F220" s="17" t="str">
        <x:f>IF(E220="Pilot now",IF(P220&gt;=84,"P1",IF(P220&gt;=72,"P2","P3")),IF(E220="Expansion discovery",IF(Q220&gt;=88,"D1",IF(Q220&gt;=78,"D2","D3")),IF(E220="Later / requirements","L","Legacy")))</x:f>
        <x:v>D1</x:v>
      </x:c>
      <x:c r="G220" s="14" t="str">
        <x:v>amintegrator.com</x:v>
      </x:c>
      <x:c r="H220" s="14" t="str">
        <x:v>2-тижневий workflow discovery — потрібні вимоги одного проєкту</x:v>
      </x:c>
      <x:c r="I220" s="16" t="n">
        <x:v>1</x:v>
      </x:c>
      <x:c r="J220" s="16" t="n">
        <x:v>5</x:v>
      </x:c>
      <x:c r="K220" s="16" t="n">
        <x:v>4</x:v>
      </x:c>
      <x:c r="L220" s="16" t="n">
        <x:v>4</x:v>
      </x:c>
      <x:c r="M220" s="16" t="n">
        <x:v>5</x:v>
      </x:c>
      <x:c r="N220" s="16" t="n">
        <x:v>5</x:v>
      </x:c>
      <x:c r="O220" s="16" t="n">
        <x:v>5</x:v>
      </x:c>
      <x:c r="P220" s="16" t="n">
        <x:f>IF(COUNT(I220:O220)&lt;7,"",I220*8+J220*3+K220*2+L220*2+M220*2+N220*2+O220)</x:f>
        <x:v>64</x:v>
      </x:c>
      <x:c r="Q220" s="16" t="n">
        <x:f>IF(COUNT(J220:O220)&lt;6,"",J220*5+K220*4+M220*4+L220*3+N220*2+O220*2)</x:f>
        <x:v>93</x:v>
      </x:c>
      <x:c r="R220" s="14" t="str">
        <x:v>high</x:v>
      </x:c>
      <x:c r="S220" s="14" t="str">
        <x:v>google_index_verified_2026-08-24</x:v>
      </x:c>
      <x:c r="T220" s="14" t="str">
        <x:v>indexed_official_service_page</x:v>
      </x:c>
      <x:c r="U220" s="14" t="str">
        <x:v>Новий — не контактували</x:v>
      </x:c>
      <x:c r="V220" s="15" t="str">
        <x:v>2-тижневий discovery: запросити вимоги 1 активного проєкту + 1 знеособлений артефакт</x:v>
      </x:c>
      <x:c r="W220" s="15" t="str">
        <x:v>Власник / комерційний директор; керівник проєктів; керівник монтажу / ПТО</x:v>
      </x:c>
      <x:c r="X220" s="15" t="str">
        <x:v>Системи технічної безпеки. Пошуковий результат веде на індексовану сторінку корпоративного домену: Технічна безпека — AM Integrator Group.</x:v>
      </x:c>
      <x:c r="Y220" s="15" t="str">
        <x:v>Кабельні траси, адресація, налаштування й acceptance-тести розподілені між монтажником, інтегратором і замовником.</x:v>
      </x:c>
      <x:c r="Z220" s="15" t="str">
        <x:v>https://amintegrator.com/security/</x:v>
      </x:c>
      <x:c r="AA220" s="14" t="str"/>
      <x:c r="AB220" s="14" t="str">
        <x:v>2026-08-24</x:v>
      </x:c>
      <x:c r="AC220" s="14" t="str">
        <x:v>Олександр</x:v>
      </x:c>
      <x:c r="AD220" s="20" t="str"/>
      <x:c r="AE220" s="14" t="str"/>
      <x:c r="AF220" s="14" t="n">
        <x:v>0</x:v>
      </x:c>
      <x:c r="AG220" s="14" t="str">
        <x:v>—</x:v>
      </x:c>
      <x:c r="AH220" s="14" t="n">
        <x:v>0</x:v>
      </x:c>
      <x:c r="AI220" s="14" t="n">
        <x:v>0</x:v>
      </x:c>
      <x:c r="AJ220" s="18" t="n">
        <x:v>0</x:v>
      </x:c>
      <x:c r="AK220" s="14" t="str"/>
      <x:c r="AL220" s="19" t="str"/>
      <x:c r="AM220" s="19" t="str"/>
      <x:c r="AN220" s="15" t="str"/>
      <x:c r="AO220" s="15" t="str">
        <x:v>google_index_verified_2026-08-24</x:v>
      </x:c>
    </x:row>
    <x:row r="221">
      <x:c r="A221" s="14" t="str">
        <x:v>W2-052</x:v>
      </x:c>
      <x:c r="B221" s="14" t="str">
        <x:v>Проєктний сигнал — 24.08</x:v>
      </x:c>
      <x:c r="C221" s="14" t="str">
        <x:v>VOLZ</x:v>
      </x:c>
      <x:c r="D221" s="14" t="str">
        <x:v>ВОЛЗ / телеком-мережі</x:v>
      </x:c>
      <x:c r="E221" s="14" t="str">
        <x:v>Expansion discovery</x:v>
      </x:c>
      <x:c r="F221" s="17" t="str">
        <x:f>IF(E221="Pilot now",IF(P221&gt;=84,"P1",IF(P221&gt;=72,"P2","P3")),IF(E221="Expansion discovery",IF(Q221&gt;=88,"D1",IF(Q221&gt;=78,"D2","D3")),IF(E221="Later / requirements","L","Legacy")))</x:f>
        <x:v>D1</x:v>
      </x:c>
      <x:c r="G221" s="14" t="str">
        <x:v>volz.ua</x:v>
      </x:c>
      <x:c r="H221" s="14" t="str">
        <x:v>2-тижневий workflow discovery — потрібні вимоги одного проєкту</x:v>
      </x:c>
      <x:c r="I221" s="16" t="n">
        <x:v>1</x:v>
      </x:c>
      <x:c r="J221" s="16" t="n">
        <x:v>5</x:v>
      </x:c>
      <x:c r="K221" s="16" t="n">
        <x:v>5</x:v>
      </x:c>
      <x:c r="L221" s="16" t="n">
        <x:v>4</x:v>
      </x:c>
      <x:c r="M221" s="16" t="n">
        <x:v>5</x:v>
      </x:c>
      <x:c r="N221" s="16" t="n">
        <x:v>5</x:v>
      </x:c>
      <x:c r="O221" s="16" t="n">
        <x:v>5</x:v>
      </x:c>
      <x:c r="P221" s="16" t="n">
        <x:f>IF(COUNT(I221:O221)&lt;7,"",I221*8+J221*3+K221*2+L221*2+M221*2+N221*2+O221)</x:f>
        <x:v>66</x:v>
      </x:c>
      <x:c r="Q221" s="16" t="n">
        <x:f>IF(COUNT(J221:O221)&lt;6,"",J221*5+K221*4+M221*4+L221*3+N221*2+O221*2)</x:f>
        <x:v>97</x:v>
      </x:c>
      <x:c r="R221" s="14" t="str">
        <x:v>high</x:v>
      </x:c>
      <x:c r="S221" s="14" t="str">
        <x:v>google_index_verified_2026-08-24</x:v>
      </x:c>
      <x:c r="T221" s="14" t="str">
        <x:v>indexed_official_service_page</x:v>
      </x:c>
      <x:c r="U221" s="14" t="str">
        <x:v>Новий — не контактували</x:v>
      </x:c>
      <x:c r="V221" s="15" t="str">
        <x:v>2-тижневий discovery: запросити вимоги 1 активного проєкту + 1 знеособлений артефакт</x:v>
      </x:c>
      <x:c r="W221" s="15" t="str">
        <x:v>Директор; керівник будівництва мереж; керівник ПТО / проєктів</x:v>
      </x:c>
      <x:c r="X221" s="15" t="str">
        <x:v>Проєктування і будівництво ВОЛЗ. Пошуковий результат веде на індексовану сторінку корпоративного домену: Проєктування та будівництво оптичних мереж — VOLZ.</x:v>
      </x:c>
      <x:c r="Y221" s="15" t="str">
        <x:v>Траси, муфти, зварювання волокон, рефлектограми й виконавчі схеми мають бути прив'язані до конкретних ділянок.</x:v>
      </x:c>
      <x:c r="Z221" s="15" t="str">
        <x:v>https://volz.ua/design-and-construction/</x:v>
      </x:c>
      <x:c r="AA221" s="14" t="str"/>
      <x:c r="AB221" s="14" t="str">
        <x:v>2026-08-24</x:v>
      </x:c>
      <x:c r="AC221" s="14" t="str">
        <x:v>Олександр</x:v>
      </x:c>
      <x:c r="AD221" s="20" t="str"/>
      <x:c r="AE221" s="14" t="str"/>
      <x:c r="AF221" s="14" t="n">
        <x:v>0</x:v>
      </x:c>
      <x:c r="AG221" s="14" t="str">
        <x:v>—</x:v>
      </x:c>
      <x:c r="AH221" s="14" t="n">
        <x:v>0</x:v>
      </x:c>
      <x:c r="AI221" s="14" t="n">
        <x:v>0</x:v>
      </x:c>
      <x:c r="AJ221" s="18" t="n">
        <x:v>0</x:v>
      </x:c>
      <x:c r="AK221" s="14" t="str"/>
      <x:c r="AL221" s="19" t="str"/>
      <x:c r="AM221" s="19" t="str"/>
      <x:c r="AN221" s="15" t="str"/>
      <x:c r="AO221" s="15" t="str">
        <x:v>google_index_verified_2026-08-24</x:v>
      </x:c>
    </x:row>
    <x:row r="222">
      <x:c r="A222" s="14" t="str">
        <x:v>W2-053</x:v>
      </x:c>
      <x:c r="B222" s="14" t="str">
        <x:v>Проєктний сигнал — 24.08</x:v>
      </x:c>
      <x:c r="C222" s="14" t="str">
        <x:v>Avitel Group</x:v>
      </x:c>
      <x:c r="D222" s="14" t="str">
        <x:v>ВОЛЗ / телеком-мережі</x:v>
      </x:c>
      <x:c r="E222" s="14" t="str">
        <x:v>Expansion discovery</x:v>
      </x:c>
      <x:c r="F222" s="17" t="str">
        <x:f>IF(E222="Pilot now",IF(P222&gt;=84,"P1",IF(P222&gt;=72,"P2","P3")),IF(E222="Expansion discovery",IF(Q222&gt;=88,"D1",IF(Q222&gt;=78,"D2","D3")),IF(E222="Later / requirements","L","Legacy")))</x:f>
        <x:v>D1</x:v>
      </x:c>
      <x:c r="G222" s="14" t="str">
        <x:v>avitelgroup.com</x:v>
      </x:c>
      <x:c r="H222" s="14" t="str">
        <x:v>2-тижневий workflow discovery — потрібні вимоги одного проєкту</x:v>
      </x:c>
      <x:c r="I222" s="16" t="n">
        <x:v>1</x:v>
      </x:c>
      <x:c r="J222" s="16" t="n">
        <x:v>5</x:v>
      </x:c>
      <x:c r="K222" s="16" t="n">
        <x:v>5</x:v>
      </x:c>
      <x:c r="L222" s="16" t="n">
        <x:v>4</x:v>
      </x:c>
      <x:c r="M222" s="16" t="n">
        <x:v>5</x:v>
      </x:c>
      <x:c r="N222" s="16" t="n">
        <x:v>5</x:v>
      </x:c>
      <x:c r="O222" s="16" t="n">
        <x:v>3</x:v>
      </x:c>
      <x:c r="P222" s="16" t="n">
        <x:f>IF(COUNT(I222:O222)&lt;7,"",I222*8+J222*3+K222*2+L222*2+M222*2+N222*2+O222)</x:f>
        <x:v>64</x:v>
      </x:c>
      <x:c r="Q222" s="16" t="n">
        <x:f>IF(COUNT(J222:O222)&lt;6,"",J222*5+K222*4+M222*4+L222*3+N222*2+O222*2)</x:f>
        <x:v>93</x:v>
      </x:c>
      <x:c r="R222" s="14" t="str">
        <x:v>medium</x:v>
      </x:c>
      <x:c r="S222" s="14" t="str">
        <x:v>google_index_verified_manual_check_2026-08-24</x:v>
      </x:c>
      <x:c r="T222" s="14" t="str">
        <x:v>indexed_official_page_manual_check</x:v>
      </x:c>
      <x:c r="U222" s="14" t="str">
        <x:v>Новий — не контактували</x:v>
      </x:c>
      <x:c r="V222" s="15" t="str">
        <x:v>2-тижневий discovery: запросити вимоги 1 активного проєкту + 1 знеособлений артефакт</x:v>
      </x:c>
      <x:c r="W222" s="15" t="str">
        <x:v>Директор; керівник будівництва мереж; керівник ПТО / проєктів</x:v>
      </x:c>
      <x:c r="X222" s="15" t="str">
        <x:v>Телеком-інфраструктура та інтеграція. Пошуковий результат веде на індексовану сторінку корпоративного домену: Avitel Group — системний інтегратор.</x:v>
      </x:c>
      <x:c r="Y222" s="15" t="str">
        <x:v>Траси, муфти, зварювання волокон, рефлектограми й виконавчі схеми мають бути прив'язані до конкретних ділянок.</x:v>
      </x:c>
      <x:c r="Z222" s="15" t="str">
        <x:v>http://avitelgroup.com/</x:v>
      </x:c>
      <x:c r="AA222" s="14" t="str"/>
      <x:c r="AB222" s="14" t="str">
        <x:v>2026-08-24</x:v>
      </x:c>
      <x:c r="AC222" s="14" t="str">
        <x:v>Олександр</x:v>
      </x:c>
      <x:c r="AD222" s="20" t="str"/>
      <x:c r="AE222" s="14" t="str"/>
      <x:c r="AF222" s="14" t="n">
        <x:v>0</x:v>
      </x:c>
      <x:c r="AG222" s="14" t="str">
        <x:v>—</x:v>
      </x:c>
      <x:c r="AH222" s="14" t="n">
        <x:v>0</x:v>
      </x:c>
      <x:c r="AI222" s="14" t="n">
        <x:v>0</x:v>
      </x:c>
      <x:c r="AJ222" s="18" t="n">
        <x:v>0</x:v>
      </x:c>
      <x:c r="AK222" s="14" t="str"/>
      <x:c r="AL222" s="19" t="str"/>
      <x:c r="AM222" s="19" t="str"/>
      <x:c r="AN222" s="15" t="str"/>
      <x:c r="AO222" s="15" t="str">
        <x:v>google_index_verified_manual_check_2026-08-24</x:v>
      </x:c>
    </x:row>
    <x:row r="223">
      <x:c r="A223" s="14" t="str">
        <x:v>W2-054</x:v>
      </x:c>
      <x:c r="B223" s="14" t="str">
        <x:v>Проєктний сигнал — 24.08</x:v>
      </x:c>
      <x:c r="C223" s="14" t="str">
        <x:v>Atracom</x:v>
      </x:c>
      <x:c r="D223" s="14" t="str">
        <x:v>ВОЛЗ / телеком-мережі</x:v>
      </x:c>
      <x:c r="E223" s="14" t="str">
        <x:v>Expansion discovery</x:v>
      </x:c>
      <x:c r="F223" s="17" t="str">
        <x:f>IF(E223="Pilot now",IF(P223&gt;=84,"P1",IF(P223&gt;=72,"P2","P3")),IF(E223="Expansion discovery",IF(Q223&gt;=88,"D1",IF(Q223&gt;=78,"D2","D3")),IF(E223="Later / requirements","L","Legacy")))</x:f>
        <x:v>D1</x:v>
      </x:c>
      <x:c r="G223" s="14" t="str">
        <x:v>atracom.com.ua</x:v>
      </x:c>
      <x:c r="H223" s="14" t="str">
        <x:v>2-тижневий workflow discovery — потрібні вимоги одного проєкту</x:v>
      </x:c>
      <x:c r="I223" s="16" t="n">
        <x:v>1</x:v>
      </x:c>
      <x:c r="J223" s="16" t="n">
        <x:v>5</x:v>
      </x:c>
      <x:c r="K223" s="16" t="n">
        <x:v>5</x:v>
      </x:c>
      <x:c r="L223" s="16" t="n">
        <x:v>4</x:v>
      </x:c>
      <x:c r="M223" s="16" t="n">
        <x:v>5</x:v>
      </x:c>
      <x:c r="N223" s="16" t="n">
        <x:v>5</x:v>
      </x:c>
      <x:c r="O223" s="16" t="n">
        <x:v>5</x:v>
      </x:c>
      <x:c r="P223" s="16" t="n">
        <x:f>IF(COUNT(I223:O223)&lt;7,"",I223*8+J223*3+K223*2+L223*2+M223*2+N223*2+O223)</x:f>
        <x:v>66</x:v>
      </x:c>
      <x:c r="Q223" s="16" t="n">
        <x:f>IF(COUNT(J223:O223)&lt;6,"",J223*5+K223*4+M223*4+L223*3+N223*2+O223*2)</x:f>
        <x:v>97</x:v>
      </x:c>
      <x:c r="R223" s="14" t="str">
        <x:v>high</x:v>
      </x:c>
      <x:c r="S223" s="14" t="str">
        <x:v>google_index_verified_2026-08-24</x:v>
      </x:c>
      <x:c r="T223" s="14" t="str">
        <x:v>indexed_official_service_page</x:v>
      </x:c>
      <x:c r="U223" s="14" t="str">
        <x:v>Новий — не контактували</x:v>
      </x:c>
      <x:c r="V223" s="15" t="str">
        <x:v>2-тижневий discovery: запросити вимоги 1 активного проєкту + 1 знеособлений артефакт</x:v>
      </x:c>
      <x:c r="W223" s="15" t="str">
        <x:v>Директор; керівник будівництва мереж; керівник ПТО / проєктів</x:v>
      </x:c>
      <x:c r="X223" s="15" t="str">
        <x:v>Будівництво волоконно-оптичних ліній. Пошуковий результат веде на індексовану сторінку корпоративного домену: Будівництво ВОЛЗ — Atracom.</x:v>
      </x:c>
      <x:c r="Y223" s="15" t="str">
        <x:v>Траси, муфти, зварювання волокон, рефлектограми й виконавчі схеми мають бути прив'язані до конкретних ділянок.</x:v>
      </x:c>
      <x:c r="Z223" s="15" t="str">
        <x:v>https://www.atracom.com.ua/services/construction-and-sale-of-focls/</x:v>
      </x:c>
      <x:c r="AA223" s="14" t="str"/>
      <x:c r="AB223" s="14" t="str">
        <x:v>2026-08-24</x:v>
      </x:c>
      <x:c r="AC223" s="14" t="str">
        <x:v>Олександр</x:v>
      </x:c>
      <x:c r="AD223" s="20" t="str"/>
      <x:c r="AE223" s="14" t="str"/>
      <x:c r="AF223" s="14" t="n">
        <x:v>0</x:v>
      </x:c>
      <x:c r="AG223" s="14" t="str">
        <x:v>—</x:v>
      </x:c>
      <x:c r="AH223" s="14" t="n">
        <x:v>0</x:v>
      </x:c>
      <x:c r="AI223" s="14" t="n">
        <x:v>0</x:v>
      </x:c>
      <x:c r="AJ223" s="18" t="n">
        <x:v>0</x:v>
      </x:c>
      <x:c r="AK223" s="14" t="str"/>
      <x:c r="AL223" s="19" t="str"/>
      <x:c r="AM223" s="19" t="str"/>
      <x:c r="AN223" s="15" t="str"/>
      <x:c r="AO223" s="15" t="str">
        <x:v>google_index_verified_2026-08-24</x:v>
      </x:c>
    </x:row>
    <x:row r="224">
      <x:c r="A224" s="14" t="str">
        <x:v>W2-055</x:v>
      </x:c>
      <x:c r="B224" s="14" t="str">
        <x:v>Проєктний сигнал — 24.08</x:v>
      </x:c>
      <x:c r="C224" s="14" t="str">
        <x:v>Eurotranstelecom</x:v>
      </x:c>
      <x:c r="D224" s="14" t="str">
        <x:v>ВОЛЗ / телеком-мережі</x:v>
      </x:c>
      <x:c r="E224" s="14" t="str">
        <x:v>Expansion discovery</x:v>
      </x:c>
      <x:c r="F224" s="17" t="str">
        <x:f>IF(E224="Pilot now",IF(P224&gt;=84,"P1",IF(P224&gt;=72,"P2","P3")),IF(E224="Expansion discovery",IF(Q224&gt;=88,"D1",IF(Q224&gt;=78,"D2","D3")),IF(E224="Later / requirements","L","Legacy")))</x:f>
        <x:v>D1</x:v>
      </x:c>
      <x:c r="G224" s="14" t="str">
        <x:v>ett.ua</x:v>
      </x:c>
      <x:c r="H224" s="14" t="str">
        <x:v>2-тижневий workflow discovery — потрібні вимоги одного проєкту</x:v>
      </x:c>
      <x:c r="I224" s="16" t="n">
        <x:v>1</x:v>
      </x:c>
      <x:c r="J224" s="16" t="n">
        <x:v>5</x:v>
      </x:c>
      <x:c r="K224" s="16" t="n">
        <x:v>5</x:v>
      </x:c>
      <x:c r="L224" s="16" t="n">
        <x:v>4</x:v>
      </x:c>
      <x:c r="M224" s="16" t="n">
        <x:v>5</x:v>
      </x:c>
      <x:c r="N224" s="16" t="n">
        <x:v>5</x:v>
      </x:c>
      <x:c r="O224" s="16" t="n">
        <x:v>5</x:v>
      </x:c>
      <x:c r="P224" s="16" t="n">
        <x:f>IF(COUNT(I224:O224)&lt;7,"",I224*8+J224*3+K224*2+L224*2+M224*2+N224*2+O224)</x:f>
        <x:v>66</x:v>
      </x:c>
      <x:c r="Q224" s="16" t="n">
        <x:f>IF(COUNT(J224:O224)&lt;6,"",J224*5+K224*4+M224*4+L224*3+N224*2+O224*2)</x:f>
        <x:v>97</x:v>
      </x:c>
      <x:c r="R224" s="14" t="str">
        <x:v>high</x:v>
      </x:c>
      <x:c r="S224" s="14" t="str">
        <x:v>google_index_verified_2026-08-24</x:v>
      </x:c>
      <x:c r="T224" s="14" t="str">
        <x:v>indexed_official_service_page</x:v>
      </x:c>
      <x:c r="U224" s="14" t="str">
        <x:v>Новий — не контактували</x:v>
      </x:c>
      <x:c r="V224" s="15" t="str">
        <x:v>2-тижневий discovery: запросити вимоги 1 активного проєкту + 1 знеособлений артефакт</x:v>
      </x:c>
      <x:c r="W224" s="15" t="str">
        <x:v>Директор; керівник будівництва мереж; керівник ПТО / проєктів</x:v>
      </x:c>
      <x:c r="X224" s="15" t="str">
        <x:v>Будівництво волоконно-оптичних мереж. Пошуковий результат веде на індексовану сторінку корпоративного домену: Будівництво ВОЛЗ — Eurotranstelecom.</x:v>
      </x:c>
      <x:c r="Y224" s="15" t="str">
        <x:v>Траси, муфти, зварювання волокон, рефлектограми й виконавчі схеми мають бути прив'язані до конкретних ділянок.</x:v>
      </x:c>
      <x:c r="Z224" s="15" t="str">
        <x:v>https://www.ett.ua/services/focl-construction/</x:v>
      </x:c>
      <x:c r="AA224" s="14" t="str"/>
      <x:c r="AB224" s="14" t="str">
        <x:v>2026-08-24</x:v>
      </x:c>
      <x:c r="AC224" s="14" t="str">
        <x:v>Олександр</x:v>
      </x:c>
      <x:c r="AD224" s="20" t="str"/>
      <x:c r="AE224" s="14" t="str"/>
      <x:c r="AF224" s="14" t="n">
        <x:v>0</x:v>
      </x:c>
      <x:c r="AG224" s="14" t="str">
        <x:v>—</x:v>
      </x:c>
      <x:c r="AH224" s="14" t="n">
        <x:v>0</x:v>
      </x:c>
      <x:c r="AI224" s="14" t="n">
        <x:v>0</x:v>
      </x:c>
      <x:c r="AJ224" s="18" t="n">
        <x:v>0</x:v>
      </x:c>
      <x:c r="AK224" s="14" t="str"/>
      <x:c r="AL224" s="19" t="str"/>
      <x:c r="AM224" s="19" t="str"/>
      <x:c r="AN224" s="15" t="str"/>
      <x:c r="AO224" s="15" t="str">
        <x:v>google_index_verified_2026-08-24</x:v>
      </x:c>
    </x:row>
    <x:row r="225">
      <x:c r="A225" s="14" t="str">
        <x:v>W2-056</x:v>
      </x:c>
      <x:c r="B225" s="14" t="str">
        <x:v>Проєктний сигнал — 24.08</x:v>
      </x:c>
      <x:c r="C225" s="14" t="str">
        <x:v>UTELS</x:v>
      </x:c>
      <x:c r="D225" s="14" t="str">
        <x:v>ВОЛЗ / телеком-мережі</x:v>
      </x:c>
      <x:c r="E225" s="14" t="str">
        <x:v>Expansion discovery</x:v>
      </x:c>
      <x:c r="F225" s="17" t="str">
        <x:f>IF(E225="Pilot now",IF(P225&gt;=84,"P1",IF(P225&gt;=72,"P2","P3")),IF(E225="Expansion discovery",IF(Q225&gt;=88,"D1",IF(Q225&gt;=78,"D2","D3")),IF(E225="Later / requirements","L","Legacy")))</x:f>
        <x:v>D1</x:v>
      </x:c>
      <x:c r="G225" s="14" t="str">
        <x:v>utels.ua</x:v>
      </x:c>
      <x:c r="H225" s="14" t="str">
        <x:v>2-тижневий workflow discovery — потрібні вимоги одного проєкту</x:v>
      </x:c>
      <x:c r="I225" s="16" t="n">
        <x:v>1</x:v>
      </x:c>
      <x:c r="J225" s="16" t="n">
        <x:v>5</x:v>
      </x:c>
      <x:c r="K225" s="16" t="n">
        <x:v>5</x:v>
      </x:c>
      <x:c r="L225" s="16" t="n">
        <x:v>4</x:v>
      </x:c>
      <x:c r="M225" s="16" t="n">
        <x:v>5</x:v>
      </x:c>
      <x:c r="N225" s="16" t="n">
        <x:v>5</x:v>
      </x:c>
      <x:c r="O225" s="16" t="n">
        <x:v>5</x:v>
      </x:c>
      <x:c r="P225" s="16" t="n">
        <x:f>IF(COUNT(I225:O225)&lt;7,"",I225*8+J225*3+K225*2+L225*2+M225*2+N225*2+O225)</x:f>
        <x:v>66</x:v>
      </x:c>
      <x:c r="Q225" s="16" t="n">
        <x:f>IF(COUNT(J225:O225)&lt;6,"",J225*5+K225*4+M225*4+L225*3+N225*2+O225*2)</x:f>
        <x:v>97</x:v>
      </x:c>
      <x:c r="R225" s="14" t="str">
        <x:v>high</x:v>
      </x:c>
      <x:c r="S225" s="14" t="str">
        <x:v>google_index_verified_2026-08-24</x:v>
      </x:c>
      <x:c r="T225" s="14" t="str">
        <x:v>indexed_official_service_page</x:v>
      </x:c>
      <x:c r="U225" s="14" t="str">
        <x:v>Новий — не контактували</x:v>
      </x:c>
      <x:c r="V225" s="15" t="str">
        <x:v>2-тижневий discovery: запросити вимоги 1 активного проєкту + 1 знеособлений артефакт</x:v>
      </x:c>
      <x:c r="W225" s="15" t="str">
        <x:v>Директор; керівник будівництва мереж; керівник ПТО / проєктів</x:v>
      </x:c>
      <x:c r="X225" s="15" t="str">
        <x:v>Проєктування і будівництво ВОЛЗ. Пошуковий результат веде на індексовану сторінку корпоративного домену: Будівництво та проєктування ВОЛЗ — UTELS.</x:v>
      </x:c>
      <x:c r="Y225" s="15" t="str">
        <x:v>Траси, муфти, зварювання волокон, рефлектограми й виконавчі схеми мають бути прив'язані до конкретних ділянок.</x:v>
      </x:c>
      <x:c r="Z225" s="15" t="str">
        <x:v>https://utels.ua/for-business/budivnytstvo-volz</x:v>
      </x:c>
      <x:c r="AA225" s="14" t="str"/>
      <x:c r="AB225" s="14" t="str">
        <x:v>2026-08-24</x:v>
      </x:c>
      <x:c r="AC225" s="14" t="str">
        <x:v>Олександр</x:v>
      </x:c>
      <x:c r="AD225" s="20" t="str"/>
      <x:c r="AE225" s="14" t="str"/>
      <x:c r="AF225" s="14" t="n">
        <x:v>0</x:v>
      </x:c>
      <x:c r="AG225" s="14" t="str">
        <x:v>—</x:v>
      </x:c>
      <x:c r="AH225" s="14" t="n">
        <x:v>0</x:v>
      </x:c>
      <x:c r="AI225" s="14" t="n">
        <x:v>0</x:v>
      </x:c>
      <x:c r="AJ225" s="18" t="n">
        <x:v>0</x:v>
      </x:c>
      <x:c r="AK225" s="14" t="str"/>
      <x:c r="AL225" s="19" t="str"/>
      <x:c r="AM225" s="19" t="str"/>
      <x:c r="AN225" s="15" t="str"/>
      <x:c r="AO225" s="15" t="str">
        <x:v>google_index_verified_2026-08-24</x:v>
      </x:c>
    </x:row>
    <x:row r="226">
      <x:c r="A226" s="14" t="str">
        <x:v>W2-057</x:v>
      </x:c>
      <x:c r="B226" s="14" t="str">
        <x:v>Проєктний сигнал — 24.08</x:v>
      </x:c>
      <x:c r="C226" s="14" t="str">
        <x:v>Астелнет</x:v>
      </x:c>
      <x:c r="D226" s="14" t="str">
        <x:v>ВОЛЗ / телеком-мережі</x:v>
      </x:c>
      <x:c r="E226" s="14" t="str">
        <x:v>Expansion discovery</x:v>
      </x:c>
      <x:c r="F226" s="17" t="str">
        <x:f>IF(E226="Pilot now",IF(P226&gt;=84,"P1",IF(P226&gt;=72,"P2","P3")),IF(E226="Expansion discovery",IF(Q226&gt;=88,"D1",IF(Q226&gt;=78,"D2","D3")),IF(E226="Later / requirements","L","Legacy")))</x:f>
        <x:v>D1</x:v>
      </x:c>
      <x:c r="G226" s="14" t="str">
        <x:v>astelnet.com.ua</x:v>
      </x:c>
      <x:c r="H226" s="14" t="str">
        <x:v>2-тижневий workflow discovery — потрібні вимоги одного проєкту</x:v>
      </x:c>
      <x:c r="I226" s="16" t="n">
        <x:v>1</x:v>
      </x:c>
      <x:c r="J226" s="16" t="n">
        <x:v>5</x:v>
      </x:c>
      <x:c r="K226" s="16" t="n">
        <x:v>5</x:v>
      </x:c>
      <x:c r="L226" s="16" t="n">
        <x:v>4</x:v>
      </x:c>
      <x:c r="M226" s="16" t="n">
        <x:v>5</x:v>
      </x:c>
      <x:c r="N226" s="16" t="n">
        <x:v>5</x:v>
      </x:c>
      <x:c r="O226" s="16" t="n">
        <x:v>5</x:v>
      </x:c>
      <x:c r="P226" s="16" t="n">
        <x:f>IF(COUNT(I226:O226)&lt;7,"",I226*8+J226*3+K226*2+L226*2+M226*2+N226*2+O226)</x:f>
        <x:v>66</x:v>
      </x:c>
      <x:c r="Q226" s="16" t="n">
        <x:f>IF(COUNT(J226:O226)&lt;6,"",J226*5+K226*4+M226*4+L226*3+N226*2+O226*2)</x:f>
        <x:v>97</x:v>
      </x:c>
      <x:c r="R226" s="14" t="str">
        <x:v>high</x:v>
      </x:c>
      <x:c r="S226" s="14" t="str">
        <x:v>google_index_verified_2026-08-24</x:v>
      </x:c>
      <x:c r="T226" s="14" t="str">
        <x:v>indexed_official_service_page</x:v>
      </x:c>
      <x:c r="U226" s="14" t="str">
        <x:v>Новий — не контактували</x:v>
      </x:c>
      <x:c r="V226" s="15" t="str">
        <x:v>2-тижневий discovery: запросити вимоги 1 активного проєкту + 1 знеособлений артефакт</x:v>
      </x:c>
      <x:c r="W226" s="15" t="str">
        <x:v>Директор; керівник будівництва мереж; керівник ПТО / проєктів</x:v>
      </x:c>
      <x:c r="X226" s="15" t="str">
        <x:v>Оператор і будівельник ВОЛЗ. Пошуковий результат веде на індексовану сторінку корпоративного домену: Будівництво ВОЛЗ — Астелнет.</x:v>
      </x:c>
      <x:c r="Y226" s="15" t="str">
        <x:v>Траси, муфти, зварювання волокон, рефлектограми й виконавчі схеми мають бути прив'язані до конкретних ділянок.</x:v>
      </x:c>
      <x:c r="Z226" s="15" t="str">
        <x:v>https://astelnet.com.ua/vols-building/</x:v>
      </x:c>
      <x:c r="AA226" s="14" t="str"/>
      <x:c r="AB226" s="14" t="str">
        <x:v>2026-08-24</x:v>
      </x:c>
      <x:c r="AC226" s="14" t="str">
        <x:v>Олександр</x:v>
      </x:c>
      <x:c r="AD226" s="20" t="str"/>
      <x:c r="AE226" s="14" t="str"/>
      <x:c r="AF226" s="14" t="n">
        <x:v>0</x:v>
      </x:c>
      <x:c r="AG226" s="14" t="str">
        <x:v>—</x:v>
      </x:c>
      <x:c r="AH226" s="14" t="n">
        <x:v>0</x:v>
      </x:c>
      <x:c r="AI226" s="14" t="n">
        <x:v>0</x:v>
      </x:c>
      <x:c r="AJ226" s="18" t="n">
        <x:v>0</x:v>
      </x:c>
      <x:c r="AK226" s="14" t="str"/>
      <x:c r="AL226" s="19" t="str"/>
      <x:c r="AM226" s="19" t="str"/>
      <x:c r="AN226" s="15" t="str"/>
      <x:c r="AO226" s="15" t="str">
        <x:v>google_index_verified_2026-08-24</x:v>
      </x:c>
    </x:row>
    <x:row r="227">
      <x:c r="A227" s="14" t="str">
        <x:v>W2-058</x:v>
      </x:c>
      <x:c r="B227" s="14" t="str">
        <x:v>Проєктний сигнал — 24.08</x:v>
      </x:c>
      <x:c r="C227" s="14" t="str">
        <x:v>Фрінет / O3</x:v>
      </x:c>
      <x:c r="D227" s="14" t="str">
        <x:v>ВОЛЗ / телеком-мережі</x:v>
      </x:c>
      <x:c r="E227" s="14" t="str">
        <x:v>Expansion discovery</x:v>
      </x:c>
      <x:c r="F227" s="17" t="str">
        <x:f>IF(E227="Pilot now",IF(P227&gt;=84,"P1",IF(P227&gt;=72,"P2","P3")),IF(E227="Expansion discovery",IF(Q227&gt;=88,"D1",IF(Q227&gt;=78,"D2","D3")),IF(E227="Later / requirements","L","Legacy")))</x:f>
        <x:v>D1</x:v>
      </x:c>
      <x:c r="G227" s="14" t="str">
        <x:v>o3.ua</x:v>
      </x:c>
      <x:c r="H227" s="14" t="str">
        <x:v>2-тижневий workflow discovery — потрібні вимоги одного проєкту</x:v>
      </x:c>
      <x:c r="I227" s="16" t="n">
        <x:v>1</x:v>
      </x:c>
      <x:c r="J227" s="16" t="n">
        <x:v>5</x:v>
      </x:c>
      <x:c r="K227" s="16" t="n">
        <x:v>5</x:v>
      </x:c>
      <x:c r="L227" s="16" t="n">
        <x:v>4</x:v>
      </x:c>
      <x:c r="M227" s="16" t="n">
        <x:v>5</x:v>
      </x:c>
      <x:c r="N227" s="16" t="n">
        <x:v>5</x:v>
      </x:c>
      <x:c r="O227" s="16" t="n">
        <x:v>5</x:v>
      </x:c>
      <x:c r="P227" s="16" t="n">
        <x:f>IF(COUNT(I227:O227)&lt;7,"",I227*8+J227*3+K227*2+L227*2+M227*2+N227*2+O227)</x:f>
        <x:v>66</x:v>
      </x:c>
      <x:c r="Q227" s="16" t="n">
        <x:f>IF(COUNT(J227:O227)&lt;6,"",J227*5+K227*4+M227*4+L227*3+N227*2+O227*2)</x:f>
        <x:v>97</x:v>
      </x:c>
      <x:c r="R227" s="14" t="str">
        <x:v>high</x:v>
      </x:c>
      <x:c r="S227" s="14" t="str">
        <x:v>google_index_verified_2026-08-24</x:v>
      </x:c>
      <x:c r="T227" s="14" t="str">
        <x:v>indexed_official_service_page</x:v>
      </x:c>
      <x:c r="U227" s="14" t="str">
        <x:v>Новий — не контактували</x:v>
      </x:c>
      <x:c r="V227" s="15" t="str">
        <x:v>2-тижневий discovery: запросити вимоги 1 активного проєкту + 1 знеособлений артефакт</x:v>
      </x:c>
      <x:c r="W227" s="15" t="str">
        <x:v>Директор; керівник будівництва мереж; керівник ПТО / проєктів</x:v>
      </x:c>
      <x:c r="X227" s="15" t="str">
        <x:v>Будівництво волоконно-оптичних мереж. Пошуковий результат веде на індексовану сторінку корпоративного домену: Будівництво ВОЛЗ — Фрінет.</x:v>
      </x:c>
      <x:c r="Y227" s="15" t="str">
        <x:v>Траси, муфти, зварювання волокон, рефлектограми й виконавчі схеми мають бути прив'язані до конкретних ділянок.</x:v>
      </x:c>
      <x:c r="Z227" s="15" t="str">
        <x:v>https://o3.ua/office/volz/</x:v>
      </x:c>
      <x:c r="AA227" s="14" t="str"/>
      <x:c r="AB227" s="14" t="str">
        <x:v>2026-08-24</x:v>
      </x:c>
      <x:c r="AC227" s="14" t="str">
        <x:v>Олександр</x:v>
      </x:c>
      <x:c r="AD227" s="20" t="str"/>
      <x:c r="AE227" s="14" t="str"/>
      <x:c r="AF227" s="14" t="n">
        <x:v>0</x:v>
      </x:c>
      <x:c r="AG227" s="14" t="str">
        <x:v>—</x:v>
      </x:c>
      <x:c r="AH227" s="14" t="n">
        <x:v>0</x:v>
      </x:c>
      <x:c r="AI227" s="14" t="n">
        <x:v>0</x:v>
      </x:c>
      <x:c r="AJ227" s="18" t="n">
        <x:v>0</x:v>
      </x:c>
      <x:c r="AK227" s="14" t="str"/>
      <x:c r="AL227" s="19" t="str"/>
      <x:c r="AM227" s="19" t="str"/>
      <x:c r="AN227" s="15" t="str"/>
      <x:c r="AO227" s="15" t="str">
        <x:v>google_index_verified_2026-08-24</x:v>
      </x:c>
    </x:row>
    <x:row r="228">
      <x:c r="A228" s="14" t="str">
        <x:v>W2-059</x:v>
      </x:c>
      <x:c r="B228" s="14" t="str">
        <x:v>Проєктний сигнал — 24.08</x:v>
      </x:c>
      <x:c r="C228" s="14" t="str">
        <x:v>GigaTrans</x:v>
      </x:c>
      <x:c r="D228" s="14" t="str">
        <x:v>ВОЛЗ / телеком-мережі</x:v>
      </x:c>
      <x:c r="E228" s="14" t="str">
        <x:v>Expansion discovery</x:v>
      </x:c>
      <x:c r="F228" s="17" t="str">
        <x:f>IF(E228="Pilot now",IF(P228&gt;=84,"P1",IF(P228&gt;=72,"P2","P3")),IF(E228="Expansion discovery",IF(Q228&gt;=88,"D1",IF(Q228&gt;=78,"D2","D3")),IF(E228="Later / requirements","L","Legacy")))</x:f>
        <x:v>D1</x:v>
      </x:c>
      <x:c r="G228" s="14" t="str">
        <x:v>gigatrans.ua</x:v>
      </x:c>
      <x:c r="H228" s="14" t="str">
        <x:v>2-тижневий workflow discovery — потрібні вимоги одного проєкту</x:v>
      </x:c>
      <x:c r="I228" s="16" t="n">
        <x:v>1</x:v>
      </x:c>
      <x:c r="J228" s="16" t="n">
        <x:v>5</x:v>
      </x:c>
      <x:c r="K228" s="16" t="n">
        <x:v>5</x:v>
      </x:c>
      <x:c r="L228" s="16" t="n">
        <x:v>4</x:v>
      </x:c>
      <x:c r="M228" s="16" t="n">
        <x:v>5</x:v>
      </x:c>
      <x:c r="N228" s="16" t="n">
        <x:v>5</x:v>
      </x:c>
      <x:c r="O228" s="16" t="n">
        <x:v>5</x:v>
      </x:c>
      <x:c r="P228" s="16" t="n">
        <x:f>IF(COUNT(I228:O228)&lt;7,"",I228*8+J228*3+K228*2+L228*2+M228*2+N228*2+O228)</x:f>
        <x:v>66</x:v>
      </x:c>
      <x:c r="Q228" s="16" t="n">
        <x:f>IF(COUNT(J228:O228)&lt;6,"",J228*5+K228*4+M228*4+L228*3+N228*2+O228*2)</x:f>
        <x:v>97</x:v>
      </x:c>
      <x:c r="R228" s="14" t="str">
        <x:v>high</x:v>
      </x:c>
      <x:c r="S228" s="14" t="str">
        <x:v>google_index_verified_2026-08-24</x:v>
      </x:c>
      <x:c r="T228" s="14" t="str">
        <x:v>indexed_official_service_page</x:v>
      </x:c>
      <x:c r="U228" s="14" t="str">
        <x:v>Новий — не контактували</x:v>
      </x:c>
      <x:c r="V228" s="15" t="str">
        <x:v>2-тижневий discovery: запросити вимоги 1 активного проєкту + 1 знеособлений артефакт</x:v>
      </x:c>
      <x:c r="W228" s="15" t="str">
        <x:v>Директор; керівник будівництва мереж; керівник ПТО / проєктів</x:v>
      </x:c>
      <x:c r="X228" s="15" t="str">
        <x:v>Будівництво волоконно-оптичних ліній. Пошуковий результат веде на індексовану сторінку корпоративного домену: Будівництво ВОЛЗ — GigaTrans.</x:v>
      </x:c>
      <x:c r="Y228" s="15" t="str">
        <x:v>Траси, муфти, зварювання волокон, рефлектограми й виконавчі схеми мають бути прив'язані до конкретних ділянок.</x:v>
      </x:c>
      <x:c r="Z228" s="15" t="str">
        <x:v>https://gigatrans.ua/ua/services/stroitelstvo-vols</x:v>
      </x:c>
      <x:c r="AA228" s="14" t="str"/>
      <x:c r="AB228" s="14" t="str">
        <x:v>2026-08-24</x:v>
      </x:c>
      <x:c r="AC228" s="14" t="str">
        <x:v>Олександр</x:v>
      </x:c>
      <x:c r="AD228" s="20" t="str"/>
      <x:c r="AE228" s="14" t="str"/>
      <x:c r="AF228" s="14" t="n">
        <x:v>0</x:v>
      </x:c>
      <x:c r="AG228" s="14" t="str">
        <x:v>—</x:v>
      </x:c>
      <x:c r="AH228" s="14" t="n">
        <x:v>0</x:v>
      </x:c>
      <x:c r="AI228" s="14" t="n">
        <x:v>0</x:v>
      </x:c>
      <x:c r="AJ228" s="18" t="n">
        <x:v>0</x:v>
      </x:c>
      <x:c r="AK228" s="14" t="str"/>
      <x:c r="AL228" s="19" t="str"/>
      <x:c r="AM228" s="19" t="str"/>
      <x:c r="AN228" s="15" t="str"/>
      <x:c r="AO228" s="15" t="str">
        <x:v>google_index_verified_2026-08-24</x:v>
      </x:c>
    </x:row>
    <x:row r="229">
      <x:c r="A229" s="14" t="str">
        <x:v>W2-060</x:v>
      </x:c>
      <x:c r="B229" s="14" t="str">
        <x:v>Проєктний сигнал — 24.08</x:v>
      </x:c>
      <x:c r="C229" s="14" t="str">
        <x:v>EXSYS</x:v>
      </x:c>
      <x:c r="D229" s="14" t="str">
        <x:v>Газопостачання / котельні</x:v>
      </x:c>
      <x:c r="E229" s="14" t="str">
        <x:v>Expansion discovery</x:v>
      </x:c>
      <x:c r="F229" s="17" t="str">
        <x:f>IF(E229="Pilot now",IF(P229&gt;=84,"P1",IF(P229&gt;=72,"P2","P3")),IF(E229="Expansion discovery",IF(Q229&gt;=88,"D1",IF(Q229&gt;=78,"D2","D3")),IF(E229="Later / requirements","L","Legacy")))</x:f>
        <x:v>D1</x:v>
      </x:c>
      <x:c r="G229" s="14" t="str">
        <x:v>exsys.com.ua</x:v>
      </x:c>
      <x:c r="H229" s="14" t="str">
        <x:v>2-тижневий workflow discovery — потрібні вимоги одного проєкту</x:v>
      </x:c>
      <x:c r="I229" s="16" t="n">
        <x:v>1</x:v>
      </x:c>
      <x:c r="J229" s="16" t="n">
        <x:v>5</x:v>
      </x:c>
      <x:c r="K229" s="16" t="n">
        <x:v>5</x:v>
      </x:c>
      <x:c r="L229" s="16" t="n">
        <x:v>4</x:v>
      </x:c>
      <x:c r="M229" s="16" t="n">
        <x:v>5</x:v>
      </x:c>
      <x:c r="N229" s="16" t="n">
        <x:v>5</x:v>
      </x:c>
      <x:c r="O229" s="16" t="n">
        <x:v>5</x:v>
      </x:c>
      <x:c r="P229" s="16" t="n">
        <x:f>IF(COUNT(I229:O229)&lt;7,"",I229*8+J229*3+K229*2+L229*2+M229*2+N229*2+O229)</x:f>
        <x:v>66</x:v>
      </x:c>
      <x:c r="Q229" s="16" t="n">
        <x:f>IF(COUNT(J229:O229)&lt;6,"",J229*5+K229*4+M229*4+L229*3+N229*2+O229*2)</x:f>
        <x:v>97</x:v>
      </x:c>
      <x:c r="R229" s="14" t="str">
        <x:v>high</x:v>
      </x:c>
      <x:c r="S229" s="14" t="str">
        <x:v>google_index_verified_2026-08-24</x:v>
      </x:c>
      <x:c r="T229" s="14" t="str">
        <x:v>indexed_official_service_page</x:v>
      </x:c>
      <x:c r="U229" s="14" t="str">
        <x:v>Новий — не контактували</x:v>
      </x:c>
      <x:c r="V229" s="15" t="str">
        <x:v>2-тижневий discovery: запросити вимоги 1 активного проєкту + 1 знеособлений артефакт</x:v>
      </x:c>
      <x:c r="W229" s="15" t="str">
        <x:v>Директор; головний інженер; керівник ПТО / пусконалагодження</x:v>
      </x:c>
      <x:c r="X229" s="15" t="str">
        <x:v>Проєктування котелень та інженерних систем. Пошуковий результат веде на індексовану сторінку корпоративного домену: Проєкт котельні — EXSYS.</x:v>
      </x:c>
      <x:c r="Y229" s="15" t="str">
        <x:v>Трубопроводи, зварні стики, випробування, автоматика й ПНР потребують актів і протоколів до введення.</x:v>
      </x:c>
      <x:c r="Z229" s="15" t="str">
        <x:v>https://exsys.com.ua/service/proekt-kotelni/</x:v>
      </x:c>
      <x:c r="AA229" s="14" t="str"/>
      <x:c r="AB229" s="14" t="str">
        <x:v>2026-08-24</x:v>
      </x:c>
      <x:c r="AC229" s="14" t="str">
        <x:v>Олександр</x:v>
      </x:c>
      <x:c r="AD229" s="20" t="str"/>
      <x:c r="AE229" s="14" t="str"/>
      <x:c r="AF229" s="14" t="n">
        <x:v>0</x:v>
      </x:c>
      <x:c r="AG229" s="14" t="str">
        <x:v>—</x:v>
      </x:c>
      <x:c r="AH229" s="14" t="n">
        <x:v>0</x:v>
      </x:c>
      <x:c r="AI229" s="14" t="n">
        <x:v>0</x:v>
      </x:c>
      <x:c r="AJ229" s="18" t="n">
        <x:v>0</x:v>
      </x:c>
      <x:c r="AK229" s="14" t="str"/>
      <x:c r="AL229" s="19" t="str"/>
      <x:c r="AM229" s="19" t="str"/>
      <x:c r="AN229" s="15" t="str"/>
      <x:c r="AO229" s="15" t="str">
        <x:v>google_index_verified_2026-08-24</x:v>
      </x:c>
    </x:row>
    <x:row r="230">
      <x:c r="A230" s="14" t="str">
        <x:v>W2-061</x:v>
      </x:c>
      <x:c r="B230" s="14" t="str">
        <x:v>Проєктний сигнал — 24.08</x:v>
      </x:c>
      <x:c r="C230" s="14" t="str">
        <x:v>DIATEC</x:v>
      </x:c>
      <x:c r="D230" s="14" t="str">
        <x:v>Газопостачання / котельні</x:v>
      </x:c>
      <x:c r="E230" s="14" t="str">
        <x:v>Expansion discovery</x:v>
      </x:c>
      <x:c r="F230" s="17" t="str">
        <x:f>IF(E230="Pilot now",IF(P230&gt;=84,"P1",IF(P230&gt;=72,"P2","P3")),IF(E230="Expansion discovery",IF(Q230&gt;=88,"D1",IF(Q230&gt;=78,"D2","D3")),IF(E230="Later / requirements","L","Legacy")))</x:f>
        <x:v>D1</x:v>
      </x:c>
      <x:c r="G230" s="14" t="str">
        <x:v>prom.diatec.com.ua</x:v>
      </x:c>
      <x:c r="H230" s="14" t="str">
        <x:v>2-тижневий workflow discovery — потрібні вимоги одного проєкту</x:v>
      </x:c>
      <x:c r="I230" s="16" t="n">
        <x:v>1</x:v>
      </x:c>
      <x:c r="J230" s="16" t="n">
        <x:v>5</x:v>
      </x:c>
      <x:c r="K230" s="16" t="n">
        <x:v>5</x:v>
      </x:c>
      <x:c r="L230" s="16" t="n">
        <x:v>4</x:v>
      </x:c>
      <x:c r="M230" s="16" t="n">
        <x:v>5</x:v>
      </x:c>
      <x:c r="N230" s="16" t="n">
        <x:v>5</x:v>
      </x:c>
      <x:c r="O230" s="16" t="n">
        <x:v>5</x:v>
      </x:c>
      <x:c r="P230" s="16" t="n">
        <x:f>IF(COUNT(I230:O230)&lt;7,"",I230*8+J230*3+K230*2+L230*2+M230*2+N230*2+O230)</x:f>
        <x:v>66</x:v>
      </x:c>
      <x:c r="Q230" s="16" t="n">
        <x:f>IF(COUNT(J230:O230)&lt;6,"",J230*5+K230*4+M230*4+L230*3+N230*2+O230*2)</x:f>
        <x:v>97</x:v>
      </x:c>
      <x:c r="R230" s="14" t="str">
        <x:v>high</x:v>
      </x:c>
      <x:c r="S230" s="14" t="str">
        <x:v>google_index_verified_2026-08-24</x:v>
      </x:c>
      <x:c r="T230" s="14" t="str">
        <x:v>indexed_official_service_page</x:v>
      </x:c>
      <x:c r="U230" s="14" t="str">
        <x:v>Новий — не контактували</x:v>
      </x:c>
      <x:c r="V230" s="15" t="str">
        <x:v>2-тижневий discovery: запросити вимоги 1 активного проєкту + 1 знеособлений артефакт</x:v>
      </x:c>
      <x:c r="W230" s="15" t="str">
        <x:v>Директор; головний інженер; керівник ПТО / пусконалагодження</x:v>
      </x:c>
      <x:c r="X230" s="15" t="str">
        <x:v>Газопостачання промислових котелень. Пошуковий результат веде на індексовану сторінку корпоративного домену: Газопостачання котельні — DIATEC.</x:v>
      </x:c>
      <x:c r="Y230" s="15" t="str">
        <x:v>Трубопроводи, зварні стики, випробування, автоматика й ПНР потребують актів і протоколів до введення.</x:v>
      </x:c>
      <x:c r="Z230" s="15" t="str">
        <x:v>https://prom.diatec.com.ua/gazosnabzhenie-kotelnoj/</x:v>
      </x:c>
      <x:c r="AA230" s="14" t="str"/>
      <x:c r="AB230" s="14" t="str">
        <x:v>2026-08-24</x:v>
      </x:c>
      <x:c r="AC230" s="14" t="str">
        <x:v>Олександр</x:v>
      </x:c>
      <x:c r="AD230" s="20" t="str"/>
      <x:c r="AE230" s="14" t="str"/>
      <x:c r="AF230" s="14" t="n">
        <x:v>0</x:v>
      </x:c>
      <x:c r="AG230" s="14" t="str">
        <x:v>—</x:v>
      </x:c>
      <x:c r="AH230" s="14" t="n">
        <x:v>0</x:v>
      </x:c>
      <x:c r="AI230" s="14" t="n">
        <x:v>0</x:v>
      </x:c>
      <x:c r="AJ230" s="18" t="n">
        <x:v>0</x:v>
      </x:c>
      <x:c r="AK230" s="14" t="str"/>
      <x:c r="AL230" s="19" t="str"/>
      <x:c r="AM230" s="19" t="str"/>
      <x:c r="AN230" s="15" t="str"/>
      <x:c r="AO230" s="15" t="str">
        <x:v>google_index_verified_2026-08-24</x:v>
      </x:c>
    </x:row>
    <x:row r="231">
      <x:c r="A231" s="14" t="str">
        <x:v>W2-062</x:v>
      </x:c>
      <x:c r="B231" s="14" t="str">
        <x:v>Проєктний сигнал — 24.08</x:v>
      </x:c>
      <x:c r="C231" s="14" t="str">
        <x:v>ПК-ЕМС</x:v>
      </x:c>
      <x:c r="D231" s="14" t="str">
        <x:v>Газопостачання / котельні</x:v>
      </x:c>
      <x:c r="E231" s="14" t="str">
        <x:v>Expansion discovery</x:v>
      </x:c>
      <x:c r="F231" s="17" t="str">
        <x:f>IF(E231="Pilot now",IF(P231&gt;=84,"P1",IF(P231&gt;=72,"P2","P3")),IF(E231="Expansion discovery",IF(Q231&gt;=88,"D1",IF(Q231&gt;=78,"D2","D3")),IF(E231="Later / requirements","L","Legacy")))</x:f>
        <x:v>D1</x:v>
      </x:c>
      <x:c r="G231" s="14" t="str">
        <x:v>pkems.com.ua</x:v>
      </x:c>
      <x:c r="H231" s="14" t="str">
        <x:v>2-тижневий workflow discovery — потрібні вимоги одного проєкту</x:v>
      </x:c>
      <x:c r="I231" s="16" t="n">
        <x:v>1</x:v>
      </x:c>
      <x:c r="J231" s="16" t="n">
        <x:v>5</x:v>
      </x:c>
      <x:c r="K231" s="16" t="n">
        <x:v>5</x:v>
      </x:c>
      <x:c r="L231" s="16" t="n">
        <x:v>4</x:v>
      </x:c>
      <x:c r="M231" s="16" t="n">
        <x:v>5</x:v>
      </x:c>
      <x:c r="N231" s="16" t="n">
        <x:v>5</x:v>
      </x:c>
      <x:c r="O231" s="16" t="n">
        <x:v>5</x:v>
      </x:c>
      <x:c r="P231" s="16" t="n">
        <x:f>IF(COUNT(I231:O231)&lt;7,"",I231*8+J231*3+K231*2+L231*2+M231*2+N231*2+O231)</x:f>
        <x:v>66</x:v>
      </x:c>
      <x:c r="Q231" s="16" t="n">
        <x:f>IF(COUNT(J231:O231)&lt;6,"",J231*5+K231*4+M231*4+L231*3+N231*2+O231*2)</x:f>
        <x:v>97</x:v>
      </x:c>
      <x:c r="R231" s="14" t="str">
        <x:v>high</x:v>
      </x:c>
      <x:c r="S231" s="14" t="str">
        <x:v>google_index_verified_2026-08-24</x:v>
      </x:c>
      <x:c r="T231" s="14" t="str">
        <x:v>indexed_official_service_page</x:v>
      </x:c>
      <x:c r="U231" s="14" t="str">
        <x:v>Новий — не контактували</x:v>
      </x:c>
      <x:c r="V231" s="15" t="str">
        <x:v>2-тижневий discovery: запросити вимоги 1 активного проєкту + 1 знеособлений артефакт</x:v>
      </x:c>
      <x:c r="W231" s="15" t="str">
        <x:v>Директор; головний інженер; керівник ПТО / пусконалагодження</x:v>
      </x:c>
      <x:c r="X231" s="15" t="str">
        <x:v>Портфоліо котелень та енергетичних систем. Пошуковий результат веде на індексовану сторінку корпоративного домену: Проєкти — ПК-ЕМС.</x:v>
      </x:c>
      <x:c r="Y231" s="15" t="str">
        <x:v>Трубопроводи, зварні стики, випробування, автоматика й ПНР потребують актів і протоколів до введення.</x:v>
      </x:c>
      <x:c r="Z231" s="15" t="str">
        <x:v>https://pkems.com.ua/projects</x:v>
      </x:c>
      <x:c r="AA231" s="14" t="str"/>
      <x:c r="AB231" s="14" t="str">
        <x:v>2026-08-24</x:v>
      </x:c>
      <x:c r="AC231" s="14" t="str">
        <x:v>Олександр</x:v>
      </x:c>
      <x:c r="AD231" s="20" t="str"/>
      <x:c r="AE231" s="14" t="str"/>
      <x:c r="AF231" s="14" t="n">
        <x:v>0</x:v>
      </x:c>
      <x:c r="AG231" s="14" t="str">
        <x:v>—</x:v>
      </x:c>
      <x:c r="AH231" s="14" t="n">
        <x:v>0</x:v>
      </x:c>
      <x:c r="AI231" s="14" t="n">
        <x:v>0</x:v>
      </x:c>
      <x:c r="AJ231" s="18" t="n">
        <x:v>0</x:v>
      </x:c>
      <x:c r="AK231" s="14" t="str"/>
      <x:c r="AL231" s="19" t="str"/>
      <x:c r="AM231" s="19" t="str"/>
      <x:c r="AN231" s="15" t="str"/>
      <x:c r="AO231" s="15" t="str">
        <x:v>google_index_verified_2026-08-24</x:v>
      </x:c>
    </x:row>
    <x:row r="232">
      <x:c r="A232" s="14" t="str">
        <x:v>W2-063</x:v>
      </x:c>
      <x:c r="B232" s="14" t="str">
        <x:v>Проєктний сигнал — 24.08</x:v>
      </x:c>
      <x:c r="C232" s="14" t="str">
        <x:v>ІВК Енергія</x:v>
      </x:c>
      <x:c r="D232" s="14" t="str">
        <x:v>Газопостачання / котельні</x:v>
      </x:c>
      <x:c r="E232" s="14" t="str">
        <x:v>Expansion discovery</x:v>
      </x:c>
      <x:c r="F232" s="17" t="str">
        <x:f>IF(E232="Pilot now",IF(P232&gt;=84,"P1",IF(P232&gt;=72,"P2","P3")),IF(E232="Expansion discovery",IF(Q232&gt;=88,"D1",IF(Q232&gt;=78,"D2","D3")),IF(E232="Later / requirements","L","Legacy")))</x:f>
        <x:v>D1</x:v>
      </x:c>
      <x:c r="G232" s="14" t="str">
        <x:v>energiya.com.ua</x:v>
      </x:c>
      <x:c r="H232" s="14" t="str">
        <x:v>2-тижневий workflow discovery — потрібні вимоги одного проєкту</x:v>
      </x:c>
      <x:c r="I232" s="16" t="n">
        <x:v>1</x:v>
      </x:c>
      <x:c r="J232" s="16" t="n">
        <x:v>5</x:v>
      </x:c>
      <x:c r="K232" s="16" t="n">
        <x:v>5</x:v>
      </x:c>
      <x:c r="L232" s="16" t="n">
        <x:v>4</x:v>
      </x:c>
      <x:c r="M232" s="16" t="n">
        <x:v>5</x:v>
      </x:c>
      <x:c r="N232" s="16" t="n">
        <x:v>5</x:v>
      </x:c>
      <x:c r="O232" s="16" t="n">
        <x:v>3</x:v>
      </x:c>
      <x:c r="P232" s="16" t="n">
        <x:f>IF(COUNT(I232:O232)&lt;7,"",I232*8+J232*3+K232*2+L232*2+M232*2+N232*2+O232)</x:f>
        <x:v>64</x:v>
      </x:c>
      <x:c r="Q232" s="16" t="n">
        <x:f>IF(COUNT(J232:O232)&lt;6,"",J232*5+K232*4+M232*4+L232*3+N232*2+O232*2)</x:f>
        <x:v>93</x:v>
      </x:c>
      <x:c r="R232" s="14" t="str">
        <x:v>medium</x:v>
      </x:c>
      <x:c r="S232" s="14" t="str">
        <x:v>google_index_verified_manual_check_2026-08-24</x:v>
      </x:c>
      <x:c r="T232" s="14" t="str">
        <x:v>indexed_official_page_manual_check</x:v>
      </x:c>
      <x:c r="U232" s="14" t="str">
        <x:v>Новий — не контактували</x:v>
      </x:c>
      <x:c r="V232" s="15" t="str">
        <x:v>2-тижневий discovery: запросити вимоги 1 активного проєкту + 1 знеособлений артефакт</x:v>
      </x:c>
      <x:c r="W232" s="15" t="str">
        <x:v>Директор; головний інженер; керівник ПТО / пусконалагодження</x:v>
      </x:c>
      <x:c r="X232" s="15" t="str">
        <x:v>Проєктування котелень. Пошуковий результат веде на індексовану сторінку корпоративного домену: Проєктування котелень — ІВК Енергія.</x:v>
      </x:c>
      <x:c r="Y232" s="15" t="str">
        <x:v>Трубопроводи, зварні стики, випробування, автоматика й ПНР потребують актів і протоколів до введення.</x:v>
      </x:c>
      <x:c r="Z232" s="15" t="str">
        <x:v>http://www.energiya.com.ua/services/proektirovanie-kotelnyh/</x:v>
      </x:c>
      <x:c r="AA232" s="14" t="str"/>
      <x:c r="AB232" s="14" t="str">
        <x:v>2026-08-24</x:v>
      </x:c>
      <x:c r="AC232" s="14" t="str">
        <x:v>Олександр</x:v>
      </x:c>
      <x:c r="AD232" s="20" t="str"/>
      <x:c r="AE232" s="14" t="str"/>
      <x:c r="AF232" s="14" t="n">
        <x:v>0</x:v>
      </x:c>
      <x:c r="AG232" s="14" t="str">
        <x:v>—</x:v>
      </x:c>
      <x:c r="AH232" s="14" t="n">
        <x:v>0</x:v>
      </x:c>
      <x:c r="AI232" s="14" t="n">
        <x:v>0</x:v>
      </x:c>
      <x:c r="AJ232" s="18" t="n">
        <x:v>0</x:v>
      </x:c>
      <x:c r="AK232" s="14" t="str"/>
      <x:c r="AL232" s="19" t="str"/>
      <x:c r="AM232" s="19" t="str"/>
      <x:c r="AN232" s="15" t="str"/>
      <x:c r="AO232" s="15" t="str">
        <x:v>google_index_verified_manual_check_2026-08-24</x:v>
      </x:c>
    </x:row>
    <x:row r="233">
      <x:c r="A233" s="14" t="str">
        <x:v>W2-064</x:v>
      </x:c>
      <x:c r="B233" s="14" t="str">
        <x:v>Проєктний сигнал — 24.08</x:v>
      </x:c>
      <x:c r="C233" s="14" t="str">
        <x:v>Italgaz</x:v>
      </x:c>
      <x:c r="D233" s="14" t="str">
        <x:v>Газопостачання / котельні</x:v>
      </x:c>
      <x:c r="E233" s="14" t="str">
        <x:v>Expansion discovery</x:v>
      </x:c>
      <x:c r="F233" s="17" t="str">
        <x:f>IF(E233="Pilot now",IF(P233&gt;=84,"P1",IF(P233&gt;=72,"P2","P3")),IF(E233="Expansion discovery",IF(Q233&gt;=88,"D1",IF(Q233&gt;=78,"D2","D3")),IF(E233="Later / requirements","L","Legacy")))</x:f>
        <x:v>D1</x:v>
      </x:c>
      <x:c r="G233" s="14" t="str">
        <x:v>italgaz.com.ua</x:v>
      </x:c>
      <x:c r="H233" s="14" t="str">
        <x:v>2-тижневий workflow discovery — потрібні вимоги одного проєкту</x:v>
      </x:c>
      <x:c r="I233" s="16" t="n">
        <x:v>1</x:v>
      </x:c>
      <x:c r="J233" s="16" t="n">
        <x:v>5</x:v>
      </x:c>
      <x:c r="K233" s="16" t="n">
        <x:v>5</x:v>
      </x:c>
      <x:c r="L233" s="16" t="n">
        <x:v>4</x:v>
      </x:c>
      <x:c r="M233" s="16" t="n">
        <x:v>5</x:v>
      </x:c>
      <x:c r="N233" s="16" t="n">
        <x:v>5</x:v>
      </x:c>
      <x:c r="O233" s="16" t="n">
        <x:v>5</x:v>
      </x:c>
      <x:c r="P233" s="16" t="n">
        <x:f>IF(COUNT(I233:O233)&lt;7,"",I233*8+J233*3+K233*2+L233*2+M233*2+N233*2+O233)</x:f>
        <x:v>66</x:v>
      </x:c>
      <x:c r="Q233" s="16" t="n">
        <x:f>IF(COUNT(J233:O233)&lt;6,"",J233*5+K233*4+M233*4+L233*3+N233*2+O233*2)</x:f>
        <x:v>97</x:v>
      </x:c>
      <x:c r="R233" s="14" t="str">
        <x:v>high</x:v>
      </x:c>
      <x:c r="S233" s="14" t="str">
        <x:v>google_index_verified_2026-08-24</x:v>
      </x:c>
      <x:c r="T233" s="14" t="str">
        <x:v>indexed_official_service_page</x:v>
      </x:c>
      <x:c r="U233" s="14" t="str">
        <x:v>Новий — не контактували</x:v>
      </x:c>
      <x:c r="V233" s="15" t="str">
        <x:v>2-тижневий discovery: запросити вимоги 1 активного проєкту + 1 знеособлений артефакт</x:v>
      </x:c>
      <x:c r="W233" s="15" t="str">
        <x:v>Директор; головний інженер; керівник ПТО / пусконалагодження</x:v>
      </x:c>
      <x:c r="X233" s="15" t="str">
        <x:v>Проєктування і монтаж газових котелень. Пошуковий результат веде на індексовану сторінку корпоративного домену: Проєктування та монтаж котелень — Italgaz.</x:v>
      </x:c>
      <x:c r="Y233" s="15" t="str">
        <x:v>Трубопроводи, зварні стики, випробування, автоматика й ПНР потребують актів і протоколів до введення.</x:v>
      </x:c>
      <x:c r="Z233" s="15" t="str">
        <x:v>https://www.italgaz.com.ua/ua/service/design-and-installation-gas-boiler.html</x:v>
      </x:c>
      <x:c r="AA233" s="14" t="str"/>
      <x:c r="AB233" s="14" t="str">
        <x:v>2026-08-24</x:v>
      </x:c>
      <x:c r="AC233" s="14" t="str">
        <x:v>Олександр</x:v>
      </x:c>
      <x:c r="AD233" s="20" t="str"/>
      <x:c r="AE233" s="14" t="str"/>
      <x:c r="AF233" s="14" t="n">
        <x:v>0</x:v>
      </x:c>
      <x:c r="AG233" s="14" t="str">
        <x:v>—</x:v>
      </x:c>
      <x:c r="AH233" s="14" t="n">
        <x:v>0</x:v>
      </x:c>
      <x:c r="AI233" s="14" t="n">
        <x:v>0</x:v>
      </x:c>
      <x:c r="AJ233" s="18" t="n">
        <x:v>0</x:v>
      </x:c>
      <x:c r="AK233" s="14" t="str"/>
      <x:c r="AL233" s="19" t="str"/>
      <x:c r="AM233" s="19" t="str"/>
      <x:c r="AN233" s="15" t="str"/>
      <x:c r="AO233" s="15" t="str">
        <x:v>google_index_verified_2026-08-24</x:v>
      </x:c>
    </x:row>
    <x:row r="234">
      <x:c r="A234" s="14" t="str">
        <x:v>W2-065</x:v>
      </x:c>
      <x:c r="B234" s="14" t="str">
        <x:v>Проєктний сигнал — 24.08</x:v>
      </x:c>
      <x:c r="C234" s="14" t="str">
        <x:v>ІВЦ Європрилад</x:v>
      </x:c>
      <x:c r="D234" s="14" t="str">
        <x:v>Газопостачання / котельні</x:v>
      </x:c>
      <x:c r="E234" s="14" t="str">
        <x:v>Expansion discovery</x:v>
      </x:c>
      <x:c r="F234" s="17" t="str">
        <x:f>IF(E234="Pilot now",IF(P234&gt;=84,"P1",IF(P234&gt;=72,"P2","P3")),IF(E234="Expansion discovery",IF(Q234&gt;=88,"D1",IF(Q234&gt;=78,"D2","D3")),IF(E234="Later / requirements","L","Legacy")))</x:f>
        <x:v>D1</x:v>
      </x:c>
      <x:c r="G234" s="14" t="str">
        <x:v>europrylad.com</x:v>
      </x:c>
      <x:c r="H234" s="14" t="str">
        <x:v>2-тижневий workflow discovery — потрібні вимоги одного проєкту</x:v>
      </x:c>
      <x:c r="I234" s="16" t="n">
        <x:v>1</x:v>
      </x:c>
      <x:c r="J234" s="16" t="n">
        <x:v>5</x:v>
      </x:c>
      <x:c r="K234" s="16" t="n">
        <x:v>5</x:v>
      </x:c>
      <x:c r="L234" s="16" t="n">
        <x:v>4</x:v>
      </x:c>
      <x:c r="M234" s="16" t="n">
        <x:v>5</x:v>
      </x:c>
      <x:c r="N234" s="16" t="n">
        <x:v>5</x:v>
      </x:c>
      <x:c r="O234" s="16" t="n">
        <x:v>5</x:v>
      </x:c>
      <x:c r="P234" s="16" t="n">
        <x:f>IF(COUNT(I234:O234)&lt;7,"",I234*8+J234*3+K234*2+L234*2+M234*2+N234*2+O234)</x:f>
        <x:v>66</x:v>
      </x:c>
      <x:c r="Q234" s="16" t="n">
        <x:f>IF(COUNT(J234:O234)&lt;6,"",J234*5+K234*4+M234*4+L234*3+N234*2+O234*2)</x:f>
        <x:v>97</x:v>
      </x:c>
      <x:c r="R234" s="14" t="str">
        <x:v>high</x:v>
      </x:c>
      <x:c r="S234" s="14" t="str">
        <x:v>google_index_verified_2026-08-24</x:v>
      </x:c>
      <x:c r="T234" s="14" t="str">
        <x:v>indexed_official_service_page</x:v>
      </x:c>
      <x:c r="U234" s="14" t="str">
        <x:v>Новий — не контактували</x:v>
      </x:c>
      <x:c r="V234" s="15" t="str">
        <x:v>2-тижневий discovery: запросити вимоги 1 активного проєкту + 1 знеособлений артефакт</x:v>
      </x:c>
      <x:c r="W234" s="15" t="str">
        <x:v>Директор; головний інженер; керівник ПТО / пусконалагодження</x:v>
      </x:c>
      <x:c r="X234" s="15" t="str">
        <x:v>Монтаж котелень на різних видах палива. Пошуковий результат веде на індексовану сторінку корпоративного домену: Монтаж котелень — Європрилад.</x:v>
      </x:c>
      <x:c r="Y234" s="15" t="str">
        <x:v>Трубопроводи, зварні стики, випробування, автоматика й ПНР потребують актів і протоколів до введення.</x:v>
      </x:c>
      <x:c r="Z234" s="15" t="str">
        <x:v>https://europrylad.com/ua/8-poslugy/7-montazh-kotelen</x:v>
      </x:c>
      <x:c r="AA234" s="14" t="str"/>
      <x:c r="AB234" s="14" t="str">
        <x:v>2026-08-24</x:v>
      </x:c>
      <x:c r="AC234" s="14" t="str">
        <x:v>Олександр</x:v>
      </x:c>
      <x:c r="AD234" s="20" t="str"/>
      <x:c r="AE234" s="14" t="str"/>
      <x:c r="AF234" s="14" t="n">
        <x:v>0</x:v>
      </x:c>
      <x:c r="AG234" s="14" t="str">
        <x:v>—</x:v>
      </x:c>
      <x:c r="AH234" s="14" t="n">
        <x:v>0</x:v>
      </x:c>
      <x:c r="AI234" s="14" t="n">
        <x:v>0</x:v>
      </x:c>
      <x:c r="AJ234" s="18" t="n">
        <x:v>0</x:v>
      </x:c>
      <x:c r="AK234" s="14" t="str"/>
      <x:c r="AL234" s="19" t="str"/>
      <x:c r="AM234" s="19" t="str"/>
      <x:c r="AN234" s="15" t="str"/>
      <x:c r="AO234" s="15" t="str">
        <x:v>google_index_verified_2026-08-24</x:v>
      </x:c>
    </x:row>
    <x:row r="235">
      <x:c r="A235" s="14" t="str">
        <x:v>W2-066</x:v>
      </x:c>
      <x:c r="B235" s="14" t="str">
        <x:v>Проєктний сигнал — 24.08</x:v>
      </x:c>
      <x:c r="C235" s="14" t="str">
        <x:v>Енерго-Інвест</x:v>
      </x:c>
      <x:c r="D235" s="14" t="str">
        <x:v>Газопостачання / котельні</x:v>
      </x:c>
      <x:c r="E235" s="14" t="str">
        <x:v>Expansion discovery</x:v>
      </x:c>
      <x:c r="F235" s="17" t="str">
        <x:f>IF(E235="Pilot now",IF(P235&gt;=84,"P1",IF(P235&gt;=72,"P2","P3")),IF(E235="Expansion discovery",IF(Q235&gt;=88,"D1",IF(Q235&gt;=78,"D2","D3")),IF(E235="Later / requirements","L","Legacy")))</x:f>
        <x:v>D1</x:v>
      </x:c>
      <x:c r="G235" s="14" t="str">
        <x:v>energo-invest.com.ua</x:v>
      </x:c>
      <x:c r="H235" s="14" t="str">
        <x:v>2-тижневий workflow discovery — потрібні вимоги одного проєкту</x:v>
      </x:c>
      <x:c r="I235" s="16" t="n">
        <x:v>1</x:v>
      </x:c>
      <x:c r="J235" s="16" t="n">
        <x:v>5</x:v>
      </x:c>
      <x:c r="K235" s="16" t="n">
        <x:v>5</x:v>
      </x:c>
      <x:c r="L235" s="16" t="n">
        <x:v>4</x:v>
      </x:c>
      <x:c r="M235" s="16" t="n">
        <x:v>5</x:v>
      </x:c>
      <x:c r="N235" s="16" t="n">
        <x:v>5</x:v>
      </x:c>
      <x:c r="O235" s="16" t="n">
        <x:v>3</x:v>
      </x:c>
      <x:c r="P235" s="16" t="n">
        <x:f>IF(COUNT(I235:O235)&lt;7,"",I235*8+J235*3+K235*2+L235*2+M235*2+N235*2+O235)</x:f>
        <x:v>64</x:v>
      </x:c>
      <x:c r="Q235" s="16" t="n">
        <x:f>IF(COUNT(J235:O235)&lt;6,"",J235*5+K235*4+M235*4+L235*3+N235*2+O235*2)</x:f>
        <x:v>93</x:v>
      </x:c>
      <x:c r="R235" s="14" t="str">
        <x:v>medium</x:v>
      </x:c>
      <x:c r="S235" s="14" t="str">
        <x:v>google_index_verified_manual_check_2026-08-24</x:v>
      </x:c>
      <x:c r="T235" s="14" t="str">
        <x:v>indexed_official_page_manual_check</x:v>
      </x:c>
      <x:c r="U235" s="14" t="str">
        <x:v>Новий — не контактували</x:v>
      </x:c>
      <x:c r="V235" s="15" t="str">
        <x:v>2-тижневий discovery: запросити вимоги 1 активного проєкту + 1 знеособлений артефакт</x:v>
      </x:c>
      <x:c r="W235" s="15" t="str">
        <x:v>Директор; головний інженер; керівник ПТО / пусконалагодження</x:v>
      </x:c>
      <x:c r="X235" s="15" t="str">
        <x:v>Проєктування теплопостачання. Пошуковий результат веде на індексовану сторінку корпоративного домену: Теплопостачання та опалення — Енерго-Інвест.</x:v>
      </x:c>
      <x:c r="Y235" s="15" t="str">
        <x:v>Трубопроводи, зварні стики, випробування, автоматика й ПНР потребують актів і протоколів до введення.</x:v>
      </x:c>
      <x:c r="Z235" s="15" t="str">
        <x:v>http://www.energo-invest.com.ua/designing/heating/</x:v>
      </x:c>
      <x:c r="AA235" s="14" t="str"/>
      <x:c r="AB235" s="14" t="str">
        <x:v>2026-08-24</x:v>
      </x:c>
      <x:c r="AC235" s="14" t="str">
        <x:v>Олександр</x:v>
      </x:c>
      <x:c r="AD235" s="20" t="str"/>
      <x:c r="AE235" s="14" t="str"/>
      <x:c r="AF235" s="14" t="n">
        <x:v>0</x:v>
      </x:c>
      <x:c r="AG235" s="14" t="str">
        <x:v>—</x:v>
      </x:c>
      <x:c r="AH235" s="14" t="n">
        <x:v>0</x:v>
      </x:c>
      <x:c r="AI235" s="14" t="n">
        <x:v>0</x:v>
      </x:c>
      <x:c r="AJ235" s="18" t="n">
        <x:v>0</x:v>
      </x:c>
      <x:c r="AK235" s="14" t="str"/>
      <x:c r="AL235" s="19" t="str"/>
      <x:c r="AM235" s="19" t="str"/>
      <x:c r="AN235" s="15" t="str"/>
      <x:c r="AO235" s="15" t="str">
        <x:v>google_index_verified_manual_check_2026-08-24</x:v>
      </x:c>
    </x:row>
    <x:row r="236">
      <x:c r="A236" s="14" t="str">
        <x:v>W2-067</x:v>
      </x:c>
      <x:c r="B236" s="14" t="str">
        <x:v>Проєктний сигнал — 24.08</x:v>
      </x:c>
      <x:c r="C236" s="14" t="str">
        <x:v>Тестрайт</x:v>
      </x:c>
      <x:c r="D236" s="14" t="str">
        <x:v>Газопостачання / котельні</x:v>
      </x:c>
      <x:c r="E236" s="14" t="str">
        <x:v>Expansion discovery</x:v>
      </x:c>
      <x:c r="F236" s="17" t="str">
        <x:f>IF(E236="Pilot now",IF(P236&gt;=84,"P1",IF(P236&gt;=72,"P2","P3")),IF(E236="Expansion discovery",IF(Q236&gt;=88,"D1",IF(Q236&gt;=78,"D2","D3")),IF(E236="Later / requirements","L","Legacy")))</x:f>
        <x:v>D1</x:v>
      </x:c>
      <x:c r="G236" s="14" t="str">
        <x:v>testrite.com.ua</x:v>
      </x:c>
      <x:c r="H236" s="14" t="str">
        <x:v>2-тижневий workflow discovery — потрібні вимоги одного проєкту</x:v>
      </x:c>
      <x:c r="I236" s="16" t="n">
        <x:v>1</x:v>
      </x:c>
      <x:c r="J236" s="16" t="n">
        <x:v>5</x:v>
      </x:c>
      <x:c r="K236" s="16" t="n">
        <x:v>5</x:v>
      </x:c>
      <x:c r="L236" s="16" t="n">
        <x:v>4</x:v>
      </x:c>
      <x:c r="M236" s="16" t="n">
        <x:v>5</x:v>
      </x:c>
      <x:c r="N236" s="16" t="n">
        <x:v>5</x:v>
      </x:c>
      <x:c r="O236" s="16" t="n">
        <x:v>5</x:v>
      </x:c>
      <x:c r="P236" s="16" t="n">
        <x:f>IF(COUNT(I236:O236)&lt;7,"",I236*8+J236*3+K236*2+L236*2+M236*2+N236*2+O236)</x:f>
        <x:v>66</x:v>
      </x:c>
      <x:c r="Q236" s="16" t="n">
        <x:f>IF(COUNT(J236:O236)&lt;6,"",J236*5+K236*4+M236*4+L236*3+N236*2+O236*2)</x:f>
        <x:v>97</x:v>
      </x:c>
      <x:c r="R236" s="14" t="str">
        <x:v>high</x:v>
      </x:c>
      <x:c r="S236" s="14" t="str">
        <x:v>google_index_verified_2026-08-24</x:v>
      </x:c>
      <x:c r="T236" s="14" t="str">
        <x:v>indexed_official_service_page</x:v>
      </x:c>
      <x:c r="U236" s="14" t="str">
        <x:v>Новий — не контактували</x:v>
      </x:c>
      <x:c r="V236" s="15" t="str">
        <x:v>2-тижневий discovery: запросити вимоги 1 активного проєкту + 1 знеособлений артефакт</x:v>
      </x:c>
      <x:c r="W236" s="15" t="str">
        <x:v>Директор; головний інженер; керівник ПТО / пусконалагодження</x:v>
      </x:c>
      <x:c r="X236" s="15" t="str">
        <x:v>Газопостачання від проєкту до монтажу. Пошуковий результат веде на індексовану сторінку корпоративного домену: Автономне газопостачання — Тестрайт.</x:v>
      </x:c>
      <x:c r="Y236" s="15" t="str">
        <x:v>Трубопроводи, зварні стики, випробування, автоматика й ПНР потребують актів і протоколів до введення.</x:v>
      </x:c>
      <x:c r="Z236" s="15" t="str">
        <x:v>https://www.testrite.com.ua/ua/avtonomnoe-gazosnabjenye-doma.php</x:v>
      </x:c>
      <x:c r="AA236" s="14" t="str"/>
      <x:c r="AB236" s="14" t="str">
        <x:v>2026-08-24</x:v>
      </x:c>
      <x:c r="AC236" s="14" t="str">
        <x:v>Олександр</x:v>
      </x:c>
      <x:c r="AD236" s="20" t="str"/>
      <x:c r="AE236" s="14" t="str"/>
      <x:c r="AF236" s="14" t="n">
        <x:v>0</x:v>
      </x:c>
      <x:c r="AG236" s="14" t="str">
        <x:v>—</x:v>
      </x:c>
      <x:c r="AH236" s="14" t="n">
        <x:v>0</x:v>
      </x:c>
      <x:c r="AI236" s="14" t="n">
        <x:v>0</x:v>
      </x:c>
      <x:c r="AJ236" s="18" t="n">
        <x:v>0</x:v>
      </x:c>
      <x:c r="AK236" s="14" t="str"/>
      <x:c r="AL236" s="19" t="str"/>
      <x:c r="AM236" s="19" t="str"/>
      <x:c r="AN236" s="15" t="str"/>
      <x:c r="AO236" s="15" t="str">
        <x:v>google_index_verified_2026-08-24</x:v>
      </x:c>
    </x:row>
    <x:row r="237">
      <x:c r="A237" s="14" t="str">
        <x:v>W2-068</x:v>
      </x:c>
      <x:c r="B237" s="14" t="str">
        <x:v>Проєктний сигнал — 24.08</x:v>
      </x:c>
      <x:c r="C237" s="14" t="str">
        <x:v>Gaz-Med</x:v>
      </x:c>
      <x:c r="D237" s="14" t="str">
        <x:v>Медичні гази</x:v>
      </x:c>
      <x:c r="E237" s="14" t="str">
        <x:v>Expansion discovery</x:v>
      </x:c>
      <x:c r="F237" s="17" t="str">
        <x:f>IF(E237="Pilot now",IF(P237&gt;=84,"P1",IF(P237&gt;=72,"P2","P3")),IF(E237="Expansion discovery",IF(Q237&gt;=88,"D1",IF(Q237&gt;=78,"D2","D3")),IF(E237="Later / requirements","L","Legacy")))</x:f>
        <x:v>D1</x:v>
      </x:c>
      <x:c r="G237" s="14" t="str">
        <x:v>gaz-med.com.ua</x:v>
      </x:c>
      <x:c r="H237" s="14" t="str">
        <x:v>2-тижневий workflow discovery — потрібні вимоги одного проєкту</x:v>
      </x:c>
      <x:c r="I237" s="16" t="n">
        <x:v>1</x:v>
      </x:c>
      <x:c r="J237" s="16" t="n">
        <x:v>5</x:v>
      </x:c>
      <x:c r="K237" s="16" t="n">
        <x:v>5</x:v>
      </x:c>
      <x:c r="L237" s="16" t="n">
        <x:v>4</x:v>
      </x:c>
      <x:c r="M237" s="16" t="n">
        <x:v>5</x:v>
      </x:c>
      <x:c r="N237" s="16" t="n">
        <x:v>5</x:v>
      </x:c>
      <x:c r="O237" s="16" t="n">
        <x:v>5</x:v>
      </x:c>
      <x:c r="P237" s="16" t="n">
        <x:f>IF(COUNT(I237:O237)&lt;7,"",I237*8+J237*3+K237*2+L237*2+M237*2+N237*2+O237)</x:f>
        <x:v>66</x:v>
      </x:c>
      <x:c r="Q237" s="16" t="n">
        <x:f>IF(COUNT(J237:O237)&lt;6,"",J237*5+K237*4+M237*4+L237*3+N237*2+O237*2)</x:f>
        <x:v>97</x:v>
      </x:c>
      <x:c r="R237" s="14" t="str">
        <x:v>high</x:v>
      </x:c>
      <x:c r="S237" s="14" t="str">
        <x:v>google_index_verified_2026-08-24</x:v>
      </x:c>
      <x:c r="T237" s="14" t="str">
        <x:v>indexed_official_service_page</x:v>
      </x:c>
      <x:c r="U237" s="14" t="str">
        <x:v>Новий — не контактували</x:v>
      </x:c>
      <x:c r="V237" s="15" t="str">
        <x:v>2-тижневий discovery: запросити вимоги 1 активного проєкту + 1 знеособлений артефакт</x:v>
      </x:c>
      <x:c r="W237" s="15" t="str">
        <x:v>Комерційний директор; керівник проєктів; ПТО / відповідальний за якість</x:v>
      </x:c>
      <x:c r="X237" s="15" t="str">
        <x:v>Портфоліо систем медичних газів. Пошуковий результат веде на індексовану сторінку корпоративного домену: Реалізовані проєкти медичного газопостачання — Gaz-Med.</x:v>
      </x:c>
      <x:c r="Y237" s="15" t="str">
        <x:v>Мідні трубопроводи, пайка, маркування, чистота, випробування й валідація утворюють критичний приймальний пакет.</x:v>
      </x:c>
      <x:c r="Z237" s="15" t="str">
        <x:v>https://gaz-med.com.ua/realizovani-proekty/</x:v>
      </x:c>
      <x:c r="AA237" s="14" t="str"/>
      <x:c r="AB237" s="14" t="str">
        <x:v>2026-08-24</x:v>
      </x:c>
      <x:c r="AC237" s="14" t="str">
        <x:v>Олександр</x:v>
      </x:c>
      <x:c r="AD237" s="20" t="str"/>
      <x:c r="AE237" s="14" t="str"/>
      <x:c r="AF237" s="14" t="n">
        <x:v>0</x:v>
      </x:c>
      <x:c r="AG237" s="14" t="str">
        <x:v>—</x:v>
      </x:c>
      <x:c r="AH237" s="14" t="n">
        <x:v>0</x:v>
      </x:c>
      <x:c r="AI237" s="14" t="n">
        <x:v>0</x:v>
      </x:c>
      <x:c r="AJ237" s="18" t="n">
        <x:v>0</x:v>
      </x:c>
      <x:c r="AK237" s="14" t="str"/>
      <x:c r="AL237" s="19" t="str"/>
      <x:c r="AM237" s="19" t="str"/>
      <x:c r="AN237" s="15" t="str"/>
      <x:c r="AO237" s="15" t="str">
        <x:v>google_index_verified_2026-08-24</x:v>
      </x:c>
    </x:row>
    <x:row r="238">
      <x:c r="A238" s="14" t="str">
        <x:v>W2-069</x:v>
      </x:c>
      <x:c r="B238" s="14" t="str">
        <x:v>Проєктний сигнал — 24.08</x:v>
      </x:c>
      <x:c r="C238" s="14" t="str">
        <x:v>СпецКиївБуд Medical</x:v>
      </x:c>
      <x:c r="D238" s="14" t="str">
        <x:v>Медичні гази</x:v>
      </x:c>
      <x:c r="E238" s="14" t="str">
        <x:v>Expansion discovery</x:v>
      </x:c>
      <x:c r="F238" s="17" t="str">
        <x:f>IF(E238="Pilot now",IF(P238&gt;=84,"P1",IF(P238&gt;=72,"P2","P3")),IF(E238="Expansion discovery",IF(Q238&gt;=88,"D1",IF(Q238&gt;=78,"D2","D3")),IF(E238="Later / requirements","L","Legacy")))</x:f>
        <x:v>D1</x:v>
      </x:c>
      <x:c r="G238" s="14" t="str">
        <x:v>medical.skb.kiev.ua</x:v>
      </x:c>
      <x:c r="H238" s="14" t="str">
        <x:v>2-тижневий workflow discovery — потрібні вимоги одного проєкту</x:v>
      </x:c>
      <x:c r="I238" s="16" t="n">
        <x:v>1</x:v>
      </x:c>
      <x:c r="J238" s="16" t="n">
        <x:v>5</x:v>
      </x:c>
      <x:c r="K238" s="16" t="n">
        <x:v>5</x:v>
      </x:c>
      <x:c r="L238" s="16" t="n">
        <x:v>4</x:v>
      </x:c>
      <x:c r="M238" s="16" t="n">
        <x:v>5</x:v>
      </x:c>
      <x:c r="N238" s="16" t="n">
        <x:v>5</x:v>
      </x:c>
      <x:c r="O238" s="16" t="n">
        <x:v>5</x:v>
      </x:c>
      <x:c r="P238" s="16" t="n">
        <x:f>IF(COUNT(I238:O238)&lt;7,"",I238*8+J238*3+K238*2+L238*2+M238*2+N238*2+O238)</x:f>
        <x:v>66</x:v>
      </x:c>
      <x:c r="Q238" s="16" t="n">
        <x:f>IF(COUNT(J238:O238)&lt;6,"",J238*5+K238*4+M238*4+L238*3+N238*2+O238*2)</x:f>
        <x:v>97</x:v>
      </x:c>
      <x:c r="R238" s="14" t="str">
        <x:v>high</x:v>
      </x:c>
      <x:c r="S238" s="14" t="str">
        <x:v>google_index_verified_2026-08-24</x:v>
      </x:c>
      <x:c r="T238" s="14" t="str">
        <x:v>indexed_official_service_page</x:v>
      </x:c>
      <x:c r="U238" s="14" t="str">
        <x:v>Новий — не контактували</x:v>
      </x:c>
      <x:c r="V238" s="15" t="str">
        <x:v>2-тижневий discovery: запросити вимоги 1 активного проєкту + 1 знеособлений артефакт</x:v>
      </x:c>
      <x:c r="W238" s="15" t="str">
        <x:v>Комерційний директор; керівник проєктів; ПТО / відповідальний за якість</x:v>
      </x:c>
      <x:c r="X238" s="15" t="str">
        <x:v>Проєктування і монтаж медичних газів. Пошуковий результат веде на індексовану сторінку корпоративного домену: Медичне газопостачання — СпецКиївБуд Medical.</x:v>
      </x:c>
      <x:c r="Y238" s="15" t="str">
        <x:v>Мідні трубопроводи, пайка, маркування, чистота, випробування й валідація утворюють критичний приймальний пакет.</x:v>
      </x:c>
      <x:c r="Z238" s="15" t="str">
        <x:v>https://medical.skb.kiev.ua/posluhy-medychne-hazopostachannia/</x:v>
      </x:c>
      <x:c r="AA238" s="14" t="str"/>
      <x:c r="AB238" s="14" t="str">
        <x:v>2026-08-24</x:v>
      </x:c>
      <x:c r="AC238" s="14" t="str">
        <x:v>Олександр</x:v>
      </x:c>
      <x:c r="AD238" s="20" t="str"/>
      <x:c r="AE238" s="14" t="str"/>
      <x:c r="AF238" s="14" t="n">
        <x:v>0</x:v>
      </x:c>
      <x:c r="AG238" s="14" t="str">
        <x:v>—</x:v>
      </x:c>
      <x:c r="AH238" s="14" t="n">
        <x:v>0</x:v>
      </x:c>
      <x:c r="AI238" s="14" t="n">
        <x:v>0</x:v>
      </x:c>
      <x:c r="AJ238" s="18" t="n">
        <x:v>0</x:v>
      </x:c>
      <x:c r="AK238" s="14" t="str"/>
      <x:c r="AL238" s="19" t="str"/>
      <x:c r="AM238" s="19" t="str"/>
      <x:c r="AN238" s="15" t="str"/>
      <x:c r="AO238" s="15" t="str">
        <x:v>google_index_verified_2026-08-24</x:v>
      </x:c>
    </x:row>
    <x:row r="239">
      <x:c r="A239" s="14" t="str">
        <x:v>W2-070</x:v>
      </x:c>
      <x:c r="B239" s="14" t="str">
        <x:v>Проєктний сигнал — 24.08</x:v>
      </x:c>
      <x:c r="C239" s="14" t="str">
        <x:v>WestMed</x:v>
      </x:c>
      <x:c r="D239" s="14" t="str">
        <x:v>Медичні гази</x:v>
      </x:c>
      <x:c r="E239" s="14" t="str">
        <x:v>Expansion discovery</x:v>
      </x:c>
      <x:c r="F239" s="17" t="str">
        <x:f>IF(E239="Pilot now",IF(P239&gt;=84,"P1",IF(P239&gt;=72,"P2","P3")),IF(E239="Expansion discovery",IF(Q239&gt;=88,"D1",IF(Q239&gt;=78,"D2","D3")),IF(E239="Later / requirements","L","Legacy")))</x:f>
        <x:v>D1</x:v>
      </x:c>
      <x:c r="G239" s="14" t="str">
        <x:v>westmed.com.ua</x:v>
      </x:c>
      <x:c r="H239" s="14" t="str">
        <x:v>2-тижневий workflow discovery — потрібні вимоги одного проєкту</x:v>
      </x:c>
      <x:c r="I239" s="16" t="n">
        <x:v>1</x:v>
      </x:c>
      <x:c r="J239" s="16" t="n">
        <x:v>5</x:v>
      </x:c>
      <x:c r="K239" s="16" t="n">
        <x:v>5</x:v>
      </x:c>
      <x:c r="L239" s="16" t="n">
        <x:v>4</x:v>
      </x:c>
      <x:c r="M239" s="16" t="n">
        <x:v>5</x:v>
      </x:c>
      <x:c r="N239" s="16" t="n">
        <x:v>5</x:v>
      </x:c>
      <x:c r="O239" s="16" t="n">
        <x:v>5</x:v>
      </x:c>
      <x:c r="P239" s="16" t="n">
        <x:f>IF(COUNT(I239:O239)&lt;7,"",I239*8+J239*3+K239*2+L239*2+M239*2+N239*2+O239)</x:f>
        <x:v>66</x:v>
      </x:c>
      <x:c r="Q239" s="16" t="n">
        <x:f>IF(COUNT(J239:O239)&lt;6,"",J239*5+K239*4+M239*4+L239*3+N239*2+O239*2)</x:f>
        <x:v>97</x:v>
      </x:c>
      <x:c r="R239" s="14" t="str">
        <x:v>high</x:v>
      </x:c>
      <x:c r="S239" s="14" t="str">
        <x:v>google_index_verified_2026-08-24</x:v>
      </x:c>
      <x:c r="T239" s="14" t="str">
        <x:v>indexed_official_service_page</x:v>
      </x:c>
      <x:c r="U239" s="14" t="str">
        <x:v>Новий — не контактували</x:v>
      </x:c>
      <x:c r="V239" s="15" t="str">
        <x:v>2-тижневий discovery: запросити вимоги 1 активного проєкту + 1 знеособлений артефакт</x:v>
      </x:c>
      <x:c r="W239" s="15" t="str">
        <x:v>Комерційний директор; керівник проєктів; ПТО / відповідальний за якість</x:v>
      </x:c>
      <x:c r="X239" s="15" t="str">
        <x:v>Проєктування медичних газів. Пошуковий результат веде на індексовану сторінку корпоративного домену: Проєктування систем медичного газопостачання — WestMed.</x:v>
      </x:c>
      <x:c r="Y239" s="15" t="str">
        <x:v>Мідні трубопроводи, пайка, маркування, чистота, випробування й валідація утворюють критичний приймальний пакет.</x:v>
      </x:c>
      <x:c r="Z239" s="15" t="str">
        <x:v>https://westmed.com.ua/proektuvannya-medychnyh-zakladiv/</x:v>
      </x:c>
      <x:c r="AA239" s="14" t="str"/>
      <x:c r="AB239" s="14" t="str">
        <x:v>2026-08-24</x:v>
      </x:c>
      <x:c r="AC239" s="14" t="str">
        <x:v>Олександр</x:v>
      </x:c>
      <x:c r="AD239" s="20" t="str"/>
      <x:c r="AE239" s="14" t="str"/>
      <x:c r="AF239" s="14" t="n">
        <x:v>0</x:v>
      </x:c>
      <x:c r="AG239" s="14" t="str">
        <x:v>—</x:v>
      </x:c>
      <x:c r="AH239" s="14" t="n">
        <x:v>0</x:v>
      </x:c>
      <x:c r="AI239" s="14" t="n">
        <x:v>0</x:v>
      </x:c>
      <x:c r="AJ239" s="18" t="n">
        <x:v>0</x:v>
      </x:c>
      <x:c r="AK239" s="14" t="str"/>
      <x:c r="AL239" s="19" t="str"/>
      <x:c r="AM239" s="19" t="str"/>
      <x:c r="AN239" s="15" t="str"/>
      <x:c r="AO239" s="15" t="str">
        <x:v>google_index_verified_2026-08-24</x:v>
      </x:c>
    </x:row>
    <x:row r="240">
      <x:c r="A240" s="14" t="str">
        <x:v>W2-071</x:v>
      </x:c>
      <x:c r="B240" s="14" t="str">
        <x:v>Проєктний сигнал — 24.08</x:v>
      </x:c>
      <x:c r="C240" s="14" t="str">
        <x:v>Мегасан-Україна</x:v>
      </x:c>
      <x:c r="D240" s="14" t="str">
        <x:v>Медичні гази</x:v>
      </x:c>
      <x:c r="E240" s="14" t="str">
        <x:v>Expansion discovery</x:v>
      </x:c>
      <x:c r="F240" s="17" t="str">
        <x:f>IF(E240="Pilot now",IF(P240&gt;=84,"P1",IF(P240&gt;=72,"P2","P3")),IF(E240="Expansion discovery",IF(Q240&gt;=88,"D1",IF(Q240&gt;=78,"D2","D3")),IF(E240="Later / requirements","L","Legacy")))</x:f>
        <x:v>D1</x:v>
      </x:c>
      <x:c r="G240" s="14" t="str">
        <x:v>megasanukraine.com.ua</x:v>
      </x:c>
      <x:c r="H240" s="14" t="str">
        <x:v>2-тижневий workflow discovery — потрібні вимоги одного проєкту</x:v>
      </x:c>
      <x:c r="I240" s="16" t="n">
        <x:v>1</x:v>
      </x:c>
      <x:c r="J240" s="16" t="n">
        <x:v>5</x:v>
      </x:c>
      <x:c r="K240" s="16" t="n">
        <x:v>5</x:v>
      </x:c>
      <x:c r="L240" s="16" t="n">
        <x:v>4</x:v>
      </x:c>
      <x:c r="M240" s="16" t="n">
        <x:v>5</x:v>
      </x:c>
      <x:c r="N240" s="16" t="n">
        <x:v>5</x:v>
      </x:c>
      <x:c r="O240" s="16" t="n">
        <x:v>5</x:v>
      </x:c>
      <x:c r="P240" s="16" t="n">
        <x:f>IF(COUNT(I240:O240)&lt;7,"",I240*8+J240*3+K240*2+L240*2+M240*2+N240*2+O240)</x:f>
        <x:v>66</x:v>
      </x:c>
      <x:c r="Q240" s="16" t="n">
        <x:f>IF(COUNT(J240:O240)&lt;6,"",J240*5+K240*4+M240*4+L240*3+N240*2+O240*2)</x:f>
        <x:v>97</x:v>
      </x:c>
      <x:c r="R240" s="14" t="str">
        <x:v>high</x:v>
      </x:c>
      <x:c r="S240" s="14" t="str">
        <x:v>google_index_verified_2026-08-24</x:v>
      </x:c>
      <x:c r="T240" s="14" t="str">
        <x:v>indexed_official_service_page</x:v>
      </x:c>
      <x:c r="U240" s="14" t="str">
        <x:v>Новий — не контактували</x:v>
      </x:c>
      <x:c r="V240" s="15" t="str">
        <x:v>2-тижневий discovery: запросити вимоги 1 активного проєкту + 1 знеособлений артефакт</x:v>
      </x:c>
      <x:c r="W240" s="15" t="str">
        <x:v>Комерційний директор; керівник проєктів; ПТО / відповідальний за якість</x:v>
      </x:c>
      <x:c r="X240" s="15" t="str">
        <x:v>Проєктування систем медичних газів. Пошуковий результат веде на індексовану сторінку корпоративного домену: Проєктування — Мегасан-Україна.</x:v>
      </x:c>
      <x:c r="Y240" s="15" t="str">
        <x:v>Мідні трубопроводи, пайка, маркування, чистота, випробування й валідація утворюють критичний приймальний пакет.</x:v>
      </x:c>
      <x:c r="Z240" s="15" t="str">
        <x:v>https://megasanukraine.com.ua/proektuvannya</x:v>
      </x:c>
      <x:c r="AA240" s="14" t="str"/>
      <x:c r="AB240" s="14" t="str">
        <x:v>2026-08-24</x:v>
      </x:c>
      <x:c r="AC240" s="14" t="str">
        <x:v>Олександр</x:v>
      </x:c>
      <x:c r="AD240" s="20" t="str"/>
      <x:c r="AE240" s="14" t="str"/>
      <x:c r="AF240" s="14" t="n">
        <x:v>0</x:v>
      </x:c>
      <x:c r="AG240" s="14" t="str">
        <x:v>—</x:v>
      </x:c>
      <x:c r="AH240" s="14" t="n">
        <x:v>0</x:v>
      </x:c>
      <x:c r="AI240" s="14" t="n">
        <x:v>0</x:v>
      </x:c>
      <x:c r="AJ240" s="18" t="n">
        <x:v>0</x:v>
      </x:c>
      <x:c r="AK240" s="14" t="str"/>
      <x:c r="AL240" s="19" t="str"/>
      <x:c r="AM240" s="19" t="str"/>
      <x:c r="AN240" s="15" t="str"/>
      <x:c r="AO240" s="15" t="str">
        <x:v>google_index_verified_2026-08-24</x:v>
      </x:c>
    </x:row>
    <x:row r="241">
      <x:c r="A241" s="14" t="str">
        <x:v>W2-072</x:v>
      </x:c>
      <x:c r="B241" s="14" t="str">
        <x:v>Проєктний сигнал — 24.08</x:v>
      </x:c>
      <x:c r="C241" s="14" t="str">
        <x:v>Віола Медтехніка</x:v>
      </x:c>
      <x:c r="D241" s="14" t="str">
        <x:v>Медичні гази</x:v>
      </x:c>
      <x:c r="E241" s="14" t="str">
        <x:v>Expansion discovery</x:v>
      </x:c>
      <x:c r="F241" s="17" t="str">
        <x:f>IF(E241="Pilot now",IF(P241&gt;=84,"P1",IF(P241&gt;=72,"P2","P3")),IF(E241="Expansion discovery",IF(Q241&gt;=88,"D1",IF(Q241&gt;=78,"D2","D3")),IF(E241="Later / requirements","L","Legacy")))</x:f>
        <x:v>D1</x:v>
      </x:c>
      <x:c r="G241" s="14" t="str">
        <x:v>viola.net.ua</x:v>
      </x:c>
      <x:c r="H241" s="14" t="str">
        <x:v>2-тижневий workflow discovery — потрібні вимоги одного проєкту</x:v>
      </x:c>
      <x:c r="I241" s="16" t="n">
        <x:v>1</x:v>
      </x:c>
      <x:c r="J241" s="16" t="n">
        <x:v>5</x:v>
      </x:c>
      <x:c r="K241" s="16" t="n">
        <x:v>5</x:v>
      </x:c>
      <x:c r="L241" s="16" t="n">
        <x:v>4</x:v>
      </x:c>
      <x:c r="M241" s="16" t="n">
        <x:v>5</x:v>
      </x:c>
      <x:c r="N241" s="16" t="n">
        <x:v>5</x:v>
      </x:c>
      <x:c r="O241" s="16" t="n">
        <x:v>5</x:v>
      </x:c>
      <x:c r="P241" s="16" t="n">
        <x:f>IF(COUNT(I241:O241)&lt;7,"",I241*8+J241*3+K241*2+L241*2+M241*2+N241*2+O241)</x:f>
        <x:v>66</x:v>
      </x:c>
      <x:c r="Q241" s="16" t="n">
        <x:f>IF(COUNT(J241:O241)&lt;6,"",J241*5+K241*4+M241*4+L241*3+N241*2+O241*2)</x:f>
        <x:v>97</x:v>
      </x:c>
      <x:c r="R241" s="14" t="str">
        <x:v>high</x:v>
      </x:c>
      <x:c r="S241" s="14" t="str">
        <x:v>google_index_verified_2026-08-24</x:v>
      </x:c>
      <x:c r="T241" s="14" t="str">
        <x:v>indexed_official_service_page</x:v>
      </x:c>
      <x:c r="U241" s="14" t="str">
        <x:v>Новий — не контактували</x:v>
      </x:c>
      <x:c r="V241" s="15" t="str">
        <x:v>2-тижневий discovery: запросити вимоги 1 активного проєкту + 1 знеособлений артефакт</x:v>
      </x:c>
      <x:c r="W241" s="15" t="str">
        <x:v>Комерційний директор; керівник проєктів; ПТО / відповідальний за якість</x:v>
      </x:c>
      <x:c r="X241" s="15" t="str">
        <x:v>Реконструкція систем медичних газів. Пошуковий результат веде на індексовану сторінку корпоративного домену: Проєктування та монтаж медичних газів — Віола.</x:v>
      </x:c>
      <x:c r="Y241" s="15" t="str">
        <x:v>Мідні трубопроводи, пайка, маркування, чистота, випробування й валідація утворюють критичний приймальний пакет.</x:v>
      </x:c>
      <x:c r="Z241" s="15" t="str">
        <x:v>https://viola.net.ua/ua/rekonstrukc%D1%96ya-sistem-medichnih-gaz%D1%96v</x:v>
      </x:c>
      <x:c r="AA241" s="14" t="str"/>
      <x:c r="AB241" s="14" t="str">
        <x:v>2026-08-24</x:v>
      </x:c>
      <x:c r="AC241" s="14" t="str">
        <x:v>Олександр</x:v>
      </x:c>
      <x:c r="AD241" s="20" t="str"/>
      <x:c r="AE241" s="14" t="str"/>
      <x:c r="AF241" s="14" t="n">
        <x:v>0</x:v>
      </x:c>
      <x:c r="AG241" s="14" t="str">
        <x:v>—</x:v>
      </x:c>
      <x:c r="AH241" s="14" t="n">
        <x:v>0</x:v>
      </x:c>
      <x:c r="AI241" s="14" t="n">
        <x:v>0</x:v>
      </x:c>
      <x:c r="AJ241" s="18" t="n">
        <x:v>0</x:v>
      </x:c>
      <x:c r="AK241" s="14" t="str"/>
      <x:c r="AL241" s="19" t="str"/>
      <x:c r="AM241" s="19" t="str"/>
      <x:c r="AN241" s="15" t="str"/>
      <x:c r="AO241" s="15" t="str">
        <x:v>google_index_verified_2026-08-24</x:v>
      </x:c>
    </x:row>
    <x:row r="242">
      <x:c r="A242" s="14" t="str">
        <x:v>W2-073</x:v>
      </x:c>
      <x:c r="B242" s="14" t="str">
        <x:v>Проєктний сигнал — 24.08</x:v>
      </x:c>
      <x:c r="C242" s="14" t="str">
        <x:v>DM Project</x:v>
      </x:c>
      <x:c r="D242" s="14" t="str">
        <x:v>Медичні гази</x:v>
      </x:c>
      <x:c r="E242" s="14" t="str">
        <x:v>Expansion discovery</x:v>
      </x:c>
      <x:c r="F242" s="17" t="str">
        <x:f>IF(E242="Pilot now",IF(P242&gt;=84,"P1",IF(P242&gt;=72,"P2","P3")),IF(E242="Expansion discovery",IF(Q242&gt;=88,"D1",IF(Q242&gt;=78,"D2","D3")),IF(E242="Later / requirements","L","Legacy")))</x:f>
        <x:v>D1</x:v>
      </x:c>
      <x:c r="G242" s="14" t="str">
        <x:v>dm-project.com.ua</x:v>
      </x:c>
      <x:c r="H242" s="14" t="str">
        <x:v>2-тижневий workflow discovery — потрібні вимоги одного проєкту</x:v>
      </x:c>
      <x:c r="I242" s="16" t="n">
        <x:v>1</x:v>
      </x:c>
      <x:c r="J242" s="16" t="n">
        <x:v>5</x:v>
      </x:c>
      <x:c r="K242" s="16" t="n">
        <x:v>5</x:v>
      </x:c>
      <x:c r="L242" s="16" t="n">
        <x:v>4</x:v>
      </x:c>
      <x:c r="M242" s="16" t="n">
        <x:v>5</x:v>
      </x:c>
      <x:c r="N242" s="16" t="n">
        <x:v>5</x:v>
      </x:c>
      <x:c r="O242" s="16" t="n">
        <x:v>4</x:v>
      </x:c>
      <x:c r="P242" s="16" t="n">
        <x:f>IF(COUNT(I242:O242)&lt;7,"",I242*8+J242*3+K242*2+L242*2+M242*2+N242*2+O242)</x:f>
        <x:v>65</x:v>
      </x:c>
      <x:c r="Q242" s="16" t="n">
        <x:f>IF(COUNT(J242:O242)&lt;6,"",J242*5+K242*4+M242*4+L242*3+N242*2+O242*2)</x:f>
        <x:v>95</x:v>
      </x:c>
      <x:c r="R242" s="14" t="str">
        <x:v>medium</x:v>
      </x:c>
      <x:c r="S242" s="14" t="str">
        <x:v>google_index_verified_manual_check_2026-08-24</x:v>
      </x:c>
      <x:c r="T242" s="14" t="str">
        <x:v>indexed_official_page_manual_check</x:v>
      </x:c>
      <x:c r="U242" s="14" t="str">
        <x:v>Новий — не контактували</x:v>
      </x:c>
      <x:c r="V242" s="15" t="str">
        <x:v>2-тижневий discovery: запросити вимоги 1 активного проєкту + 1 знеособлений артефакт</x:v>
      </x:c>
      <x:c r="W242" s="15" t="str">
        <x:v>Комерційний директор; керівник проєктів; ПТО / відповідальний за якість</x:v>
      </x:c>
      <x:c r="X242" s="15" t="str">
        <x:v>Проєктування та реалізація медичних інженерних систем. Пошуковий результат веде на індексовану сторінку корпоративного домену: DM Project.</x:v>
      </x:c>
      <x:c r="Y242" s="15" t="str">
        <x:v>Мідні трубопроводи, пайка, маркування, чистота, випробування й валідація утворюють критичний приймальний пакет.</x:v>
      </x:c>
      <x:c r="Z242" s="15" t="str">
        <x:v>https://dm-project.com.ua/</x:v>
      </x:c>
      <x:c r="AA242" s="14" t="str"/>
      <x:c r="AB242" s="14" t="str">
        <x:v>2026-08-24</x:v>
      </x:c>
      <x:c r="AC242" s="14" t="str">
        <x:v>Олександр</x:v>
      </x:c>
      <x:c r="AD242" s="20" t="str"/>
      <x:c r="AE242" s="14" t="str"/>
      <x:c r="AF242" s="14" t="n">
        <x:v>0</x:v>
      </x:c>
      <x:c r="AG242" s="14" t="str">
        <x:v>—</x:v>
      </x:c>
      <x:c r="AH242" s="14" t="n">
        <x:v>0</x:v>
      </x:c>
      <x:c r="AI242" s="14" t="n">
        <x:v>0</x:v>
      </x:c>
      <x:c r="AJ242" s="18" t="n">
        <x:v>0</x:v>
      </x:c>
      <x:c r="AK242" s="14" t="str"/>
      <x:c r="AL242" s="19" t="str"/>
      <x:c r="AM242" s="19" t="str"/>
      <x:c r="AN242" s="15" t="str"/>
      <x:c r="AO242" s="15" t="str">
        <x:v>google_index_verified_manual_check_2026-08-24</x:v>
      </x:c>
    </x:row>
    <x:row r="243">
      <x:c r="A243" s="14" t="str">
        <x:v>W2-074</x:v>
      </x:c>
      <x:c r="B243" s="14" t="str">
        <x:v>Проєктний сигнал — 24.08</x:v>
      </x:c>
      <x:c r="C243" s="14" t="str">
        <x:v>Cryo-TM</x:v>
      </x:c>
      <x:c r="D243" s="14" t="str">
        <x:v>Медичні гази</x:v>
      </x:c>
      <x:c r="E243" s="14" t="str">
        <x:v>Expansion discovery</x:v>
      </x:c>
      <x:c r="F243" s="17" t="str">
        <x:f>IF(E243="Pilot now",IF(P243&gt;=84,"P1",IF(P243&gt;=72,"P2","P3")),IF(E243="Expansion discovery",IF(Q243&gt;=88,"D1",IF(Q243&gt;=78,"D2","D3")),IF(E243="Later / requirements","L","Legacy")))</x:f>
        <x:v>D1</x:v>
      </x:c>
      <x:c r="G243" s="14" t="str">
        <x:v>cryo-tm.com.ua</x:v>
      </x:c>
      <x:c r="H243" s="14" t="str">
        <x:v>2-тижневий workflow discovery — потрібні вимоги одного проєкту</x:v>
      </x:c>
      <x:c r="I243" s="16" t="n">
        <x:v>1</x:v>
      </x:c>
      <x:c r="J243" s="16" t="n">
        <x:v>5</x:v>
      </x:c>
      <x:c r="K243" s="16" t="n">
        <x:v>5</x:v>
      </x:c>
      <x:c r="L243" s="16" t="n">
        <x:v>4</x:v>
      </x:c>
      <x:c r="M243" s="16" t="n">
        <x:v>5</x:v>
      </x:c>
      <x:c r="N243" s="16" t="n">
        <x:v>5</x:v>
      </x:c>
      <x:c r="O243" s="16" t="n">
        <x:v>5</x:v>
      </x:c>
      <x:c r="P243" s="16" t="n">
        <x:f>IF(COUNT(I243:O243)&lt;7,"",I243*8+J243*3+K243*2+L243*2+M243*2+N243*2+O243)</x:f>
        <x:v>66</x:v>
      </x:c>
      <x:c r="Q243" s="16" t="n">
        <x:f>IF(COUNT(J243:O243)&lt;6,"",J243*5+K243*4+M243*4+L243*3+N243*2+O243*2)</x:f>
        <x:v>97</x:v>
      </x:c>
      <x:c r="R243" s="14" t="str">
        <x:v>high</x:v>
      </x:c>
      <x:c r="S243" s="14" t="str">
        <x:v>google_index_verified_2026-08-24</x:v>
      </x:c>
      <x:c r="T243" s="14" t="str">
        <x:v>indexed_official_service_page</x:v>
      </x:c>
      <x:c r="U243" s="14" t="str">
        <x:v>Новий — не контактували</x:v>
      </x:c>
      <x:c r="V243" s="15" t="str">
        <x:v>2-тижневий discovery: запросити вимоги 1 активного проєкту + 1 знеособлений артефакт</x:v>
      </x:c>
      <x:c r="W243" s="15" t="str">
        <x:v>Комерційний директор; керівник проєктів; ПТО / відповідальний за якість</x:v>
      </x:c>
      <x:c r="X243" s="15" t="str">
        <x:v>Комплексне медичне газопостачання. Пошуковий результат веде на індексовану сторінку корпоративного домену: Комплексне оснащення медичними газами — Cryo-TM.</x:v>
      </x:c>
      <x:c r="Y243" s="15" t="str">
        <x:v>Мідні трубопроводи, пайка, маркування, чистота, випробування й валідація утворюють критичний приймальний пакет.</x:v>
      </x:c>
      <x:c r="Z243" s="15" t="str">
        <x:v>https://cryo-tm.com.ua/uk/kompleksne-osnasshennya-sistemami-medichnogo-gazopostachannya/716-kompleksnoe-osnasshenie-sistemami-medicinskogo-gazosnabzheniya.html</x:v>
      </x:c>
      <x:c r="AA243" s="14" t="str"/>
      <x:c r="AB243" s="14" t="str">
        <x:v>2026-08-24</x:v>
      </x:c>
      <x:c r="AC243" s="14" t="str">
        <x:v>Олександр</x:v>
      </x:c>
      <x:c r="AD243" s="20" t="str"/>
      <x:c r="AE243" s="14" t="str"/>
      <x:c r="AF243" s="14" t="n">
        <x:v>0</x:v>
      </x:c>
      <x:c r="AG243" s="14" t="str">
        <x:v>—</x:v>
      </x:c>
      <x:c r="AH243" s="14" t="n">
        <x:v>0</x:v>
      </x:c>
      <x:c r="AI243" s="14" t="n">
        <x:v>0</x:v>
      </x:c>
      <x:c r="AJ243" s="18" t="n">
        <x:v>0</x:v>
      </x:c>
      <x:c r="AK243" s="14" t="str"/>
      <x:c r="AL243" s="19" t="str"/>
      <x:c r="AM243" s="19" t="str"/>
      <x:c r="AN243" s="15" t="str"/>
      <x:c r="AO243" s="15" t="str">
        <x:v>google_index_verified_2026-08-24</x:v>
      </x:c>
    </x:row>
    <x:row r="244">
      <x:c r="A244" s="14" t="str">
        <x:v>W2-075</x:v>
      </x:c>
      <x:c r="B244" s="14" t="str">
        <x:v>Проєктний сигнал — 24.08</x:v>
      </x:c>
      <x:c r="C244" s="14" t="str">
        <x:v>Компресорс Інтернешнл</x:v>
      </x:c>
      <x:c r="D244" s="14" t="str">
        <x:v>Стиснене повітря / компресорні</x:v>
      </x:c>
      <x:c r="E244" s="14" t="str">
        <x:v>Expansion discovery</x:v>
      </x:c>
      <x:c r="F244" s="17" t="str">
        <x:f>IF(E244="Pilot now",IF(P244&gt;=84,"P1",IF(P244&gt;=72,"P2","P3")),IF(E244="Expansion discovery",IF(Q244&gt;=88,"D1",IF(Q244&gt;=78,"D2","D3")),IF(E244="Later / requirements","L","Legacy")))</x:f>
        <x:v>D1</x:v>
      </x:c>
      <x:c r="G244" s="14" t="str">
        <x:v>compressors.ua</x:v>
      </x:c>
      <x:c r="H244" s="14" t="str">
        <x:v>2-тижневий workflow discovery — потрібні вимоги одного проєкту</x:v>
      </x:c>
      <x:c r="I244" s="16" t="n">
        <x:v>1</x:v>
      </x:c>
      <x:c r="J244" s="16" t="n">
        <x:v>5</x:v>
      </x:c>
      <x:c r="K244" s="16" t="n">
        <x:v>5</x:v>
      </x:c>
      <x:c r="L244" s="16" t="n">
        <x:v>4</x:v>
      </x:c>
      <x:c r="M244" s="16" t="n">
        <x:v>4</x:v>
      </x:c>
      <x:c r="N244" s="16" t="n">
        <x:v>5</x:v>
      </x:c>
      <x:c r="O244" s="16" t="n">
        <x:v>5</x:v>
      </x:c>
      <x:c r="P244" s="16" t="n">
        <x:f>IF(COUNT(I244:O244)&lt;7,"",I244*8+J244*3+K244*2+L244*2+M244*2+N244*2+O244)</x:f>
        <x:v>64</x:v>
      </x:c>
      <x:c r="Q244" s="16" t="n">
        <x:f>IF(COUNT(J244:O244)&lt;6,"",J244*5+K244*4+M244*4+L244*3+N244*2+O244*2)</x:f>
        <x:v>93</x:v>
      </x:c>
      <x:c r="R244" s="14" t="str">
        <x:v>high</x:v>
      </x:c>
      <x:c r="S244" s="14" t="str">
        <x:v>google_index_verified_2026-08-24</x:v>
      </x:c>
      <x:c r="T244" s="14" t="str">
        <x:v>indexed_official_service_page</x:v>
      </x:c>
      <x:c r="U244" s="14" t="str">
        <x:v>Новий — не контактували</x:v>
      </x:c>
      <x:c r="V244" s="15" t="str">
        <x:v>2-тижневий discovery: запросити вимоги 1 активного проєкту + 1 знеособлений артефакт</x:v>
      </x:c>
      <x:c r="W244" s="15" t="str">
        <x:v>Директор; керівник інженерних проєктів; головний інженер / сервіс</x:v>
      </x:c>
      <x:c r="X244" s="15" t="str">
        <x:v>Проєктування і монтаж компресорних. Пошуковий результат веде на індексовану сторінку корпоративного домену: Проєктування та монтаж — Компресорс Інтернешнл.</x:v>
      </x:c>
      <x:c r="Y244" s="15" t="str">
        <x:v>Пневмомережі, дренаж, фільтрація, випробування герметичності й ПНР здаються поетапно.</x:v>
      </x:c>
      <x:c r="Z244" s="15" t="str">
        <x:v>https://compressors.ua/proektuvannya-ta-montazh</x:v>
      </x:c>
      <x:c r="AA244" s="14" t="str"/>
      <x:c r="AB244" s="14" t="str">
        <x:v>2026-08-24</x:v>
      </x:c>
      <x:c r="AC244" s="14" t="str">
        <x:v>Олександр</x:v>
      </x:c>
      <x:c r="AD244" s="20" t="str"/>
      <x:c r="AE244" s="14" t="str"/>
      <x:c r="AF244" s="14" t="n">
        <x:v>0</x:v>
      </x:c>
      <x:c r="AG244" s="14" t="str">
        <x:v>—</x:v>
      </x:c>
      <x:c r="AH244" s="14" t="n">
        <x:v>0</x:v>
      </x:c>
      <x:c r="AI244" s="14" t="n">
        <x:v>0</x:v>
      </x:c>
      <x:c r="AJ244" s="18" t="n">
        <x:v>0</x:v>
      </x:c>
      <x:c r="AK244" s="14" t="str"/>
      <x:c r="AL244" s="19" t="str"/>
      <x:c r="AM244" s="19" t="str"/>
      <x:c r="AN244" s="15" t="str"/>
      <x:c r="AO244" s="15" t="str">
        <x:v>google_index_verified_2026-08-24</x:v>
      </x:c>
    </x:row>
    <x:row r="245">
      <x:c r="A245" s="14" t="str">
        <x:v>W2-076</x:v>
      </x:c>
      <x:c r="B245" s="14" t="str">
        <x:v>Проєктний сигнал — 24.08</x:v>
      </x:c>
      <x:c r="C245" s="14" t="str">
        <x:v>Dalgakiran Kompresor Ukraine</x:v>
      </x:c>
      <x:c r="D245" s="14" t="str">
        <x:v>Стиснене повітря / компресорні</x:v>
      </x:c>
      <x:c r="E245" s="14" t="str">
        <x:v>Expansion discovery</x:v>
      </x:c>
      <x:c r="F245" s="17" t="str">
        <x:f>IF(E245="Pilot now",IF(P245&gt;=84,"P1",IF(P245&gt;=72,"P2","P3")),IF(E245="Expansion discovery",IF(Q245&gt;=88,"D1",IF(Q245&gt;=78,"D2","D3")),IF(E245="Later / requirements","L","Legacy")))</x:f>
        <x:v>D1</x:v>
      </x:c>
      <x:c r="G245" s="14" t="str">
        <x:v>dalgakiran.ua</x:v>
      </x:c>
      <x:c r="H245" s="14" t="str">
        <x:v>2-тижневий workflow discovery — потрібні вимоги одного проєкту</x:v>
      </x:c>
      <x:c r="I245" s="16" t="n">
        <x:v>1</x:v>
      </x:c>
      <x:c r="J245" s="16" t="n">
        <x:v>5</x:v>
      </x:c>
      <x:c r="K245" s="16" t="n">
        <x:v>5</x:v>
      </x:c>
      <x:c r="L245" s="16" t="n">
        <x:v>4</x:v>
      </x:c>
      <x:c r="M245" s="16" t="n">
        <x:v>4</x:v>
      </x:c>
      <x:c r="N245" s="16" t="n">
        <x:v>5</x:v>
      </x:c>
      <x:c r="O245" s="16" t="n">
        <x:v>4</x:v>
      </x:c>
      <x:c r="P245" s="16" t="n">
        <x:f>IF(COUNT(I245:O245)&lt;7,"",I245*8+J245*3+K245*2+L245*2+M245*2+N245*2+O245)</x:f>
        <x:v>63</x:v>
      </x:c>
      <x:c r="Q245" s="16" t="n">
        <x:f>IF(COUNT(J245:O245)&lt;6,"",J245*5+K245*4+M245*4+L245*3+N245*2+O245*2)</x:f>
        <x:v>91</x:v>
      </x:c>
      <x:c r="R245" s="14" t="str">
        <x:v>medium</x:v>
      </x:c>
      <x:c r="S245" s="14" t="str">
        <x:v>google_index_verified_manual_check_2026-08-24</x:v>
      </x:c>
      <x:c r="T245" s="14" t="str">
        <x:v>indexed_official_page_manual_check</x:v>
      </x:c>
      <x:c r="U245" s="14" t="str">
        <x:v>Новий — не контактували</x:v>
      </x:c>
      <x:c r="V245" s="15" t="str">
        <x:v>2-тижневий discovery: запросити вимоги 1 активного проєкту + 1 знеособлений артефакт</x:v>
      </x:c>
      <x:c r="W245" s="15" t="str">
        <x:v>Директор; керівник інженерних проєктів; головний інженер / сервіс</x:v>
      </x:c>
      <x:c r="X245" s="15" t="str">
        <x:v>Компресорні системи та сервіс. Пошуковий результат веде на індексовану сторінку корпоративного домену: Dalgakiran Kompresor Ukraine.</x:v>
      </x:c>
      <x:c r="Y245" s="15" t="str">
        <x:v>Пневмомережі, дренаж, фільтрація, випробування герметичності й ПНР здаються поетапно.</x:v>
      </x:c>
      <x:c r="Z245" s="15" t="str">
        <x:v>https://dalgakiran.ua/uk/kontakti/</x:v>
      </x:c>
      <x:c r="AA245" s="14" t="str"/>
      <x:c r="AB245" s="14" t="str">
        <x:v>2026-08-24</x:v>
      </x:c>
      <x:c r="AC245" s="14" t="str">
        <x:v>Олександр</x:v>
      </x:c>
      <x:c r="AD245" s="20" t="str"/>
      <x:c r="AE245" s="14" t="str"/>
      <x:c r="AF245" s="14" t="n">
        <x:v>0</x:v>
      </x:c>
      <x:c r="AG245" s="14" t="str">
        <x:v>—</x:v>
      </x:c>
      <x:c r="AH245" s="14" t="n">
        <x:v>0</x:v>
      </x:c>
      <x:c r="AI245" s="14" t="n">
        <x:v>0</x:v>
      </x:c>
      <x:c r="AJ245" s="18" t="n">
        <x:v>0</x:v>
      </x:c>
      <x:c r="AK245" s="14" t="str"/>
      <x:c r="AL245" s="19" t="str"/>
      <x:c r="AM245" s="19" t="str"/>
      <x:c r="AN245" s="15" t="str"/>
      <x:c r="AO245" s="15" t="str">
        <x:v>google_index_verified_manual_check_2026-08-24</x:v>
      </x:c>
    </x:row>
    <x:row r="246">
      <x:c r="A246" s="14" t="str">
        <x:v>W2-077</x:v>
      </x:c>
      <x:c r="B246" s="14" t="str">
        <x:v>Проєктний сигнал — 24.08</x:v>
      </x:c>
      <x:c r="C246" s="14" t="str">
        <x:v>Пневматик Сервіс</x:v>
      </x:c>
      <x:c r="D246" s="14" t="str">
        <x:v>Стиснене повітря / компресорні</x:v>
      </x:c>
      <x:c r="E246" s="14" t="str">
        <x:v>Expansion discovery</x:v>
      </x:c>
      <x:c r="F246" s="17" t="str">
        <x:f>IF(E246="Pilot now",IF(P246&gt;=84,"P1",IF(P246&gt;=72,"P2","P3")),IF(E246="Expansion discovery",IF(Q246&gt;=88,"D1",IF(Q246&gt;=78,"D2","D3")),IF(E246="Later / requirements","L","Legacy")))</x:f>
        <x:v>D1</x:v>
      </x:c>
      <x:c r="G246" s="14" t="str">
        <x:v>pneumatic-service.com.ua</x:v>
      </x:c>
      <x:c r="H246" s="14" t="str">
        <x:v>2-тижневий workflow discovery — потрібні вимоги одного проєкту</x:v>
      </x:c>
      <x:c r="I246" s="16" t="n">
        <x:v>1</x:v>
      </x:c>
      <x:c r="J246" s="16" t="n">
        <x:v>5</x:v>
      </x:c>
      <x:c r="K246" s="16" t="n">
        <x:v>5</x:v>
      </x:c>
      <x:c r="L246" s="16" t="n">
        <x:v>4</x:v>
      </x:c>
      <x:c r="M246" s="16" t="n">
        <x:v>4</x:v>
      </x:c>
      <x:c r="N246" s="16" t="n">
        <x:v>5</x:v>
      </x:c>
      <x:c r="O246" s="16" t="n">
        <x:v>5</x:v>
      </x:c>
      <x:c r="P246" s="16" t="n">
        <x:f>IF(COUNT(I246:O246)&lt;7,"",I246*8+J246*3+K246*2+L246*2+M246*2+N246*2+O246)</x:f>
        <x:v>64</x:v>
      </x:c>
      <x:c r="Q246" s="16" t="n">
        <x:f>IF(COUNT(J246:O246)&lt;6,"",J246*5+K246*4+M246*4+L246*3+N246*2+O246*2)</x:f>
        <x:v>93</x:v>
      </x:c>
      <x:c r="R246" s="14" t="str">
        <x:v>high</x:v>
      </x:c>
      <x:c r="S246" s="14" t="str">
        <x:v>google_index_verified_2026-08-24</x:v>
      </x:c>
      <x:c r="T246" s="14" t="str">
        <x:v>indexed_official_service_page</x:v>
      </x:c>
      <x:c r="U246" s="14" t="str">
        <x:v>Новий — не контактували</x:v>
      </x:c>
      <x:c r="V246" s="15" t="str">
        <x:v>2-тижневий discovery: запросити вимоги 1 активного проєкту + 1 знеособлений артефакт</x:v>
      </x:c>
      <x:c r="W246" s="15" t="str">
        <x:v>Директор; керівник інженерних проєктів; головний інженер / сервіс</x:v>
      </x:c>
      <x:c r="X246" s="15" t="str">
        <x:v>Монтаж компресорних систем. Пошуковий результат веде на індексовану сторінку корпоративного домену: Монтаж компресора — Пневматик Сервіс.</x:v>
      </x:c>
      <x:c r="Y246" s="15" t="str">
        <x:v>Пневмомережі, дренаж, фільтрація, випробування герметичності й ПНР здаються поетапно.</x:v>
      </x:c>
      <x:c r="Z246" s="15" t="str">
        <x:v>https://pneumatic-service.com.ua/montazhnye-raboty/montazh-gvintovogo-kompresora/</x:v>
      </x:c>
      <x:c r="AA246" s="14" t="str"/>
      <x:c r="AB246" s="14" t="str">
        <x:v>2026-08-24</x:v>
      </x:c>
      <x:c r="AC246" s="14" t="str">
        <x:v>Олександр</x:v>
      </x:c>
      <x:c r="AD246" s="20" t="str"/>
      <x:c r="AE246" s="14" t="str"/>
      <x:c r="AF246" s="14" t="n">
        <x:v>0</x:v>
      </x:c>
      <x:c r="AG246" s="14" t="str">
        <x:v>—</x:v>
      </x:c>
      <x:c r="AH246" s="14" t="n">
        <x:v>0</x:v>
      </x:c>
      <x:c r="AI246" s="14" t="n">
        <x:v>0</x:v>
      </x:c>
      <x:c r="AJ246" s="18" t="n">
        <x:v>0</x:v>
      </x:c>
      <x:c r="AK246" s="14" t="str"/>
      <x:c r="AL246" s="19" t="str"/>
      <x:c r="AM246" s="19" t="str"/>
      <x:c r="AN246" s="15" t="str"/>
      <x:c r="AO246" s="15" t="str">
        <x:v>google_index_verified_2026-08-24</x:v>
      </x:c>
    </x:row>
    <x:row r="247">
      <x:c r="A247" s="14" t="str">
        <x:v>W2-078</x:v>
      </x:c>
      <x:c r="B247" s="14" t="str">
        <x:v>Проєктний сигнал — 24.08</x:v>
      </x:c>
      <x:c r="C247" s="14" t="str">
        <x:v>Champion Air Tech</x:v>
      </x:c>
      <x:c r="D247" s="14" t="str">
        <x:v>Стиснене повітря / компресорні</x:v>
      </x:c>
      <x:c r="E247" s="14" t="str">
        <x:v>Expansion discovery</x:v>
      </x:c>
      <x:c r="F247" s="17" t="str">
        <x:f>IF(E247="Pilot now",IF(P247&gt;=84,"P1",IF(P247&gt;=72,"P2","P3")),IF(E247="Expansion discovery",IF(Q247&gt;=88,"D1",IF(Q247&gt;=78,"D2","D3")),IF(E247="Later / requirements","L","Legacy")))</x:f>
        <x:v>D1</x:v>
      </x:c>
      <x:c r="G247" s="14" t="str">
        <x:v>championairtech.com.ua</x:v>
      </x:c>
      <x:c r="H247" s="14" t="str">
        <x:v>2-тижневий workflow discovery — потрібні вимоги одного проєкту</x:v>
      </x:c>
      <x:c r="I247" s="16" t="n">
        <x:v>1</x:v>
      </x:c>
      <x:c r="J247" s="16" t="n">
        <x:v>5</x:v>
      </x:c>
      <x:c r="K247" s="16" t="n">
        <x:v>5</x:v>
      </x:c>
      <x:c r="L247" s="16" t="n">
        <x:v>4</x:v>
      </x:c>
      <x:c r="M247" s="16" t="n">
        <x:v>4</x:v>
      </x:c>
      <x:c r="N247" s="16" t="n">
        <x:v>5</x:v>
      </x:c>
      <x:c r="O247" s="16" t="n">
        <x:v>5</x:v>
      </x:c>
      <x:c r="P247" s="16" t="n">
        <x:f>IF(COUNT(I247:O247)&lt;7,"",I247*8+J247*3+K247*2+L247*2+M247*2+N247*2+O247)</x:f>
        <x:v>64</x:v>
      </x:c>
      <x:c r="Q247" s="16" t="n">
        <x:f>IF(COUNT(J247:O247)&lt;6,"",J247*5+K247*4+M247*4+L247*3+N247*2+O247*2)</x:f>
        <x:v>93</x:v>
      </x:c>
      <x:c r="R247" s="14" t="str">
        <x:v>high</x:v>
      </x:c>
      <x:c r="S247" s="14" t="str">
        <x:v>google_index_verified_2026-08-24</x:v>
      </x:c>
      <x:c r="T247" s="14" t="str">
        <x:v>indexed_official_service_page</x:v>
      </x:c>
      <x:c r="U247" s="14" t="str">
        <x:v>Новий — не контактували</x:v>
      </x:c>
      <x:c r="V247" s="15" t="str">
        <x:v>2-тижневий discovery: запросити вимоги 1 активного проєкту + 1 знеособлений артефакт</x:v>
      </x:c>
      <x:c r="W247" s="15" t="str">
        <x:v>Директор; керівник інженерних проєктів; головний інженер / сервіс</x:v>
      </x:c>
      <x:c r="X247" s="15" t="str">
        <x:v>Інсталяція і сервіс компресорних систем. Пошуковий результат веде на індексовану сторінку корпоративного домену: Сервіс — Champion Air Tech.</x:v>
      </x:c>
      <x:c r="Y247" s="15" t="str">
        <x:v>Пневмомережі, дренаж, фільтрація, випробування герметичності й ПНР здаються поетапно.</x:v>
      </x:c>
      <x:c r="Z247" s="15" t="str">
        <x:v>https://championairtech.com.ua/service</x:v>
      </x:c>
      <x:c r="AA247" s="14" t="str"/>
      <x:c r="AB247" s="14" t="str">
        <x:v>2026-08-24</x:v>
      </x:c>
      <x:c r="AC247" s="14" t="str">
        <x:v>Олександр</x:v>
      </x:c>
      <x:c r="AD247" s="20" t="str"/>
      <x:c r="AE247" s="14" t="str"/>
      <x:c r="AF247" s="14" t="n">
        <x:v>0</x:v>
      </x:c>
      <x:c r="AG247" s="14" t="str">
        <x:v>—</x:v>
      </x:c>
      <x:c r="AH247" s="14" t="n">
        <x:v>0</x:v>
      </x:c>
      <x:c r="AI247" s="14" t="n">
        <x:v>0</x:v>
      </x:c>
      <x:c r="AJ247" s="18" t="n">
        <x:v>0</x:v>
      </x:c>
      <x:c r="AK247" s="14" t="str"/>
      <x:c r="AL247" s="19" t="str"/>
      <x:c r="AM247" s="19" t="str"/>
      <x:c r="AN247" s="15" t="str"/>
      <x:c r="AO247" s="15" t="str">
        <x:v>google_index_verified_2026-08-24</x:v>
      </x:c>
    </x:row>
    <x:row r="248">
      <x:c r="A248" s="14" t="str">
        <x:v>W2-079</x:v>
      </x:c>
      <x:c r="B248" s="14" t="str">
        <x:v>Проєктний сигнал — 24.08</x:v>
      </x:c>
      <x:c r="C248" s="14" t="str">
        <x:v>Airgroup</x:v>
      </x:c>
      <x:c r="D248" s="14" t="str">
        <x:v>Стиснене повітря / компресорні</x:v>
      </x:c>
      <x:c r="E248" s="14" t="str">
        <x:v>Expansion discovery</x:v>
      </x:c>
      <x:c r="F248" s="17" t="str">
        <x:f>IF(E248="Pilot now",IF(P248&gt;=84,"P1",IF(P248&gt;=72,"P2","P3")),IF(E248="Expansion discovery",IF(Q248&gt;=88,"D1",IF(Q248&gt;=78,"D2","D3")),IF(E248="Later / requirements","L","Legacy")))</x:f>
        <x:v>D1</x:v>
      </x:c>
      <x:c r="G248" s="14" t="str">
        <x:v>airgroup.com.ua</x:v>
      </x:c>
      <x:c r="H248" s="14" t="str">
        <x:v>2-тижневий workflow discovery — потрібні вимоги одного проєкту</x:v>
      </x:c>
      <x:c r="I248" s="16" t="n">
        <x:v>1</x:v>
      </x:c>
      <x:c r="J248" s="16" t="n">
        <x:v>5</x:v>
      </x:c>
      <x:c r="K248" s="16" t="n">
        <x:v>5</x:v>
      </x:c>
      <x:c r="L248" s="16" t="n">
        <x:v>4</x:v>
      </x:c>
      <x:c r="M248" s="16" t="n">
        <x:v>4</x:v>
      </x:c>
      <x:c r="N248" s="16" t="n">
        <x:v>5</x:v>
      </x:c>
      <x:c r="O248" s="16" t="n">
        <x:v>5</x:v>
      </x:c>
      <x:c r="P248" s="16" t="n">
        <x:f>IF(COUNT(I248:O248)&lt;7,"",I248*8+J248*3+K248*2+L248*2+M248*2+N248*2+O248)</x:f>
        <x:v>64</x:v>
      </x:c>
      <x:c r="Q248" s="16" t="n">
        <x:f>IF(COUNT(J248:O248)&lt;6,"",J248*5+K248*4+M248*4+L248*3+N248*2+O248*2)</x:f>
        <x:v>93</x:v>
      </x:c>
      <x:c r="R248" s="14" t="str">
        <x:v>high</x:v>
      </x:c>
      <x:c r="S248" s="14" t="str">
        <x:v>google_index_verified_2026-08-24</x:v>
      </x:c>
      <x:c r="T248" s="14" t="str">
        <x:v>indexed_official_service_page</x:v>
      </x:c>
      <x:c r="U248" s="14" t="str">
        <x:v>Новий — не контактували</x:v>
      </x:c>
      <x:c r="V248" s="15" t="str">
        <x:v>2-тижневий discovery: запросити вимоги 1 активного проєкту + 1 знеособлений артефакт</x:v>
      </x:c>
      <x:c r="W248" s="15" t="str">
        <x:v>Директор; керівник інженерних проєктів; головний інженер / сервіс</x:v>
      </x:c>
      <x:c r="X248" s="15" t="str">
        <x:v>Монтаж пневмомереж компресорних. Пошуковий результат веде на індексовану сторінку корпоративного домену: Монтаж пневмомережі — Airgroup.</x:v>
      </x:c>
      <x:c r="Y248" s="15" t="str">
        <x:v>Пневмомережі, дренаж, фільтрація, випробування герметичності й ПНР здаються поетапно.</x:v>
      </x:c>
      <x:c r="Z248" s="15" t="str">
        <x:v>https://airgroup.com.ua/ua/p1370335624-montazh-pnevmoseti-kompressornoj.html</x:v>
      </x:c>
      <x:c r="AA248" s="14" t="str"/>
      <x:c r="AB248" s="14" t="str">
        <x:v>2026-08-24</x:v>
      </x:c>
      <x:c r="AC248" s="14" t="str">
        <x:v>Олександр</x:v>
      </x:c>
      <x:c r="AD248" s="20" t="str"/>
      <x:c r="AE248" s="14" t="str"/>
      <x:c r="AF248" s="14" t="n">
        <x:v>0</x:v>
      </x:c>
      <x:c r="AG248" s="14" t="str">
        <x:v>—</x:v>
      </x:c>
      <x:c r="AH248" s="14" t="n">
        <x:v>0</x:v>
      </x:c>
      <x:c r="AI248" s="14" t="n">
        <x:v>0</x:v>
      </x:c>
      <x:c r="AJ248" s="18" t="n">
        <x:v>0</x:v>
      </x:c>
      <x:c r="AK248" s="14" t="str"/>
      <x:c r="AL248" s="19" t="str"/>
      <x:c r="AM248" s="19" t="str"/>
      <x:c r="AN248" s="15" t="str"/>
      <x:c r="AO248" s="15" t="str">
        <x:v>google_index_verified_2026-08-24</x:v>
      </x:c>
    </x:row>
    <x:row r="249">
      <x:c r="A249" s="14" t="str">
        <x:v>W2-080</x:v>
      </x:c>
      <x:c r="B249" s="14" t="str">
        <x:v>Проєктний сигнал — 24.08</x:v>
      </x:c>
      <x:c r="C249" s="14" t="str">
        <x:v>Ентех Україна</x:v>
      </x:c>
      <x:c r="D249" s="14" t="str">
        <x:v>Стиснене повітря / компресорні</x:v>
      </x:c>
      <x:c r="E249" s="14" t="str">
        <x:v>Expansion discovery</x:v>
      </x:c>
      <x:c r="F249" s="17" t="str">
        <x:f>IF(E249="Pilot now",IF(P249&gt;=84,"P1",IF(P249&gt;=72,"P2","P3")),IF(E249="Expansion discovery",IF(Q249&gt;=88,"D1",IF(Q249&gt;=78,"D2","D3")),IF(E249="Later / requirements","L","Legacy")))</x:f>
        <x:v>D1</x:v>
      </x:c>
      <x:c r="G249" s="14" t="str">
        <x:v>entech-ukraine.com.ua</x:v>
      </x:c>
      <x:c r="H249" s="14" t="str">
        <x:v>2-тижневий workflow discovery — потрібні вимоги одного проєкту</x:v>
      </x:c>
      <x:c r="I249" s="16" t="n">
        <x:v>1</x:v>
      </x:c>
      <x:c r="J249" s="16" t="n">
        <x:v>5</x:v>
      </x:c>
      <x:c r="K249" s="16" t="n">
        <x:v>5</x:v>
      </x:c>
      <x:c r="L249" s="16" t="n">
        <x:v>4</x:v>
      </x:c>
      <x:c r="M249" s="16" t="n">
        <x:v>4</x:v>
      </x:c>
      <x:c r="N249" s="16" t="n">
        <x:v>5</x:v>
      </x:c>
      <x:c r="O249" s="16" t="n">
        <x:v>5</x:v>
      </x:c>
      <x:c r="P249" s="16" t="n">
        <x:f>IF(COUNT(I249:O249)&lt;7,"",I249*8+J249*3+K249*2+L249*2+M249*2+N249*2+O249)</x:f>
        <x:v>64</x:v>
      </x:c>
      <x:c r="Q249" s="16" t="n">
        <x:f>IF(COUNT(J249:O249)&lt;6,"",J249*5+K249*4+M249*4+L249*3+N249*2+O249*2)</x:f>
        <x:v>93</x:v>
      </x:c>
      <x:c r="R249" s="14" t="str">
        <x:v>high</x:v>
      </x:c>
      <x:c r="S249" s="14" t="str">
        <x:v>google_index_verified_2026-08-24</x:v>
      </x:c>
      <x:c r="T249" s="14" t="str">
        <x:v>indexed_official_service_page</x:v>
      </x:c>
      <x:c r="U249" s="14" t="str">
        <x:v>Новий — не контактували</x:v>
      </x:c>
      <x:c r="V249" s="15" t="str">
        <x:v>2-тижневий discovery: запросити вимоги 1 активного проєкту + 1 знеособлений артефакт</x:v>
      </x:c>
      <x:c r="W249" s="15" t="str">
        <x:v>Директор; керівник інженерних проєктів; головний інженер / сервіс</x:v>
      </x:c>
      <x:c r="X249" s="15" t="str">
        <x:v>Монтаж пневматичних систем. Пошуковий результат веде на індексовану сторінку корпоративного домену: Монтаж пневматичної системи — Ентех Україна.</x:v>
      </x:c>
      <x:c r="Y249" s="15" t="str">
        <x:v>Пневмомережі, дренаж, фільтрація, випробування герметичності й ПНР здаються поетапно.</x:v>
      </x:c>
      <x:c r="Z249" s="15" t="str">
        <x:v>https://entech-ukraine.com.ua/installation-of-pneumatic-system</x:v>
      </x:c>
      <x:c r="AA249" s="14" t="str"/>
      <x:c r="AB249" s="14" t="str">
        <x:v>2026-08-24</x:v>
      </x:c>
      <x:c r="AC249" s="14" t="str">
        <x:v>Олександр</x:v>
      </x:c>
      <x:c r="AD249" s="20" t="str"/>
      <x:c r="AE249" s="14" t="str"/>
      <x:c r="AF249" s="14" t="n">
        <x:v>0</x:v>
      </x:c>
      <x:c r="AG249" s="14" t="str">
        <x:v>—</x:v>
      </x:c>
      <x:c r="AH249" s="14" t="n">
        <x:v>0</x:v>
      </x:c>
      <x:c r="AI249" s="14" t="n">
        <x:v>0</x:v>
      </x:c>
      <x:c r="AJ249" s="18" t="n">
        <x:v>0</x:v>
      </x:c>
      <x:c r="AK249" s="14" t="str"/>
      <x:c r="AL249" s="19" t="str"/>
      <x:c r="AM249" s="19" t="str"/>
      <x:c r="AN249" s="15" t="str"/>
      <x:c r="AO249" s="15" t="str">
        <x:v>google_index_verified_2026-08-24</x:v>
      </x:c>
    </x:row>
    <x:row r="250">
      <x:c r="A250" s="14" t="str">
        <x:v>W2-081</x:v>
      </x:c>
      <x:c r="B250" s="14" t="str">
        <x:v>Проєктний сигнал — 24.08</x:v>
      </x:c>
      <x:c r="C250" s="14" t="str">
        <x:v>НВП Поленергокомплекс</x:v>
      </x:c>
      <x:c r="D250" s="14" t="str">
        <x:v>Стиснене повітря / компресорні</x:v>
      </x:c>
      <x:c r="E250" s="14" t="str">
        <x:v>Expansion discovery</x:v>
      </x:c>
      <x:c r="F250" s="17" t="str">
        <x:f>IF(E250="Pilot now",IF(P250&gt;=84,"P1",IF(P250&gt;=72,"P2","P3")),IF(E250="Expansion discovery",IF(Q250&gt;=88,"D1",IF(Q250&gt;=78,"D2","D3")),IF(E250="Later / requirements","L","Legacy")))</x:f>
        <x:v>D1</x:v>
      </x:c>
      <x:c r="G250" s="14" t="str">
        <x:v>compressory.com.ua</x:v>
      </x:c>
      <x:c r="H250" s="14" t="str">
        <x:v>2-тижневий workflow discovery — потрібні вимоги одного проєкту</x:v>
      </x:c>
      <x:c r="I250" s="16" t="n">
        <x:v>1</x:v>
      </x:c>
      <x:c r="J250" s="16" t="n">
        <x:v>5</x:v>
      </x:c>
      <x:c r="K250" s="16" t="n">
        <x:v>5</x:v>
      </x:c>
      <x:c r="L250" s="16" t="n">
        <x:v>4</x:v>
      </x:c>
      <x:c r="M250" s="16" t="n">
        <x:v>4</x:v>
      </x:c>
      <x:c r="N250" s="16" t="n">
        <x:v>5</x:v>
      </x:c>
      <x:c r="O250" s="16" t="n">
        <x:v>5</x:v>
      </x:c>
      <x:c r="P250" s="16" t="n">
        <x:f>IF(COUNT(I250:O250)&lt;7,"",I250*8+J250*3+K250*2+L250*2+M250*2+N250*2+O250)</x:f>
        <x:v>64</x:v>
      </x:c>
      <x:c r="Q250" s="16" t="n">
        <x:f>IF(COUNT(J250:O250)&lt;6,"",J250*5+K250*4+M250*4+L250*3+N250*2+O250*2)</x:f>
        <x:v>93</x:v>
      </x:c>
      <x:c r="R250" s="14" t="str">
        <x:v>high</x:v>
      </x:c>
      <x:c r="S250" s="14" t="str">
        <x:v>google_index_verified_2026-08-24</x:v>
      </x:c>
      <x:c r="T250" s="14" t="str">
        <x:v>indexed_official_service_page</x:v>
      </x:c>
      <x:c r="U250" s="14" t="str">
        <x:v>Новий — не контактували</x:v>
      </x:c>
      <x:c r="V250" s="15" t="str">
        <x:v>2-тижневий discovery: запросити вимоги 1 активного проєкту + 1 знеособлений артефакт</x:v>
      </x:c>
      <x:c r="W250" s="15" t="str">
        <x:v>Директор; керівник інженерних проєктів; головний інженер / сервіс</x:v>
      </x:c>
      <x:c r="X250" s="15" t="str">
        <x:v>Компресорні станції. Пошуковий результат веде на індексовану сторінку корпоративного домену: Компресорні установки — Поленергокомплекс.</x:v>
      </x:c>
      <x:c r="Y250" s="15" t="str">
        <x:v>Пневмомережі, дренаж, фільтрація, випробування герметичності й ПНР здаються поетапно.</x:v>
      </x:c>
      <x:c r="Z250" s="15" t="str">
        <x:v>https://compressory.com.ua/category/porshnevye-kompressornye-ustanovki/</x:v>
      </x:c>
      <x:c r="AA250" s="14" t="str"/>
      <x:c r="AB250" s="14" t="str">
        <x:v>2026-08-24</x:v>
      </x:c>
      <x:c r="AC250" s="14" t="str">
        <x:v>Олександр</x:v>
      </x:c>
      <x:c r="AD250" s="20" t="str"/>
      <x:c r="AE250" s="14" t="str"/>
      <x:c r="AF250" s="14" t="n">
        <x:v>0</x:v>
      </x:c>
      <x:c r="AG250" s="14" t="str">
        <x:v>—</x:v>
      </x:c>
      <x:c r="AH250" s="14" t="n">
        <x:v>0</x:v>
      </x:c>
      <x:c r="AI250" s="14" t="n">
        <x:v>0</x:v>
      </x:c>
      <x:c r="AJ250" s="18" t="n">
        <x:v>0</x:v>
      </x:c>
      <x:c r="AK250" s="14" t="str"/>
      <x:c r="AL250" s="19" t="str"/>
      <x:c r="AM250" s="19" t="str"/>
      <x:c r="AN250" s="15" t="str"/>
      <x:c r="AO250" s="15" t="str">
        <x:v>google_index_verified_2026-08-24</x:v>
      </x:c>
    </x:row>
    <x:row r="251">
      <x:c r="A251" s="14" t="str">
        <x:v>W2-082</x:v>
      </x:c>
      <x:c r="B251" s="14" t="str">
        <x:v>Проєктний сигнал — 24.08</x:v>
      </x:c>
      <x:c r="C251" s="14" t="str">
        <x:v>СТК Спарта</x:v>
      </x:c>
      <x:c r="D251" s="14" t="str">
        <x:v>Стиснене повітря / компресорні</x:v>
      </x:c>
      <x:c r="E251" s="14" t="str">
        <x:v>Expansion discovery</x:v>
      </x:c>
      <x:c r="F251" s="17" t="str">
        <x:f>IF(E251="Pilot now",IF(P251&gt;=84,"P1",IF(P251&gt;=72,"P2","P3")),IF(E251="Expansion discovery",IF(Q251&gt;=88,"D1",IF(Q251&gt;=78,"D2","D3")),IF(E251="Later / requirements","L","Legacy")))</x:f>
        <x:v>D1</x:v>
      </x:c>
      <x:c r="G251" s="14" t="str">
        <x:v>stk-sparta.com.ua</x:v>
      </x:c>
      <x:c r="H251" s="14" t="str">
        <x:v>2-тижневий workflow discovery — потрібні вимоги одного проєкту</x:v>
      </x:c>
      <x:c r="I251" s="16" t="n">
        <x:v>1</x:v>
      </x:c>
      <x:c r="J251" s="16" t="n">
        <x:v>5</x:v>
      </x:c>
      <x:c r="K251" s="16" t="n">
        <x:v>5</x:v>
      </x:c>
      <x:c r="L251" s="16" t="n">
        <x:v>4</x:v>
      </x:c>
      <x:c r="M251" s="16" t="n">
        <x:v>4</x:v>
      </x:c>
      <x:c r="N251" s="16" t="n">
        <x:v>5</x:v>
      </x:c>
      <x:c r="O251" s="16" t="n">
        <x:v>5</x:v>
      </x:c>
      <x:c r="P251" s="16" t="n">
        <x:f>IF(COUNT(I251:O251)&lt;7,"",I251*8+J251*3+K251*2+L251*2+M251*2+N251*2+O251)</x:f>
        <x:v>64</x:v>
      </x:c>
      <x:c r="Q251" s="16" t="n">
        <x:f>IF(COUNT(J251:O251)&lt;6,"",J251*5+K251*4+M251*4+L251*3+N251*2+O251*2)</x:f>
        <x:v>93</x:v>
      </x:c>
      <x:c r="R251" s="14" t="str">
        <x:v>high</x:v>
      </x:c>
      <x:c r="S251" s="14" t="str">
        <x:v>google_index_verified_2026-08-24</x:v>
      </x:c>
      <x:c r="T251" s="14" t="str">
        <x:v>indexed_official_service_page</x:v>
      </x:c>
      <x:c r="U251" s="14" t="str">
        <x:v>Новий — не контактували</x:v>
      </x:c>
      <x:c r="V251" s="15" t="str">
        <x:v>2-тижневий discovery: запросити вимоги 1 активного проєкту + 1 знеособлений артефакт</x:v>
      </x:c>
      <x:c r="W251" s="15" t="str">
        <x:v>Директор; керівник інженерних проєктів; головний інженер / сервіс</x:v>
      </x:c>
      <x:c r="X251" s="15" t="str">
        <x:v>Постачання та інженерні роботи компресорних. Пошуковий результат веде на індексовану сторінку корпоративного домену: Компресорні станції — СТК Спарта.</x:v>
      </x:c>
      <x:c r="Y251" s="15" t="str">
        <x:v>Пневмомережі, дренаж, фільтрація, випробування герметичності й ПНР здаються поетапно.</x:v>
      </x:c>
      <x:c r="Z251" s="15" t="str">
        <x:v>https://stk-sparta.com.ua/catalog/povitryani-kompresorni-stancii/</x:v>
      </x:c>
      <x:c r="AA251" s="14" t="str"/>
      <x:c r="AB251" s="14" t="str">
        <x:v>2026-08-24</x:v>
      </x:c>
      <x:c r="AC251" s="14" t="str">
        <x:v>Олександр</x:v>
      </x:c>
      <x:c r="AD251" s="20" t="str"/>
      <x:c r="AE251" s="14" t="str"/>
      <x:c r="AF251" s="14" t="n">
        <x:v>0</x:v>
      </x:c>
      <x:c r="AG251" s="14" t="str">
        <x:v>—</x:v>
      </x:c>
      <x:c r="AH251" s="14" t="n">
        <x:v>0</x:v>
      </x:c>
      <x:c r="AI251" s="14" t="n">
        <x:v>0</x:v>
      </x:c>
      <x:c r="AJ251" s="18" t="n">
        <x:v>0</x:v>
      </x:c>
      <x:c r="AK251" s="14" t="str"/>
      <x:c r="AL251" s="19" t="str"/>
      <x:c r="AM251" s="19" t="str"/>
      <x:c r="AN251" s="15" t="str"/>
      <x:c r="AO251" s="15" t="str">
        <x:v>google_index_verified_2026-08-24</x:v>
      </x:c>
    </x:row>
    <x:row r="252">
      <x:c r="A252" s="14" t="str">
        <x:v>W2-083</x:v>
      </x:c>
      <x:c r="B252" s="14" t="str">
        <x:v>Проєктний сигнал — 24.08</x:v>
      </x:c>
      <x:c r="C252" s="14" t="str">
        <x:v>ВП Техмаш</x:v>
      </x:c>
      <x:c r="D252" s="14" t="str">
        <x:v>Технологічні трубопроводи</x:v>
      </x:c>
      <x:c r="E252" s="14" t="str">
        <x:v>Expansion discovery</x:v>
      </x:c>
      <x:c r="F252" s="17" t="str">
        <x:f>IF(E252="Pilot now",IF(P252&gt;=84,"P1",IF(P252&gt;=72,"P2","P3")),IF(E252="Expansion discovery",IF(Q252&gt;=88,"D1",IF(Q252&gt;=78,"D2","D3")),IF(E252="Later / requirements","L","Legacy")))</x:f>
        <x:v>D1</x:v>
      </x:c>
      <x:c r="G252" s="14" t="str">
        <x:v>techmash.dp.ua</x:v>
      </x:c>
      <x:c r="H252" s="14" t="str">
        <x:v>2-тижневий workflow discovery — потрібні вимоги одного проєкту</x:v>
      </x:c>
      <x:c r="I252" s="16" t="n">
        <x:v>1</x:v>
      </x:c>
      <x:c r="J252" s="16" t="n">
        <x:v>5</x:v>
      </x:c>
      <x:c r="K252" s="16" t="n">
        <x:v>5</x:v>
      </x:c>
      <x:c r="L252" s="16" t="n">
        <x:v>5</x:v>
      </x:c>
      <x:c r="M252" s="16" t="n">
        <x:v>5</x:v>
      </x:c>
      <x:c r="N252" s="16" t="n">
        <x:v>5</x:v>
      </x:c>
      <x:c r="O252" s="16" t="n">
        <x:v>5</x:v>
      </x:c>
      <x:c r="P252" s="16" t="n">
        <x:f>IF(COUNT(I252:O252)&lt;7,"",I252*8+J252*3+K252*2+L252*2+M252*2+N252*2+O252)</x:f>
        <x:v>68</x:v>
      </x:c>
      <x:c r="Q252" s="16" t="n">
        <x:f>IF(COUNT(J252:O252)&lt;6,"",J252*5+K252*4+M252*4+L252*3+N252*2+O252*2)</x:f>
        <x:v>100</x:v>
      </x:c>
      <x:c r="R252" s="14" t="str">
        <x:v>high</x:v>
      </x:c>
      <x:c r="S252" s="14" t="str">
        <x:v>google_index_verified_2026-08-24</x:v>
      </x:c>
      <x:c r="T252" s="14" t="str">
        <x:v>indexed_official_service_page</x:v>
      </x:c>
      <x:c r="U252" s="14" t="str">
        <x:v>Новий — не контактували</x:v>
      </x:c>
      <x:c r="V252" s="15" t="str">
        <x:v>2-тижневий discovery: запросити вимоги 1 активного проєкту + 1 знеособлений артефакт</x:v>
      </x:c>
      <x:c r="W252" s="15" t="str">
        <x:v>Директор; керівник ПТО; головний зварювальник / контроль якості</x:v>
      </x:c>
      <x:c r="X252" s="15" t="str">
        <x:v>Промисловий монтаж трубопроводів. Пошуковий результат веде на індексовану сторінку корпоративного домену: Монтаж технологічних трубопроводів — ВП Техмаш.</x:v>
      </x:c>
      <x:c r="Y252" s="15" t="str">
        <x:v>Зварні стики, НК, опори, очищення, гідровипробування й ізоляція вимагають простежуваного пакета до закриття.</x:v>
      </x:c>
      <x:c r="Z252" s="15" t="str">
        <x:v>https://techmash.dp.ua/montazh-tekhnolohichnykh-truboprovodiv/</x:v>
      </x:c>
      <x:c r="AA252" s="14" t="str"/>
      <x:c r="AB252" s="14" t="str">
        <x:v>2026-08-24</x:v>
      </x:c>
      <x:c r="AC252" s="14" t="str">
        <x:v>Олександр</x:v>
      </x:c>
      <x:c r="AD252" s="20" t="str"/>
      <x:c r="AE252" s="14" t="str"/>
      <x:c r="AF252" s="14" t="n">
        <x:v>0</x:v>
      </x:c>
      <x:c r="AG252" s="14" t="str">
        <x:v>—</x:v>
      </x:c>
      <x:c r="AH252" s="14" t="n">
        <x:v>0</x:v>
      </x:c>
      <x:c r="AI252" s="14" t="n">
        <x:v>0</x:v>
      </x:c>
      <x:c r="AJ252" s="18" t="n">
        <x:v>0</x:v>
      </x:c>
      <x:c r="AK252" s="14" t="str"/>
      <x:c r="AL252" s="19" t="str"/>
      <x:c r="AM252" s="19" t="str"/>
      <x:c r="AN252" s="15" t="str"/>
      <x:c r="AO252" s="15" t="str">
        <x:v>google_index_verified_2026-08-24</x:v>
      </x:c>
    </x:row>
    <x:row r="253">
      <x:c r="A253" s="14" t="str">
        <x:v>W2-084</x:v>
      </x:c>
      <x:c r="B253" s="14" t="str">
        <x:v>Проєктний сигнал — 24.08</x:v>
      </x:c>
      <x:c r="C253" s="14" t="str">
        <x:v>Fortis PRO</x:v>
      </x:c>
      <x:c r="D253" s="14" t="str">
        <x:v>Технологічні трубопроводи</x:v>
      </x:c>
      <x:c r="E253" s="14" t="str">
        <x:v>Expansion discovery</x:v>
      </x:c>
      <x:c r="F253" s="17" t="str">
        <x:f>IF(E253="Pilot now",IF(P253&gt;=84,"P1",IF(P253&gt;=72,"P2","P3")),IF(E253="Expansion discovery",IF(Q253&gt;=88,"D1",IF(Q253&gt;=78,"D2","D3")),IF(E253="Later / requirements","L","Legacy")))</x:f>
        <x:v>D1</x:v>
      </x:c>
      <x:c r="G253" s="14" t="str">
        <x:v>fortispro.com.ua</x:v>
      </x:c>
      <x:c r="H253" s="14" t="str">
        <x:v>2-тижневий workflow discovery — потрібні вимоги одного проєкту</x:v>
      </x:c>
      <x:c r="I253" s="16" t="n">
        <x:v>1</x:v>
      </x:c>
      <x:c r="J253" s="16" t="n">
        <x:v>5</x:v>
      </x:c>
      <x:c r="K253" s="16" t="n">
        <x:v>5</x:v>
      </x:c>
      <x:c r="L253" s="16" t="n">
        <x:v>5</x:v>
      </x:c>
      <x:c r="M253" s="16" t="n">
        <x:v>5</x:v>
      </x:c>
      <x:c r="N253" s="16" t="n">
        <x:v>5</x:v>
      </x:c>
      <x:c r="O253" s="16" t="n">
        <x:v>4</x:v>
      </x:c>
      <x:c r="P253" s="16" t="n">
        <x:f>IF(COUNT(I253:O253)&lt;7,"",I253*8+J253*3+K253*2+L253*2+M253*2+N253*2+O253)</x:f>
        <x:v>67</x:v>
      </x:c>
      <x:c r="Q253" s="16" t="n">
        <x:f>IF(COUNT(J253:O253)&lt;6,"",J253*5+K253*4+M253*4+L253*3+N253*2+O253*2)</x:f>
        <x:v>98</x:v>
      </x:c>
      <x:c r="R253" s="14" t="str">
        <x:v>medium</x:v>
      </x:c>
      <x:c r="S253" s="14" t="str">
        <x:v>google_index_verified_manual_check_2026-08-24</x:v>
      </x:c>
      <x:c r="T253" s="14" t="str">
        <x:v>indexed_official_page_manual_check</x:v>
      </x:c>
      <x:c r="U253" s="14" t="str">
        <x:v>Новий — не контактували</x:v>
      </x:c>
      <x:c r="V253" s="15" t="str">
        <x:v>2-тижневий discovery: запросити вимоги 1 активного проєкту + 1 знеособлений артефакт</x:v>
      </x:c>
      <x:c r="W253" s="15" t="str">
        <x:v>Директор; керівник ПТО; головний зварювальник / контроль якості</x:v>
      </x:c>
      <x:c r="X253" s="15" t="str">
        <x:v>Виробництво і монтаж промислового обладнання. Пошуковий результат веде на індексовану сторінку корпоративного домену: Fortis PRO.</x:v>
      </x:c>
      <x:c r="Y253" s="15" t="str">
        <x:v>Зварні стики, НК, опори, очищення, гідровипробування й ізоляція вимагають простежуваного пакета до закриття.</x:v>
      </x:c>
      <x:c r="Z253" s="15" t="str">
        <x:v>https://fortispro.com.ua/</x:v>
      </x:c>
      <x:c r="AA253" s="14" t="str"/>
      <x:c r="AB253" s="14" t="str">
        <x:v>2026-08-24</x:v>
      </x:c>
      <x:c r="AC253" s="14" t="str">
        <x:v>Олександр</x:v>
      </x:c>
      <x:c r="AD253" s="20" t="str"/>
      <x:c r="AE253" s="14" t="str"/>
      <x:c r="AF253" s="14" t="n">
        <x:v>0</x:v>
      </x:c>
      <x:c r="AG253" s="14" t="str">
        <x:v>—</x:v>
      </x:c>
      <x:c r="AH253" s="14" t="n">
        <x:v>0</x:v>
      </x:c>
      <x:c r="AI253" s="14" t="n">
        <x:v>0</x:v>
      </x:c>
      <x:c r="AJ253" s="18" t="n">
        <x:v>0</x:v>
      </x:c>
      <x:c r="AK253" s="14" t="str"/>
      <x:c r="AL253" s="19" t="str"/>
      <x:c r="AM253" s="19" t="str"/>
      <x:c r="AN253" s="15" t="str"/>
      <x:c r="AO253" s="15" t="str">
        <x:v>google_index_verified_manual_check_2026-08-24</x:v>
      </x:c>
    </x:row>
    <x:row r="254">
      <x:c r="A254" s="14" t="str">
        <x:v>W2-085</x:v>
      </x:c>
      <x:c r="B254" s="14" t="str">
        <x:v>Проєктний сигнал — 24.08</x:v>
      </x:c>
      <x:c r="C254" s="14" t="str">
        <x:v>Аспіт</x:v>
      </x:c>
      <x:c r="D254" s="14" t="str">
        <x:v>Технологічні трубопроводи</x:v>
      </x:c>
      <x:c r="E254" s="14" t="str">
        <x:v>Expansion discovery</x:v>
      </x:c>
      <x:c r="F254" s="17" t="str">
        <x:f>IF(E254="Pilot now",IF(P254&gt;=84,"P1",IF(P254&gt;=72,"P2","P3")),IF(E254="Expansion discovery",IF(Q254&gt;=88,"D1",IF(Q254&gt;=78,"D2","D3")),IF(E254="Later / requirements","L","Legacy")))</x:f>
        <x:v>D1</x:v>
      </x:c>
      <x:c r="G254" s="14" t="str">
        <x:v>aspit.com.ua</x:v>
      </x:c>
      <x:c r="H254" s="14" t="str">
        <x:v>2-тижневий workflow discovery — потрібні вимоги одного проєкту</x:v>
      </x:c>
      <x:c r="I254" s="16" t="n">
        <x:v>1</x:v>
      </x:c>
      <x:c r="J254" s="16" t="n">
        <x:v>5</x:v>
      </x:c>
      <x:c r="K254" s="16" t="n">
        <x:v>5</x:v>
      </x:c>
      <x:c r="L254" s="16" t="n">
        <x:v>5</x:v>
      </x:c>
      <x:c r="M254" s="16" t="n">
        <x:v>5</x:v>
      </x:c>
      <x:c r="N254" s="16" t="n">
        <x:v>5</x:v>
      </x:c>
      <x:c r="O254" s="16" t="n">
        <x:v>5</x:v>
      </x:c>
      <x:c r="P254" s="16" t="n">
        <x:f>IF(COUNT(I254:O254)&lt;7,"",I254*8+J254*3+K254*2+L254*2+M254*2+N254*2+O254)</x:f>
        <x:v>68</x:v>
      </x:c>
      <x:c r="Q254" s="16" t="n">
        <x:f>IF(COUNT(J254:O254)&lt;6,"",J254*5+K254*4+M254*4+L254*3+N254*2+O254*2)</x:f>
        <x:v>100</x:v>
      </x:c>
      <x:c r="R254" s="14" t="str">
        <x:v>high</x:v>
      </x:c>
      <x:c r="S254" s="14" t="str">
        <x:v>google_index_verified_2026-08-24</x:v>
      </x:c>
      <x:c r="T254" s="14" t="str">
        <x:v>indexed_official_service_page</x:v>
      </x:c>
      <x:c r="U254" s="14" t="str">
        <x:v>Новий — не контактували</x:v>
      </x:c>
      <x:c r="V254" s="15" t="str">
        <x:v>2-тижневий discovery: запросити вимоги 1 активного проєкту + 1 знеособлений артефакт</x:v>
      </x:c>
      <x:c r="W254" s="15" t="str">
        <x:v>Директор; керівник ПТО; головний зварювальник / контроль якості</x:v>
      </x:c>
      <x:c r="X254" s="15" t="str">
        <x:v>Інженерні системи й трубопроводи під ключ. Пошуковий результат веде на індексовану сторінку корпоративного домену: Монтаж технологічних трубопроводів — Аспіт.</x:v>
      </x:c>
      <x:c r="Y254" s="15" t="str">
        <x:v>Зварні стики, НК, опори, очищення, гідровипробування й ізоляція вимагають простежуваного пакета до закриття.</x:v>
      </x:c>
      <x:c r="Z254" s="15" t="str">
        <x:v>https://www.aspit.com.ua/montazh-tekhnolohichnykh-truboprovodiv/</x:v>
      </x:c>
      <x:c r="AA254" s="14" t="str"/>
      <x:c r="AB254" s="14" t="str">
        <x:v>2026-08-24</x:v>
      </x:c>
      <x:c r="AC254" s="14" t="str">
        <x:v>Олександр</x:v>
      </x:c>
      <x:c r="AD254" s="20" t="str"/>
      <x:c r="AE254" s="14" t="str"/>
      <x:c r="AF254" s="14" t="n">
        <x:v>0</x:v>
      </x:c>
      <x:c r="AG254" s="14" t="str">
        <x:v>—</x:v>
      </x:c>
      <x:c r="AH254" s="14" t="n">
        <x:v>0</x:v>
      </x:c>
      <x:c r="AI254" s="14" t="n">
        <x:v>0</x:v>
      </x:c>
      <x:c r="AJ254" s="18" t="n">
        <x:v>0</x:v>
      </x:c>
      <x:c r="AK254" s="14" t="str"/>
      <x:c r="AL254" s="19" t="str"/>
      <x:c r="AM254" s="19" t="str"/>
      <x:c r="AN254" s="15" t="str"/>
      <x:c r="AO254" s="15" t="str">
        <x:v>google_index_verified_2026-08-24</x:v>
      </x:c>
    </x:row>
    <x:row r="255">
      <x:c r="A255" s="14" t="str">
        <x:v>W2-086</x:v>
      </x:c>
      <x:c r="B255" s="14" t="str">
        <x:v>Проєктний сигнал — 24.08</x:v>
      </x:c>
      <x:c r="C255" s="14" t="str">
        <x:v>Екопласт</x:v>
      </x:c>
      <x:c r="D255" s="14" t="str">
        <x:v>Технологічні трубопроводи</x:v>
      </x:c>
      <x:c r="E255" s="14" t="str">
        <x:v>Expansion discovery</x:v>
      </x:c>
      <x:c r="F255" s="17" t="str">
        <x:f>IF(E255="Pilot now",IF(P255&gt;=84,"P1",IF(P255&gt;=72,"P2","P3")),IF(E255="Expansion discovery",IF(Q255&gt;=88,"D1",IF(Q255&gt;=78,"D2","D3")),IF(E255="Later / requirements","L","Legacy")))</x:f>
        <x:v>D1</x:v>
      </x:c>
      <x:c r="G255" s="14" t="str">
        <x:v>ekoplast.com.ua</x:v>
      </x:c>
      <x:c r="H255" s="14" t="str">
        <x:v>2-тижневий workflow discovery — потрібні вимоги одного проєкту</x:v>
      </x:c>
      <x:c r="I255" s="16" t="n">
        <x:v>1</x:v>
      </x:c>
      <x:c r="J255" s="16" t="n">
        <x:v>5</x:v>
      </x:c>
      <x:c r="K255" s="16" t="n">
        <x:v>5</x:v>
      </x:c>
      <x:c r="L255" s="16" t="n">
        <x:v>5</x:v>
      </x:c>
      <x:c r="M255" s="16" t="n">
        <x:v>5</x:v>
      </x:c>
      <x:c r="N255" s="16" t="n">
        <x:v>5</x:v>
      </x:c>
      <x:c r="O255" s="16" t="n">
        <x:v>5</x:v>
      </x:c>
      <x:c r="P255" s="16" t="n">
        <x:f>IF(COUNT(I255:O255)&lt;7,"",I255*8+J255*3+K255*2+L255*2+M255*2+N255*2+O255)</x:f>
        <x:v>68</x:v>
      </x:c>
      <x:c r="Q255" s="16" t="n">
        <x:f>IF(COUNT(J255:O255)&lt;6,"",J255*5+K255*4+M255*4+L255*3+N255*2+O255*2)</x:f>
        <x:v>100</x:v>
      </x:c>
      <x:c r="R255" s="14" t="str">
        <x:v>high</x:v>
      </x:c>
      <x:c r="S255" s="14" t="str">
        <x:v>google_index_verified_2026-08-24</x:v>
      </x:c>
      <x:c r="T255" s="14" t="str">
        <x:v>indexed_official_service_page</x:v>
      </x:c>
      <x:c r="U255" s="14" t="str">
        <x:v>Новий — не контактували</x:v>
      </x:c>
      <x:c r="V255" s="15" t="str">
        <x:v>2-тижневий discovery: запросити вимоги 1 активного проєкту + 1 знеособлений артефакт</x:v>
      </x:c>
      <x:c r="W255" s="15" t="str">
        <x:v>Директор; керівник ПТО; головний зварювальник / контроль якості</x:v>
      </x:c>
      <x:c r="X255" s="15" t="str">
        <x:v>Промислові трубопроводи та ємності. Пошуковий результат веде на індексовану сторінку корпоративного домену: Ємності та трубопроводи — Екопласт.</x:v>
      </x:c>
      <x:c r="Y255" s="15" t="str">
        <x:v>Зварні стики, НК, опори, очищення, гідровипробування й ізоляція вимагають простежуваного пакета до закриття.</x:v>
      </x:c>
      <x:c r="Z255" s="15" t="str">
        <x:v>https://ekoplast.com.ua/ua/2-articles/17-containers-pipes</x:v>
      </x:c>
      <x:c r="AA255" s="14" t="str"/>
      <x:c r="AB255" s="14" t="str">
        <x:v>2026-08-24</x:v>
      </x:c>
      <x:c r="AC255" s="14" t="str">
        <x:v>Олександр</x:v>
      </x:c>
      <x:c r="AD255" s="20" t="str"/>
      <x:c r="AE255" s="14" t="str"/>
      <x:c r="AF255" s="14" t="n">
        <x:v>0</x:v>
      </x:c>
      <x:c r="AG255" s="14" t="str">
        <x:v>—</x:v>
      </x:c>
      <x:c r="AH255" s="14" t="n">
        <x:v>0</x:v>
      </x:c>
      <x:c r="AI255" s="14" t="n">
        <x:v>0</x:v>
      </x:c>
      <x:c r="AJ255" s="18" t="n">
        <x:v>0</x:v>
      </x:c>
      <x:c r="AK255" s="14" t="str"/>
      <x:c r="AL255" s="19" t="str"/>
      <x:c r="AM255" s="19" t="str"/>
      <x:c r="AN255" s="15" t="str"/>
      <x:c r="AO255" s="15" t="str">
        <x:v>google_index_verified_2026-08-24</x:v>
      </x:c>
    </x:row>
    <x:row r="256">
      <x:c r="A256" s="14" t="str">
        <x:v>W2-087</x:v>
      </x:c>
      <x:c r="B256" s="14" t="str">
        <x:v>Проєктний сигнал — 24.08</x:v>
      </x:c>
      <x:c r="C256" s="14" t="str">
        <x:v>OLAND</x:v>
      </x:c>
      <x:c r="D256" s="14" t="str">
        <x:v>Технологічні трубопроводи</x:v>
      </x:c>
      <x:c r="E256" s="14" t="str">
        <x:v>Expansion discovery</x:v>
      </x:c>
      <x:c r="F256" s="17" t="str">
        <x:f>IF(E256="Pilot now",IF(P256&gt;=84,"P1",IF(P256&gt;=72,"P2","P3")),IF(E256="Expansion discovery",IF(Q256&gt;=88,"D1",IF(Q256&gt;=78,"D2","D3")),IF(E256="Later / requirements","L","Legacy")))</x:f>
        <x:v>D1</x:v>
      </x:c>
      <x:c r="G256" s="14" t="str">
        <x:v>olandgroup.com.ua</x:v>
      </x:c>
      <x:c r="H256" s="14" t="str">
        <x:v>2-тижневий workflow discovery — потрібні вимоги одного проєкту</x:v>
      </x:c>
      <x:c r="I256" s="16" t="n">
        <x:v>1</x:v>
      </x:c>
      <x:c r="J256" s="16" t="n">
        <x:v>5</x:v>
      </x:c>
      <x:c r="K256" s="16" t="n">
        <x:v>5</x:v>
      </x:c>
      <x:c r="L256" s="16" t="n">
        <x:v>5</x:v>
      </x:c>
      <x:c r="M256" s="16" t="n">
        <x:v>5</x:v>
      </x:c>
      <x:c r="N256" s="16" t="n">
        <x:v>5</x:v>
      </x:c>
      <x:c r="O256" s="16" t="n">
        <x:v>5</x:v>
      </x:c>
      <x:c r="P256" s="16" t="n">
        <x:f>IF(COUNT(I256:O256)&lt;7,"",I256*8+J256*3+K256*2+L256*2+M256*2+N256*2+O256)</x:f>
        <x:v>68</x:v>
      </x:c>
      <x:c r="Q256" s="16" t="n">
        <x:f>IF(COUNT(J256:O256)&lt;6,"",J256*5+K256*4+M256*4+L256*3+N256*2+O256*2)</x:f>
        <x:v>100</x:v>
      </x:c>
      <x:c r="R256" s="14" t="str">
        <x:v>high</x:v>
      </x:c>
      <x:c r="S256" s="14" t="str">
        <x:v>google_index_verified_2026-08-24</x:v>
      </x:c>
      <x:c r="T256" s="14" t="str">
        <x:v>indexed_official_service_page</x:v>
      </x:c>
      <x:c r="U256" s="14" t="str">
        <x:v>Новий — не контактували</x:v>
      </x:c>
      <x:c r="V256" s="15" t="str">
        <x:v>2-тижневий discovery: запросити вимоги 1 активного проєкту + 1 знеособлений артефакт</x:v>
      </x:c>
      <x:c r="W256" s="15" t="str">
        <x:v>Директор; керівник ПТО; головний зварювальник / контроль якості</x:v>
      </x:c>
      <x:c r="X256" s="15" t="str">
        <x:v>Монтаж обігріву трубопроводів. Пошуковий результат веде на індексовану сторінку корпоративного домену: Системи кабельного обігріву — OLAND.</x:v>
      </x:c>
      <x:c r="Y256" s="15" t="str">
        <x:v>Зварні стики, НК, опори, очищення, гідровипробування й ізоляція вимагають простежуваного пакета до закриття.</x:v>
      </x:c>
      <x:c r="Z256" s="15" t="str">
        <x:v>https://olandgroup.com.ua/services/mounting/kabelnyj-obigriv/</x:v>
      </x:c>
      <x:c r="AA256" s="14" t="str"/>
      <x:c r="AB256" s="14" t="str">
        <x:v>2026-08-24</x:v>
      </x:c>
      <x:c r="AC256" s="14" t="str">
        <x:v>Олександр</x:v>
      </x:c>
      <x:c r="AD256" s="20" t="str"/>
      <x:c r="AE256" s="14" t="str"/>
      <x:c r="AF256" s="14" t="n">
        <x:v>0</x:v>
      </x:c>
      <x:c r="AG256" s="14" t="str">
        <x:v>—</x:v>
      </x:c>
      <x:c r="AH256" s="14" t="n">
        <x:v>0</x:v>
      </x:c>
      <x:c r="AI256" s="14" t="n">
        <x:v>0</x:v>
      </x:c>
      <x:c r="AJ256" s="18" t="n">
        <x:v>0</x:v>
      </x:c>
      <x:c r="AK256" s="14" t="str"/>
      <x:c r="AL256" s="19" t="str"/>
      <x:c r="AM256" s="19" t="str"/>
      <x:c r="AN256" s="15" t="str"/>
      <x:c r="AO256" s="15" t="str">
        <x:v>google_index_verified_2026-08-24</x:v>
      </x:c>
    </x:row>
    <x:row r="257">
      <x:c r="A257" s="14" t="str">
        <x:v>W2-088</x:v>
      </x:c>
      <x:c r="B257" s="14" t="str">
        <x:v>Проєктний сигнал — 24.08</x:v>
      </x:c>
      <x:c r="C257" s="14" t="str">
        <x:v>БМУ №460</x:v>
      </x:c>
      <x:c r="D257" s="14" t="str">
        <x:v>Технологічні трубопроводи</x:v>
      </x:c>
      <x:c r="E257" s="14" t="str">
        <x:v>Expansion discovery</x:v>
      </x:c>
      <x:c r="F257" s="17" t="str">
        <x:f>IF(E257="Pilot now",IF(P257&gt;=84,"P1",IF(P257&gt;=72,"P2","P3")),IF(E257="Expansion discovery",IF(Q257&gt;=88,"D1",IF(Q257&gt;=78,"D2","D3")),IF(E257="Later / requirements","L","Legacy")))</x:f>
        <x:v>D1</x:v>
      </x:c>
      <x:c r="G257" s="14" t="str">
        <x:v>bmu460.com.ua</x:v>
      </x:c>
      <x:c r="H257" s="14" t="str">
        <x:v>2-тижневий workflow discovery — потрібні вимоги одного проєкту</x:v>
      </x:c>
      <x:c r="I257" s="16" t="n">
        <x:v>1</x:v>
      </x:c>
      <x:c r="J257" s="16" t="n">
        <x:v>5</x:v>
      </x:c>
      <x:c r="K257" s="16" t="n">
        <x:v>5</x:v>
      </x:c>
      <x:c r="L257" s="16" t="n">
        <x:v>5</x:v>
      </x:c>
      <x:c r="M257" s="16" t="n">
        <x:v>5</x:v>
      </x:c>
      <x:c r="N257" s="16" t="n">
        <x:v>5</x:v>
      </x:c>
      <x:c r="O257" s="16" t="n">
        <x:v>5</x:v>
      </x:c>
      <x:c r="P257" s="16" t="n">
        <x:f>IF(COUNT(I257:O257)&lt;7,"",I257*8+J257*3+K257*2+L257*2+M257*2+N257*2+O257)</x:f>
        <x:v>68</x:v>
      </x:c>
      <x:c r="Q257" s="16" t="n">
        <x:f>IF(COUNT(J257:O257)&lt;6,"",J257*5+K257*4+M257*4+L257*3+N257*2+O257*2)</x:f>
        <x:v>100</x:v>
      </x:c>
      <x:c r="R257" s="14" t="str">
        <x:v>high</x:v>
      </x:c>
      <x:c r="S257" s="14" t="str">
        <x:v>google_index_verified_2026-08-24</x:v>
      </x:c>
      <x:c r="T257" s="14" t="str">
        <x:v>indexed_official_service_page</x:v>
      </x:c>
      <x:c r="U257" s="14" t="str">
        <x:v>Новий — не контактували</x:v>
      </x:c>
      <x:c r="V257" s="15" t="str">
        <x:v>2-тижневий discovery: запросити вимоги 1 активного проєкту + 1 знеособлений артефакт</x:v>
      </x:c>
      <x:c r="W257" s="15" t="str">
        <x:v>Директор; керівник ПТО; головний зварювальник / контроль якості</x:v>
      </x:c>
      <x:c r="X257" s="15" t="str">
        <x:v>Промисловий і магістральний монтаж. Пошуковий результат веде на індексовану сторінку корпоративного домену: Монтаж технологічних і магістральних трубопроводів — БМУ №460.</x:v>
      </x:c>
      <x:c r="Y257" s="15" t="str">
        <x:v>Зварні стики, НК, опори, очищення, гідровипробування й ізоляція вимагають простежуваного пакета до закриття.</x:v>
      </x:c>
      <x:c r="Z257" s="15" t="str">
        <x:v>https://bmu460.com.ua/montagh-tehnologicheskih-i-magistralynyh-truboprovodov</x:v>
      </x:c>
      <x:c r="AA257" s="14" t="str"/>
      <x:c r="AB257" s="14" t="str">
        <x:v>2026-08-24</x:v>
      </x:c>
      <x:c r="AC257" s="14" t="str">
        <x:v>Олександр</x:v>
      </x:c>
      <x:c r="AD257" s="20" t="str"/>
      <x:c r="AE257" s="14" t="str"/>
      <x:c r="AF257" s="14" t="n">
        <x:v>0</x:v>
      </x:c>
      <x:c r="AG257" s="14" t="str">
        <x:v>—</x:v>
      </x:c>
      <x:c r="AH257" s="14" t="n">
        <x:v>0</x:v>
      </x:c>
      <x:c r="AI257" s="14" t="n">
        <x:v>0</x:v>
      </x:c>
      <x:c r="AJ257" s="18" t="n">
        <x:v>0</x:v>
      </x:c>
      <x:c r="AK257" s="14" t="str"/>
      <x:c r="AL257" s="19" t="str"/>
      <x:c r="AM257" s="19" t="str"/>
      <x:c r="AN257" s="15" t="str"/>
      <x:c r="AO257" s="15" t="str">
        <x:v>google_index_verified_2026-08-24</x:v>
      </x:c>
    </x:row>
    <x:row r="258">
      <x:c r="A258" s="14" t="str">
        <x:v>W2-089</x:v>
      </x:c>
      <x:c r="B258" s="14" t="str">
        <x:v>Проєктний сигнал — 24.08</x:v>
      </x:c>
      <x:c r="C258" s="14" t="str">
        <x:v>PVCPIPE.UA</x:v>
      </x:c>
      <x:c r="D258" s="14" t="str">
        <x:v>Технологічні трубопроводи</x:v>
      </x:c>
      <x:c r="E258" s="14" t="str">
        <x:v>Expansion discovery</x:v>
      </x:c>
      <x:c r="F258" s="17" t="str">
        <x:f>IF(E258="Pilot now",IF(P258&gt;=84,"P1",IF(P258&gt;=72,"P2","P3")),IF(E258="Expansion discovery",IF(Q258&gt;=88,"D1",IF(Q258&gt;=78,"D2","D3")),IF(E258="Later / requirements","L","Legacy")))</x:f>
        <x:v>D1</x:v>
      </x:c>
      <x:c r="G258" s="14" t="str">
        <x:v>pvcpipe.ua</x:v>
      </x:c>
      <x:c r="H258" s="14" t="str">
        <x:v>2-тижневий workflow discovery — потрібні вимоги одного проєкту</x:v>
      </x:c>
      <x:c r="I258" s="16" t="n">
        <x:v>1</x:v>
      </x:c>
      <x:c r="J258" s="16" t="n">
        <x:v>5</x:v>
      </x:c>
      <x:c r="K258" s="16" t="n">
        <x:v>5</x:v>
      </x:c>
      <x:c r="L258" s="16" t="n">
        <x:v>5</x:v>
      </x:c>
      <x:c r="M258" s="16" t="n">
        <x:v>5</x:v>
      </x:c>
      <x:c r="N258" s="16" t="n">
        <x:v>5</x:v>
      </x:c>
      <x:c r="O258" s="16" t="n">
        <x:v>5</x:v>
      </x:c>
      <x:c r="P258" s="16" t="n">
        <x:f>IF(COUNT(I258:O258)&lt;7,"",I258*8+J258*3+K258*2+L258*2+M258*2+N258*2+O258)</x:f>
        <x:v>68</x:v>
      </x:c>
      <x:c r="Q258" s="16" t="n">
        <x:f>IF(COUNT(J258:O258)&lt;6,"",J258*5+K258*4+M258*4+L258*3+N258*2+O258*2)</x:f>
        <x:v>100</x:v>
      </x:c>
      <x:c r="R258" s="14" t="str">
        <x:v>high</x:v>
      </x:c>
      <x:c r="S258" s="14" t="str">
        <x:v>google_index_verified_2026-08-24</x:v>
      </x:c>
      <x:c r="T258" s="14" t="str">
        <x:v>indexed_official_service_page</x:v>
      </x:c>
      <x:c r="U258" s="14" t="str">
        <x:v>Новий — не контактували</x:v>
      </x:c>
      <x:c r="V258" s="15" t="str">
        <x:v>2-тижневий discovery: запросити вимоги 1 активного проєкту + 1 знеособлений артефакт</x:v>
      </x:c>
      <x:c r="W258" s="15" t="str">
        <x:v>Директор; керівник ПТО; головний зварювальник / контроль якості</x:v>
      </x:c>
      <x:c r="X258" s="15" t="str">
        <x:v>Проєктування і монтаж пластикових трубопроводів. Пошуковий результат веде на індексовану сторінку корпоративного домену: Промислові трубопроводи з пластика — PVCPIPE.UA.</x:v>
      </x:c>
      <x:c r="Y258" s="15" t="str">
        <x:v>Зварні стики, НК, опори, очищення, гідровипробування й ізоляція вимагають простежуваного пакета до закриття.</x:v>
      </x:c>
      <x:c r="Z258" s="15" t="str">
        <x:v>https://pvcpipe.ua/ua/promyshlennye-truboprovody-iz-plastika/</x:v>
      </x:c>
      <x:c r="AA258" s="14" t="str"/>
      <x:c r="AB258" s="14" t="str">
        <x:v>2026-08-24</x:v>
      </x:c>
      <x:c r="AC258" s="14" t="str">
        <x:v>Олександр</x:v>
      </x:c>
      <x:c r="AD258" s="20" t="str"/>
      <x:c r="AE258" s="14" t="str"/>
      <x:c r="AF258" s="14" t="n">
        <x:v>0</x:v>
      </x:c>
      <x:c r="AG258" s="14" t="str">
        <x:v>—</x:v>
      </x:c>
      <x:c r="AH258" s="14" t="n">
        <x:v>0</x:v>
      </x:c>
      <x:c r="AI258" s="14" t="n">
        <x:v>0</x:v>
      </x:c>
      <x:c r="AJ258" s="18" t="n">
        <x:v>0</x:v>
      </x:c>
      <x:c r="AK258" s="14" t="str"/>
      <x:c r="AL258" s="19" t="str"/>
      <x:c r="AM258" s="19" t="str"/>
      <x:c r="AN258" s="15" t="str"/>
      <x:c r="AO258" s="15" t="str">
        <x:v>google_index_verified_2026-08-24</x:v>
      </x:c>
    </x:row>
    <x:row r="259">
      <x:c r="A259" s="14" t="str">
        <x:v>W2-090</x:v>
      </x:c>
      <x:c r="B259" s="14" t="str">
        <x:v>Проєктний сигнал — 24.08</x:v>
      </x:c>
      <x:c r="C259" s="14" t="str">
        <x:v>Ukrainian Bridge Company</x:v>
      </x:c>
      <x:c r="D259" s="14" t="str">
        <x:v>Мости та інфраструктура</x:v>
      </x:c>
      <x:c r="E259" s="14" t="str">
        <x:v>Expansion discovery</x:v>
      </x:c>
      <x:c r="F259" s="17" t="str">
        <x:f>IF(E259="Pilot now",IF(P259&gt;=84,"P1",IF(P259&gt;=72,"P2","P3")),IF(E259="Expansion discovery",IF(Q259&gt;=88,"D1",IF(Q259&gt;=78,"D2","D3")),IF(E259="Later / requirements","L","Legacy")))</x:f>
        <x:v>D1</x:v>
      </x:c>
      <x:c r="G259" s="14" t="str">
        <x:v>ukrbridge.com</x:v>
      </x:c>
      <x:c r="H259" s="14" t="str">
        <x:v>2-тижневий workflow discovery — потрібні вимоги одного проєкту</x:v>
      </x:c>
      <x:c r="I259" s="16" t="n">
        <x:v>1</x:v>
      </x:c>
      <x:c r="J259" s="16" t="n">
        <x:v>5</x:v>
      </x:c>
      <x:c r="K259" s="16" t="n">
        <x:v>5</x:v>
      </x:c>
      <x:c r="L259" s="16" t="n">
        <x:v>5</x:v>
      </x:c>
      <x:c r="M259" s="16" t="n">
        <x:v>5</x:v>
      </x:c>
      <x:c r="N259" s="16" t="n">
        <x:v>5</x:v>
      </x:c>
      <x:c r="O259" s="16" t="n">
        <x:v>5</x:v>
      </x:c>
      <x:c r="P259" s="16" t="n">
        <x:f>IF(COUNT(I259:O259)&lt;7,"",I259*8+J259*3+K259*2+L259*2+M259*2+N259*2+O259)</x:f>
        <x:v>68</x:v>
      </x:c>
      <x:c r="Q259" s="16" t="n">
        <x:f>IF(COUNT(J259:O259)&lt;6,"",J259*5+K259*4+M259*4+L259*3+N259*2+O259*2)</x:f>
        <x:v>100</x:v>
      </x:c>
      <x:c r="R259" s="14" t="str">
        <x:v>high</x:v>
      </x:c>
      <x:c r="S259" s="14" t="str">
        <x:v>google_index_verified_2026-08-24</x:v>
      </x:c>
      <x:c r="T259" s="14" t="str">
        <x:v>indexed_official_service_page</x:v>
      </x:c>
      <x:c r="U259" s="14" t="str">
        <x:v>Новий — не контактували</x:v>
      </x:c>
      <x:c r="V259" s="15" t="str">
        <x:v>2-тижневий discovery: запросити вимоги 1 активного проєкту + 1 знеособлений артефакт</x:v>
      </x:c>
      <x:c r="W259" s="15" t="str">
        <x:v>Комерційний директор; головний інженер; керівник ПТО / якості</x:v>
      </x:c>
      <x:c r="X259" s="15" t="str">
        <x:v>Будівництво і ремонт мостів. Пошуковий результат веде на індексовану сторінку корпоративного домену: Послуги — Ukrainian Bridge Company.</x:v>
      </x:c>
      <x:c r="Y259" s="15" t="str">
        <x:v>Армування, опори, зварювання, бетонування, гідроізоляція й лабораторні протоколи приймаються до наступного шару.</x:v>
      </x:c>
      <x:c r="Z259" s="15" t="str">
        <x:v>https://ukrbridge.com/services/</x:v>
      </x:c>
      <x:c r="AA259" s="14" t="str"/>
      <x:c r="AB259" s="14" t="str">
        <x:v>2026-08-24</x:v>
      </x:c>
      <x:c r="AC259" s="14" t="str">
        <x:v>Олександр</x:v>
      </x:c>
      <x:c r="AD259" s="20" t="str"/>
      <x:c r="AE259" s="14" t="str"/>
      <x:c r="AF259" s="14" t="n">
        <x:v>0</x:v>
      </x:c>
      <x:c r="AG259" s="14" t="str">
        <x:v>—</x:v>
      </x:c>
      <x:c r="AH259" s="14" t="n">
        <x:v>0</x:v>
      </x:c>
      <x:c r="AI259" s="14" t="n">
        <x:v>0</x:v>
      </x:c>
      <x:c r="AJ259" s="18" t="n">
        <x:v>0</x:v>
      </x:c>
      <x:c r="AK259" s="14" t="str"/>
      <x:c r="AL259" s="19" t="str"/>
      <x:c r="AM259" s="19" t="str"/>
      <x:c r="AN259" s="15" t="str"/>
      <x:c r="AO259" s="15" t="str">
        <x:v>google_index_verified_2026-08-24</x:v>
      </x:c>
    </x:row>
    <x:row r="260">
      <x:c r="A260" s="14" t="str">
        <x:v>W2-091</x:v>
      </x:c>
      <x:c r="B260" s="14" t="str">
        <x:v>Проєктний сигнал — 24.08</x:v>
      </x:c>
      <x:c r="C260" s="14" t="str">
        <x:v>URD</x:v>
      </x:c>
      <x:c r="D260" s="14" t="str">
        <x:v>Мости та інфраструктура</x:v>
      </x:c>
      <x:c r="E260" s="14" t="str">
        <x:v>Expansion discovery</x:v>
      </x:c>
      <x:c r="F260" s="17" t="str">
        <x:f>IF(E260="Pilot now",IF(P260&gt;=84,"P1",IF(P260&gt;=72,"P2","P3")),IF(E260="Expansion discovery",IF(Q260&gt;=88,"D1",IF(Q260&gt;=78,"D2","D3")),IF(E260="Later / requirements","L","Legacy")))</x:f>
        <x:v>D1</x:v>
      </x:c>
      <x:c r="G260" s="14" t="str">
        <x:v>urd.in.ua</x:v>
      </x:c>
      <x:c r="H260" s="14" t="str">
        <x:v>2-тижневий workflow discovery — потрібні вимоги одного проєкту</x:v>
      </x:c>
      <x:c r="I260" s="16" t="n">
        <x:v>1</x:v>
      </x:c>
      <x:c r="J260" s="16" t="n">
        <x:v>5</x:v>
      </x:c>
      <x:c r="K260" s="16" t="n">
        <x:v>5</x:v>
      </x:c>
      <x:c r="L260" s="16" t="n">
        <x:v>5</x:v>
      </x:c>
      <x:c r="M260" s="16" t="n">
        <x:v>5</x:v>
      </x:c>
      <x:c r="N260" s="16" t="n">
        <x:v>5</x:v>
      </x:c>
      <x:c r="O260" s="16" t="n">
        <x:v>5</x:v>
      </x:c>
      <x:c r="P260" s="16" t="n">
        <x:f>IF(COUNT(I260:O260)&lt;7,"",I260*8+J260*3+K260*2+L260*2+M260*2+N260*2+O260)</x:f>
        <x:v>68</x:v>
      </x:c>
      <x:c r="Q260" s="16" t="n">
        <x:f>IF(COUNT(J260:O260)&lt;6,"",J260*5+K260*4+M260*4+L260*3+N260*2+O260*2)</x:f>
        <x:v>100</x:v>
      </x:c>
      <x:c r="R260" s="14" t="str">
        <x:v>high</x:v>
      </x:c>
      <x:c r="S260" s="14" t="str">
        <x:v>google_index_verified_2026-08-24</x:v>
      </x:c>
      <x:c r="T260" s="14" t="str">
        <x:v>indexed_official_service_page</x:v>
      </x:c>
      <x:c r="U260" s="14" t="str">
        <x:v>Новий — не контактували</x:v>
      </x:c>
      <x:c r="V260" s="15" t="str">
        <x:v>2-тижневий discovery: запросити вимоги 1 активного проєкту + 1 знеособлений артефакт</x:v>
      </x:c>
      <x:c r="W260" s="15" t="str">
        <x:v>Комерційний директор; головний інженер; керівник ПТО / якості</x:v>
      </x:c>
      <x:c r="X260" s="15" t="str">
        <x:v>Публічне портфоліо мостових робіт. Пошуковий результат веде на індексовану сторінку корпоративного домену: Портфоліо мостів — URD.</x:v>
      </x:c>
      <x:c r="Y260" s="15" t="str">
        <x:v>Армування, опори, зварювання, бетонування, гідроізоляція й лабораторні протоколи приймаються до наступного шару.</x:v>
      </x:c>
      <x:c r="Z260" s="15" t="str">
        <x:v>https://urd.in.ua/mosty/portfolio/</x:v>
      </x:c>
      <x:c r="AA260" s="14" t="str"/>
      <x:c r="AB260" s="14" t="str">
        <x:v>2026-08-24</x:v>
      </x:c>
      <x:c r="AC260" s="14" t="str">
        <x:v>Олександр</x:v>
      </x:c>
      <x:c r="AD260" s="20" t="str"/>
      <x:c r="AE260" s="14" t="str"/>
      <x:c r="AF260" s="14" t="n">
        <x:v>0</x:v>
      </x:c>
      <x:c r="AG260" s="14" t="str">
        <x:v>—</x:v>
      </x:c>
      <x:c r="AH260" s="14" t="n">
        <x:v>0</x:v>
      </x:c>
      <x:c r="AI260" s="14" t="n">
        <x:v>0</x:v>
      </x:c>
      <x:c r="AJ260" s="18" t="n">
        <x:v>0</x:v>
      </x:c>
      <x:c r="AK260" s="14" t="str"/>
      <x:c r="AL260" s="19" t="str"/>
      <x:c r="AM260" s="19" t="str"/>
      <x:c r="AN260" s="15" t="str"/>
      <x:c r="AO260" s="15" t="str">
        <x:v>google_index_verified_2026-08-24</x:v>
      </x:c>
    </x:row>
    <x:row r="261">
      <x:c r="A261" s="14" t="str">
        <x:v>W2-092</x:v>
      </x:c>
      <x:c r="B261" s="14" t="str">
        <x:v>Проєктний сигнал — 24.08</x:v>
      </x:c>
      <x:c r="C261" s="14" t="str">
        <x:v>Об'єднана Мостобудівельна Компанія</x:v>
      </x:c>
      <x:c r="D261" s="14" t="str">
        <x:v>Мости та інфраструктура</x:v>
      </x:c>
      <x:c r="E261" s="14" t="str">
        <x:v>Expansion discovery</x:v>
      </x:c>
      <x:c r="F261" s="17" t="str">
        <x:f>IF(E261="Pilot now",IF(P261&gt;=84,"P1",IF(P261&gt;=72,"P2","P3")),IF(E261="Expansion discovery",IF(Q261&gt;=88,"D1",IF(Q261&gt;=78,"D2","D3")),IF(E261="Later / requirements","L","Legacy")))</x:f>
        <x:v>D1</x:v>
      </x:c>
      <x:c r="G261" s="14" t="str">
        <x:v>omk.industries</x:v>
      </x:c>
      <x:c r="H261" s="14" t="str">
        <x:v>2-тижневий workflow discovery — потрібні вимоги одного проєкту</x:v>
      </x:c>
      <x:c r="I261" s="16" t="n">
        <x:v>1</x:v>
      </x:c>
      <x:c r="J261" s="16" t="n">
        <x:v>5</x:v>
      </x:c>
      <x:c r="K261" s="16" t="n">
        <x:v>5</x:v>
      </x:c>
      <x:c r="L261" s="16" t="n">
        <x:v>5</x:v>
      </x:c>
      <x:c r="M261" s="16" t="n">
        <x:v>5</x:v>
      </x:c>
      <x:c r="N261" s="16" t="n">
        <x:v>5</x:v>
      </x:c>
      <x:c r="O261" s="16" t="n">
        <x:v>5</x:v>
      </x:c>
      <x:c r="P261" s="16" t="n">
        <x:f>IF(COUNT(I261:O261)&lt;7,"",I261*8+J261*3+K261*2+L261*2+M261*2+N261*2+O261)</x:f>
        <x:v>68</x:v>
      </x:c>
      <x:c r="Q261" s="16" t="n">
        <x:f>IF(COUNT(J261:O261)&lt;6,"",J261*5+K261*4+M261*4+L261*3+N261*2+O261*2)</x:f>
        <x:v>100</x:v>
      </x:c>
      <x:c r="R261" s="14" t="str">
        <x:v>high</x:v>
      </x:c>
      <x:c r="S261" s="14" t="str">
        <x:v>google_index_verified_2026-08-24</x:v>
      </x:c>
      <x:c r="T261" s="14" t="str">
        <x:v>indexed_official_service_page</x:v>
      </x:c>
      <x:c r="U261" s="14" t="str">
        <x:v>Новий — не контактували</x:v>
      </x:c>
      <x:c r="V261" s="15" t="str">
        <x:v>2-тижневий discovery: запросити вимоги 1 активного проєкту + 1 знеособлений артефакт</x:v>
      </x:c>
      <x:c r="W261" s="15" t="str">
        <x:v>Комерційний директор; головний інженер; керівник ПТО / якості</x:v>
      </x:c>
      <x:c r="X261" s="15" t="str">
        <x:v>Спеціалізований мостобудівельний підрядник. Пошуковий результат веде на індексовану сторінку корпоративного домену: Об'єднана Мостобудівельна Компанія.</x:v>
      </x:c>
      <x:c r="Y261" s="15" t="str">
        <x:v>Армування, опори, зварювання, бетонування, гідроізоляція й лабораторні протоколи приймаються до наступного шару.</x:v>
      </x:c>
      <x:c r="Z261" s="15" t="str">
        <x:v>https://omk.industries/</x:v>
      </x:c>
      <x:c r="AA261" s="14" t="str"/>
      <x:c r="AB261" s="14" t="str">
        <x:v>2026-08-24</x:v>
      </x:c>
      <x:c r="AC261" s="14" t="str">
        <x:v>Олександр</x:v>
      </x:c>
      <x:c r="AD261" s="20" t="str"/>
      <x:c r="AE261" s="14" t="str"/>
      <x:c r="AF261" s="14" t="n">
        <x:v>0</x:v>
      </x:c>
      <x:c r="AG261" s="14" t="str">
        <x:v>—</x:v>
      </x:c>
      <x:c r="AH261" s="14" t="n">
        <x:v>0</x:v>
      </x:c>
      <x:c r="AI261" s="14" t="n">
        <x:v>0</x:v>
      </x:c>
      <x:c r="AJ261" s="18" t="n">
        <x:v>0</x:v>
      </x:c>
      <x:c r="AK261" s="14" t="str"/>
      <x:c r="AL261" s="19" t="str"/>
      <x:c r="AM261" s="19" t="str"/>
      <x:c r="AN261" s="15" t="str"/>
      <x:c r="AO261" s="15" t="str">
        <x:v>google_index_verified_2026-08-24</x:v>
      </x:c>
    </x:row>
    <x:row r="262">
      <x:c r="A262" s="14" t="str">
        <x:v>W2-093</x:v>
      </x:c>
      <x:c r="B262" s="14" t="str">
        <x:v>Проєктний сигнал — 24.08</x:v>
      </x:c>
      <x:c r="C262" s="14" t="str">
        <x:v>RGM Group</x:v>
      </x:c>
      <x:c r="D262" s="14" t="str">
        <x:v>Мости та інфраструктура</x:v>
      </x:c>
      <x:c r="E262" s="14" t="str">
        <x:v>Expansion discovery</x:v>
      </x:c>
      <x:c r="F262" s="17" t="str">
        <x:f>IF(E262="Pilot now",IF(P262&gt;=84,"P1",IF(P262&gt;=72,"P2","P3")),IF(E262="Expansion discovery",IF(Q262&gt;=88,"D1",IF(Q262&gt;=78,"D2","D3")),IF(E262="Later / requirements","L","Legacy")))</x:f>
        <x:v>D1</x:v>
      </x:c>
      <x:c r="G262" s="14" t="str">
        <x:v>rgm-group.com.ua</x:v>
      </x:c>
      <x:c r="H262" s="14" t="str">
        <x:v>2-тижневий workflow discovery — потрібні вимоги одного проєкту</x:v>
      </x:c>
      <x:c r="I262" s="16" t="n">
        <x:v>1</x:v>
      </x:c>
      <x:c r="J262" s="16" t="n">
        <x:v>5</x:v>
      </x:c>
      <x:c r="K262" s="16" t="n">
        <x:v>5</x:v>
      </x:c>
      <x:c r="L262" s="16" t="n">
        <x:v>5</x:v>
      </x:c>
      <x:c r="M262" s="16" t="n">
        <x:v>5</x:v>
      </x:c>
      <x:c r="N262" s="16" t="n">
        <x:v>5</x:v>
      </x:c>
      <x:c r="O262" s="16" t="n">
        <x:v>5</x:v>
      </x:c>
      <x:c r="P262" s="16" t="n">
        <x:f>IF(COUNT(I262:O262)&lt;7,"",I262*8+J262*3+K262*2+L262*2+M262*2+N262*2+O262)</x:f>
        <x:v>68</x:v>
      </x:c>
      <x:c r="Q262" s="16" t="n">
        <x:f>IF(COUNT(J262:O262)&lt;6,"",J262*5+K262*4+M262*4+L262*3+N262*2+O262*2)</x:f>
        <x:v>100</x:v>
      </x:c>
      <x:c r="R262" s="14" t="str">
        <x:v>high</x:v>
      </x:c>
      <x:c r="S262" s="14" t="str">
        <x:v>google_index_verified_2026-08-24</x:v>
      </x:c>
      <x:c r="T262" s="14" t="str">
        <x:v>indexed_official_service_page</x:v>
      </x:c>
      <x:c r="U262" s="14" t="str">
        <x:v>Новий — не контактували</x:v>
      </x:c>
      <x:c r="V262" s="15" t="str">
        <x:v>2-тижневий discovery: запросити вимоги 1 активного проєкту + 1 знеособлений артефакт</x:v>
      </x:c>
      <x:c r="W262" s="15" t="str">
        <x:v>Комерційний директор; головний інженер; керівник ПТО / якості</x:v>
      </x:c>
      <x:c r="X262" s="15" t="str">
        <x:v>Будівництво і ремонт мостів. Пошуковий результат веде на індексовану сторінку корпоративного домену: Мости — RGM Group.</x:v>
      </x:c>
      <x:c r="Y262" s="15" t="str">
        <x:v>Армування, опори, зварювання, бетонування, гідроізоляція й лабораторні протоколи приймаються до наступного шару.</x:v>
      </x:c>
      <x:c r="Z262" s="15" t="str">
        <x:v>https://rgm-group.com.ua/mosty/</x:v>
      </x:c>
      <x:c r="AA262" s="14" t="str"/>
      <x:c r="AB262" s="14" t="str">
        <x:v>2026-08-24</x:v>
      </x:c>
      <x:c r="AC262" s="14" t="str">
        <x:v>Олександр</x:v>
      </x:c>
      <x:c r="AD262" s="20" t="str"/>
      <x:c r="AE262" s="14" t="str"/>
      <x:c r="AF262" s="14" t="n">
        <x:v>0</x:v>
      </x:c>
      <x:c r="AG262" s="14" t="str">
        <x:v>—</x:v>
      </x:c>
      <x:c r="AH262" s="14" t="n">
        <x:v>0</x:v>
      </x:c>
      <x:c r="AI262" s="14" t="n">
        <x:v>0</x:v>
      </x:c>
      <x:c r="AJ262" s="18" t="n">
        <x:v>0</x:v>
      </x:c>
      <x:c r="AK262" s="14" t="str"/>
      <x:c r="AL262" s="19" t="str"/>
      <x:c r="AM262" s="19" t="str"/>
      <x:c r="AN262" s="15" t="str"/>
      <x:c r="AO262" s="15" t="str">
        <x:v>google_index_verified_2026-08-24</x:v>
      </x:c>
    </x:row>
    <x:row r="263">
      <x:c r="A263" s="14" t="str">
        <x:v>W2-094</x:v>
      </x:c>
      <x:c r="B263" s="14" t="str">
        <x:v>Проєктний сигнал — 24.08</x:v>
      </x:c>
      <x:c r="C263" s="14" t="str">
        <x:v>Автомагістраль-Південь</x:v>
      </x:c>
      <x:c r="D263" s="14" t="str">
        <x:v>Мости та інфраструктура</x:v>
      </x:c>
      <x:c r="E263" s="14" t="str">
        <x:v>Expansion discovery</x:v>
      </x:c>
      <x:c r="F263" s="17" t="str">
        <x:f>IF(E263="Pilot now",IF(P263&gt;=84,"P1",IF(P263&gt;=72,"P2","P3")),IF(E263="Expansion discovery",IF(Q263&gt;=88,"D1",IF(Q263&gt;=78,"D2","D3")),IF(E263="Later / requirements","L","Legacy")))</x:f>
        <x:v>D1</x:v>
      </x:c>
      <x:c r="G263" s="14" t="str">
        <x:v>automagistral.com.ua</x:v>
      </x:c>
      <x:c r="H263" s="14" t="str">
        <x:v>2-тижневий workflow discovery — потрібні вимоги одного проєкту</x:v>
      </x:c>
      <x:c r="I263" s="16" t="n">
        <x:v>1</x:v>
      </x:c>
      <x:c r="J263" s="16" t="n">
        <x:v>5</x:v>
      </x:c>
      <x:c r="K263" s="16" t="n">
        <x:v>5</x:v>
      </x:c>
      <x:c r="L263" s="16" t="n">
        <x:v>5</x:v>
      </x:c>
      <x:c r="M263" s="16" t="n">
        <x:v>5</x:v>
      </x:c>
      <x:c r="N263" s="16" t="n">
        <x:v>5</x:v>
      </x:c>
      <x:c r="O263" s="16" t="n">
        <x:v>5</x:v>
      </x:c>
      <x:c r="P263" s="16" t="n">
        <x:f>IF(COUNT(I263:O263)&lt;7,"",I263*8+J263*3+K263*2+L263*2+M263*2+N263*2+O263)</x:f>
        <x:v>68</x:v>
      </x:c>
      <x:c r="Q263" s="16" t="n">
        <x:f>IF(COUNT(J263:O263)&lt;6,"",J263*5+K263*4+M263*4+L263*3+N263*2+O263*2)</x:f>
        <x:v>100</x:v>
      </x:c>
      <x:c r="R263" s="14" t="str">
        <x:v>high</x:v>
      </x:c>
      <x:c r="S263" s="14" t="str">
        <x:v>google_index_verified_2026-08-24</x:v>
      </x:c>
      <x:c r="T263" s="14" t="str">
        <x:v>indexed_official_service_page</x:v>
      </x:c>
      <x:c r="U263" s="14" t="str">
        <x:v>Новий — не контактували</x:v>
      </x:c>
      <x:c r="V263" s="15" t="str">
        <x:v>2-тижневий discovery: запросити вимоги 1 активного проєкту + 1 знеособлений артефакт</x:v>
      </x:c>
      <x:c r="W263" s="15" t="str">
        <x:v>Комерційний директор; головний інженер; керівник ПТО / якості</x:v>
      </x:c>
      <x:c r="X263" s="15" t="str">
        <x:v>Окремий мостобудівельний підрозділ. Пошуковий результат веде на індексовану сторінку корпоративного домену: Мостобудівельний підрозділ — Автомагістраль-Південь.</x:v>
      </x:c>
      <x:c r="Y263" s="15" t="str">
        <x:v>Армування, опори, зварювання, бетонування, гідроізоляція й лабораторні протоколи приймаються до наступного шару.</x:v>
      </x:c>
      <x:c r="Z263" s="15" t="str">
        <x:v>https://automagistral.com.ua/mostobudivelnyi-pidrozdil/</x:v>
      </x:c>
      <x:c r="AA263" s="14" t="str"/>
      <x:c r="AB263" s="14" t="str">
        <x:v>2026-08-24</x:v>
      </x:c>
      <x:c r="AC263" s="14" t="str">
        <x:v>Олександр</x:v>
      </x:c>
      <x:c r="AD263" s="20" t="str"/>
      <x:c r="AE263" s="14" t="str"/>
      <x:c r="AF263" s="14" t="n">
        <x:v>0</x:v>
      </x:c>
      <x:c r="AG263" s="14" t="str">
        <x:v>—</x:v>
      </x:c>
      <x:c r="AH263" s="14" t="n">
        <x:v>0</x:v>
      </x:c>
      <x:c r="AI263" s="14" t="n">
        <x:v>0</x:v>
      </x:c>
      <x:c r="AJ263" s="18" t="n">
        <x:v>0</x:v>
      </x:c>
      <x:c r="AK263" s="14" t="str"/>
      <x:c r="AL263" s="19" t="str"/>
      <x:c r="AM263" s="19" t="str"/>
      <x:c r="AN263" s="15" t="str"/>
      <x:c r="AO263" s="15" t="str">
        <x:v>google_index_verified_2026-08-24</x:v>
      </x:c>
    </x:row>
    <x:row r="264">
      <x:c r="A264" s="14" t="str">
        <x:v>W2-095</x:v>
      </x:c>
      <x:c r="B264" s="14" t="str">
        <x:v>Проєктний сигнал — 24.08</x:v>
      </x:c>
      <x:c r="C264" s="14" t="str">
        <x:v>Monolit Group</x:v>
      </x:c>
      <x:c r="D264" s="14" t="str">
        <x:v>Мости та інфраструктура</x:v>
      </x:c>
      <x:c r="E264" s="14" t="str">
        <x:v>Expansion discovery</x:v>
      </x:c>
      <x:c r="F264" s="17" t="str">
        <x:f>IF(E264="Pilot now",IF(P264&gt;=84,"P1",IF(P264&gt;=72,"P2","P3")),IF(E264="Expansion discovery",IF(Q264&gt;=88,"D1",IF(Q264&gt;=78,"D2","D3")),IF(E264="Later / requirements","L","Legacy")))</x:f>
        <x:v>D1</x:v>
      </x:c>
      <x:c r="G264" s="14" t="str">
        <x:v>monolit-grup.com.ua</x:v>
      </x:c>
      <x:c r="H264" s="14" t="str">
        <x:v>2-тижневий workflow discovery — потрібні вимоги одного проєкту</x:v>
      </x:c>
      <x:c r="I264" s="16" t="n">
        <x:v>1</x:v>
      </x:c>
      <x:c r="J264" s="16" t="n">
        <x:v>5</x:v>
      </x:c>
      <x:c r="K264" s="16" t="n">
        <x:v>5</x:v>
      </x:c>
      <x:c r="L264" s="16" t="n">
        <x:v>5</x:v>
      </x:c>
      <x:c r="M264" s="16" t="n">
        <x:v>5</x:v>
      </x:c>
      <x:c r="N264" s="16" t="n">
        <x:v>5</x:v>
      </x:c>
      <x:c r="O264" s="16" t="n">
        <x:v>5</x:v>
      </x:c>
      <x:c r="P264" s="16" t="n">
        <x:f>IF(COUNT(I264:O264)&lt;7,"",I264*8+J264*3+K264*2+L264*2+M264*2+N264*2+O264)</x:f>
        <x:v>68</x:v>
      </x:c>
      <x:c r="Q264" s="16" t="n">
        <x:f>IF(COUNT(J264:O264)&lt;6,"",J264*5+K264*4+M264*4+L264*3+N264*2+O264*2)</x:f>
        <x:v>100</x:v>
      </x:c>
      <x:c r="R264" s="14" t="str">
        <x:v>high</x:v>
      </x:c>
      <x:c r="S264" s="14" t="str">
        <x:v>google_index_verified_2026-08-24</x:v>
      </x:c>
      <x:c r="T264" s="14" t="str">
        <x:v>indexed_official_service_page</x:v>
      </x:c>
      <x:c r="U264" s="14" t="str">
        <x:v>Новий — не контактували</x:v>
      </x:c>
      <x:c r="V264" s="15" t="str">
        <x:v>2-тижневий discovery: запросити вимоги 1 активного проєкту + 1 знеособлений артефакт</x:v>
      </x:c>
      <x:c r="W264" s="15" t="str">
        <x:v>Комерційний директор; головний інженер; керівник ПТО / якості</x:v>
      </x:c>
      <x:c r="X264" s="15" t="str">
        <x:v>Мостове будівництво. Пошуковий результат веде на індексовану сторінку корпоративного домену: Будівництво мостів — Monolit Group.</x:v>
      </x:c>
      <x:c r="Y264" s="15" t="str">
        <x:v>Армування, опори, зварювання, бетонування, гідроізоляція й лабораторні протоколи приймаються до наступного шару.</x:v>
      </x:c>
      <x:c r="Z264" s="15" t="str">
        <x:v>https://monolit-grup.com.ua/stroitelstvo-mostov/</x:v>
      </x:c>
      <x:c r="AA264" s="14" t="str"/>
      <x:c r="AB264" s="14" t="str">
        <x:v>2026-08-24</x:v>
      </x:c>
      <x:c r="AC264" s="14" t="str">
        <x:v>Олександр</x:v>
      </x:c>
      <x:c r="AD264" s="20" t="str"/>
      <x:c r="AE264" s="14" t="str"/>
      <x:c r="AF264" s="14" t="n">
        <x:v>0</x:v>
      </x:c>
      <x:c r="AG264" s="14" t="str">
        <x:v>—</x:v>
      </x:c>
      <x:c r="AH264" s="14" t="n">
        <x:v>0</x:v>
      </x:c>
      <x:c r="AI264" s="14" t="n">
        <x:v>0</x:v>
      </x:c>
      <x:c r="AJ264" s="18" t="n">
        <x:v>0</x:v>
      </x:c>
      <x:c r="AK264" s="14" t="str"/>
      <x:c r="AL264" s="19" t="str"/>
      <x:c r="AM264" s="19" t="str"/>
      <x:c r="AN264" s="15" t="str"/>
      <x:c r="AO264" s="15" t="str">
        <x:v>google_index_verified_2026-08-24</x:v>
      </x:c>
    </x:row>
    <x:row r="265">
      <x:c r="A265" s="14" t="str">
        <x:v>W2-096</x:v>
      </x:c>
      <x:c r="B265" s="14" t="str">
        <x:v>Проєктний сигнал — 24.08</x:v>
      </x:c>
      <x:c r="C265" s="14" t="str">
        <x:v>Укртрансмiст</x:v>
      </x:c>
      <x:c r="D265" s="14" t="str">
        <x:v>Мости та інфраструктура</x:v>
      </x:c>
      <x:c r="E265" s="14" t="str">
        <x:v>Expansion discovery</x:v>
      </x:c>
      <x:c r="F265" s="17" t="str">
        <x:f>IF(E265="Pilot now",IF(P265&gt;=84,"P1",IF(P265&gt;=72,"P2","P3")),IF(E265="Expansion discovery",IF(Q265&gt;=88,"D1",IF(Q265&gt;=78,"D2","D3")),IF(E265="Later / requirements","L","Legacy")))</x:f>
        <x:v>D1</x:v>
      </x:c>
      <x:c r="G265" s="14" t="str">
        <x:v>ukrtransmist.ua</x:v>
      </x:c>
      <x:c r="H265" s="14" t="str">
        <x:v>2-тижневий workflow discovery — потрібні вимоги одного проєкту</x:v>
      </x:c>
      <x:c r="I265" s="16" t="n">
        <x:v>1</x:v>
      </x:c>
      <x:c r="J265" s="16" t="n">
        <x:v>5</x:v>
      </x:c>
      <x:c r="K265" s="16" t="n">
        <x:v>5</x:v>
      </x:c>
      <x:c r="L265" s="16" t="n">
        <x:v>5</x:v>
      </x:c>
      <x:c r="M265" s="16" t="n">
        <x:v>5</x:v>
      </x:c>
      <x:c r="N265" s="16" t="n">
        <x:v>5</x:v>
      </x:c>
      <x:c r="O265" s="16" t="n">
        <x:v>5</x:v>
      </x:c>
      <x:c r="P265" s="16" t="n">
        <x:f>IF(COUNT(I265:O265)&lt;7,"",I265*8+J265*3+K265*2+L265*2+M265*2+N265*2+O265)</x:f>
        <x:v>68</x:v>
      </x:c>
      <x:c r="Q265" s="16" t="n">
        <x:f>IF(COUNT(J265:O265)&lt;6,"",J265*5+K265*4+M265*4+L265*3+N265*2+O265*2)</x:f>
        <x:v>100</x:v>
      </x:c>
      <x:c r="R265" s="14" t="str">
        <x:v>high</x:v>
      </x:c>
      <x:c r="S265" s="14" t="str">
        <x:v>google_index_verified_2026-08-24</x:v>
      </x:c>
      <x:c r="T265" s="14" t="str">
        <x:v>indexed_official_service_page</x:v>
      </x:c>
      <x:c r="U265" s="14" t="str">
        <x:v>Новий — не контактували</x:v>
      </x:c>
      <x:c r="V265" s="15" t="str">
        <x:v>2-тижневий discovery: запросити вимоги 1 активного проєкту + 1 знеособлений артефакт</x:v>
      </x:c>
      <x:c r="W265" s="15" t="str">
        <x:v>Комерційний директор; головний інженер; керівник ПТО / якості</x:v>
      </x:c>
      <x:c r="X265" s="15" t="str">
        <x:v>Мостобудівельна компанія. Пошуковий результат веде на індексовану сторінку корпоративного домену: Укртрансмiст.</x:v>
      </x:c>
      <x:c r="Y265" s="15" t="str">
        <x:v>Армування, опори, зварювання, бетонування, гідроізоляція й лабораторні протоколи приймаються до наступного шару.</x:v>
      </x:c>
      <x:c r="Z265" s="15" t="str">
        <x:v>https://ukrtransmist.ua/company</x:v>
      </x:c>
      <x:c r="AA265" s="14" t="str"/>
      <x:c r="AB265" s="14" t="str">
        <x:v>2026-08-24</x:v>
      </x:c>
      <x:c r="AC265" s="14" t="str">
        <x:v>Олександр</x:v>
      </x:c>
      <x:c r="AD265" s="20" t="str"/>
      <x:c r="AE265" s="14" t="str"/>
      <x:c r="AF265" s="14" t="n">
        <x:v>0</x:v>
      </x:c>
      <x:c r="AG265" s="14" t="str">
        <x:v>—</x:v>
      </x:c>
      <x:c r="AH265" s="14" t="n">
        <x:v>0</x:v>
      </x:c>
      <x:c r="AI265" s="14" t="n">
        <x:v>0</x:v>
      </x:c>
      <x:c r="AJ265" s="18" t="n">
        <x:v>0</x:v>
      </x:c>
      <x:c r="AK265" s="14" t="str"/>
      <x:c r="AL265" s="19" t="str"/>
      <x:c r="AM265" s="19" t="str"/>
      <x:c r="AN265" s="15" t="str"/>
      <x:c r="AO265" s="15" t="str">
        <x:v>google_index_verified_2026-08-24</x:v>
      </x:c>
    </x:row>
    <x:row r="266">
      <x:c r="A266" s="14" t="str">
        <x:v>W2-097</x:v>
      </x:c>
      <x:c r="B266" s="14" t="str">
        <x:v>Проєктний сигнал — 24.08</x:v>
      </x:c>
      <x:c r="C266" s="14" t="str">
        <x:v>Mostobud Group</x:v>
      </x:c>
      <x:c r="D266" s="14" t="str">
        <x:v>Мости та інфраструктура</x:v>
      </x:c>
      <x:c r="E266" s="14" t="str">
        <x:v>Expansion discovery</x:v>
      </x:c>
      <x:c r="F266" s="17" t="str">
        <x:f>IF(E266="Pilot now",IF(P266&gt;=84,"P1",IF(P266&gt;=72,"P2","P3")),IF(E266="Expansion discovery",IF(Q266&gt;=88,"D1",IF(Q266&gt;=78,"D2","D3")),IF(E266="Later / requirements","L","Legacy")))</x:f>
        <x:v>D1</x:v>
      </x:c>
      <x:c r="G266" s="14" t="str">
        <x:v>mostobud-group.com</x:v>
      </x:c>
      <x:c r="H266" s="14" t="str">
        <x:v>2-тижневий workflow discovery — потрібні вимоги одного проєкту</x:v>
      </x:c>
      <x:c r="I266" s="16" t="n">
        <x:v>1</x:v>
      </x:c>
      <x:c r="J266" s="16" t="n">
        <x:v>5</x:v>
      </x:c>
      <x:c r="K266" s="16" t="n">
        <x:v>5</x:v>
      </x:c>
      <x:c r="L266" s="16" t="n">
        <x:v>5</x:v>
      </x:c>
      <x:c r="M266" s="16" t="n">
        <x:v>5</x:v>
      </x:c>
      <x:c r="N266" s="16" t="n">
        <x:v>5</x:v>
      </x:c>
      <x:c r="O266" s="16" t="n">
        <x:v>5</x:v>
      </x:c>
      <x:c r="P266" s="16" t="n">
        <x:f>IF(COUNT(I266:O266)&lt;7,"",I266*8+J266*3+K266*2+L266*2+M266*2+N266*2+O266)</x:f>
        <x:v>68</x:v>
      </x:c>
      <x:c r="Q266" s="16" t="n">
        <x:f>IF(COUNT(J266:O266)&lt;6,"",J266*5+K266*4+M266*4+L266*3+N266*2+O266*2)</x:f>
        <x:v>100</x:v>
      </x:c>
      <x:c r="R266" s="14" t="str">
        <x:v>high</x:v>
      </x:c>
      <x:c r="S266" s="14" t="str">
        <x:v>google_index_verified_2026-08-24</x:v>
      </x:c>
      <x:c r="T266" s="14" t="str">
        <x:v>indexed_official_service_page</x:v>
      </x:c>
      <x:c r="U266" s="14" t="str">
        <x:v>Новий — не контактували</x:v>
      </x:c>
      <x:c r="V266" s="15" t="str">
        <x:v>2-тижневий discovery: запросити вимоги 1 активного проєкту + 1 знеособлений артефакт</x:v>
      </x:c>
      <x:c r="W266" s="15" t="str">
        <x:v>Комерційний директор; головний інженер; керівник ПТО / якості</x:v>
      </x:c>
      <x:c r="X266" s="15" t="str">
        <x:v>Публічне портфоліо мостових проєктів. Пошуковий результат веде на індексовану сторінку корпоративного домену: Мостобудівельний проєкт — Mostobud Group.</x:v>
      </x:c>
      <x:c r="Y266" s="15" t="str">
        <x:v>Армування, опори, зварювання, бетонування, гідроізоляція й лабораторні протоколи приймаються до наступного шару.</x:v>
      </x:c>
      <x:c r="Z266" s="15" t="str">
        <x:v>https://mostobud-group.com/projects/most-kropyvnytskyi-40m</x:v>
      </x:c>
      <x:c r="AA266" s="14" t="str"/>
      <x:c r="AB266" s="14" t="str">
        <x:v>2026-08-24</x:v>
      </x:c>
      <x:c r="AC266" s="14" t="str">
        <x:v>Олександр</x:v>
      </x:c>
      <x:c r="AD266" s="20" t="str"/>
      <x:c r="AE266" s="14" t="str"/>
      <x:c r="AF266" s="14" t="n">
        <x:v>0</x:v>
      </x:c>
      <x:c r="AG266" s="14" t="str">
        <x:v>—</x:v>
      </x:c>
      <x:c r="AH266" s="14" t="n">
        <x:v>0</x:v>
      </x:c>
      <x:c r="AI266" s="14" t="n">
        <x:v>0</x:v>
      </x:c>
      <x:c r="AJ266" s="18" t="n">
        <x:v>0</x:v>
      </x:c>
      <x:c r="AK266" s="14" t="str"/>
      <x:c r="AL266" s="19" t="str"/>
      <x:c r="AM266" s="19" t="str"/>
      <x:c r="AN266" s="15" t="str"/>
      <x:c r="AO266" s="15" t="str">
        <x:v>google_index_verified_2026-08-24</x:v>
      </x:c>
    </x:row>
    <x:row r="267">
      <x:c r="A267" s="14" t="str">
        <x:v>W2-098</x:v>
      </x:c>
      <x:c r="B267" s="14" t="str">
        <x:v>Проєктний сигнал — 24.08</x:v>
      </x:c>
      <x:c r="C267" s="14" t="str">
        <x:v>LIVELLO</x:v>
      </x:c>
      <x:c r="D267" s="14" t="str">
        <x:v>Підсилення та ремонт бетону</x:v>
      </x:c>
      <x:c r="E267" s="14" t="str">
        <x:v>Expansion discovery</x:v>
      </x:c>
      <x:c r="F267" s="17" t="str">
        <x:f>IF(E267="Pilot now",IF(P267&gt;=84,"P1",IF(P267&gt;=72,"P2","P3")),IF(E267="Expansion discovery",IF(Q267&gt;=88,"D1",IF(Q267&gt;=78,"D2","D3")),IF(E267="Later / requirements","L","Legacy")))</x:f>
        <x:v>D1</x:v>
      </x:c>
      <x:c r="G267" s="14" t="str">
        <x:v>livello.com.ua</x:v>
      </x:c>
      <x:c r="H267" s="14" t="str">
        <x:v>2-тижневий workflow discovery — потрібні вимоги одного проєкту</x:v>
      </x:c>
      <x:c r="I267" s="16" t="n">
        <x:v>1</x:v>
      </x:c>
      <x:c r="J267" s="16" t="n">
        <x:v>5</x:v>
      </x:c>
      <x:c r="K267" s="16" t="n">
        <x:v>5</x:v>
      </x:c>
      <x:c r="L267" s="16" t="n">
        <x:v>4</x:v>
      </x:c>
      <x:c r="M267" s="16" t="n">
        <x:v>5</x:v>
      </x:c>
      <x:c r="N267" s="16" t="n">
        <x:v>5</x:v>
      </x:c>
      <x:c r="O267" s="16" t="n">
        <x:v>5</x:v>
      </x:c>
      <x:c r="P267" s="16" t="n">
        <x:f>IF(COUNT(I267:O267)&lt;7,"",I267*8+J267*3+K267*2+L267*2+M267*2+N267*2+O267)</x:f>
        <x:v>66</x:v>
      </x:c>
      <x:c r="Q267" s="16" t="n">
        <x:f>IF(COUNT(J267:O267)&lt;6,"",J267*5+K267*4+M267*4+L267*3+N267*2+O267*2)</x:f>
        <x:v>97</x:v>
      </x:c>
      <x:c r="R267" s="14" t="str">
        <x:v>high</x:v>
      </x:c>
      <x:c r="S267" s="14" t="str">
        <x:v>google_index_verified_2026-08-24</x:v>
      </x:c>
      <x:c r="T267" s="14" t="str">
        <x:v>indexed_official_service_page</x:v>
      </x:c>
      <x:c r="U267" s="14" t="str">
        <x:v>Новий — не контактували</x:v>
      </x:c>
      <x:c r="V267" s="15" t="str">
        <x:v>2-тижневий discovery: запросити вимоги 1 активного проєкту + 1 знеособлений артефакт</x:v>
      </x:c>
      <x:c r="W267" s="15" t="str">
        <x:v>Власник / директор; керівник проєктів; ПТО / контроль якості</x:v>
      </x:c>
      <x:c r="X267" s="15" t="str">
        <x:v>Ремонт і відновлення залізобетону. Пошуковий результат веде на індексовану сторінку корпоративного домену: Ремонт залізобетонних конструкцій — LIVELLO.</x:v>
      </x:c>
      <x:c r="Y267" s="15" t="str">
        <x:v>Підготовка основи, ін'єкції, армування, торкрет і захисні шари стають невидимими та потребують фото й актів.</x:v>
      </x:c>
      <x:c r="Z267" s="15" t="str">
        <x:v>https://livello.com.ua/remont-zalizobetonnix-konstrukcii</x:v>
      </x:c>
      <x:c r="AA267" s="14" t="str"/>
      <x:c r="AB267" s="14" t="str">
        <x:v>2026-08-24</x:v>
      </x:c>
      <x:c r="AC267" s="14" t="str">
        <x:v>Олександр</x:v>
      </x:c>
      <x:c r="AD267" s="20" t="str"/>
      <x:c r="AE267" s="14" t="str"/>
      <x:c r="AF267" s="14" t="n">
        <x:v>0</x:v>
      </x:c>
      <x:c r="AG267" s="14" t="str">
        <x:v>—</x:v>
      </x:c>
      <x:c r="AH267" s="14" t="n">
        <x:v>0</x:v>
      </x:c>
      <x:c r="AI267" s="14" t="n">
        <x:v>0</x:v>
      </x:c>
      <x:c r="AJ267" s="18" t="n">
        <x:v>0</x:v>
      </x:c>
      <x:c r="AK267" s="14" t="str"/>
      <x:c r="AL267" s="19" t="str"/>
      <x:c r="AM267" s="19" t="str"/>
      <x:c r="AN267" s="15" t="str"/>
      <x:c r="AO267" s="15" t="str">
        <x:v>google_index_verified_2026-08-24</x:v>
      </x:c>
    </x:row>
    <x:row r="268">
      <x:c r="A268" s="14" t="str">
        <x:v>W2-099</x:v>
      </x:c>
      <x:c r="B268" s="14" t="str">
        <x:v>Проєктний сигнал — 24.08</x:v>
      </x:c>
      <x:c r="C268" s="14" t="str">
        <x:v>НВО СЗБК</x:v>
      </x:c>
      <x:c r="D268" s="14" t="str">
        <x:v>Підсилення та ремонт бетону</x:v>
      </x:c>
      <x:c r="E268" s="14" t="str">
        <x:v>Expansion discovery</x:v>
      </x:c>
      <x:c r="F268" s="17" t="str">
        <x:f>IF(E268="Pilot now",IF(P268&gt;=84,"P1",IF(P268&gt;=72,"P2","P3")),IF(E268="Expansion discovery",IF(Q268&gt;=88,"D1",IF(Q268&gt;=78,"D2","D3")),IF(E268="Later / requirements","L","Legacy")))</x:f>
        <x:v>D1</x:v>
      </x:c>
      <x:c r="G268" s="14" t="str">
        <x:v>szbk.pro</x:v>
      </x:c>
      <x:c r="H268" s="14" t="str">
        <x:v>2-тижневий workflow discovery — потрібні вимоги одного проєкту</x:v>
      </x:c>
      <x:c r="I268" s="16" t="n">
        <x:v>1</x:v>
      </x:c>
      <x:c r="J268" s="16" t="n">
        <x:v>5</x:v>
      </x:c>
      <x:c r="K268" s="16" t="n">
        <x:v>5</x:v>
      </x:c>
      <x:c r="L268" s="16" t="n">
        <x:v>4</x:v>
      </x:c>
      <x:c r="M268" s="16" t="n">
        <x:v>5</x:v>
      </x:c>
      <x:c r="N268" s="16" t="n">
        <x:v>5</x:v>
      </x:c>
      <x:c r="O268" s="16" t="n">
        <x:v>5</x:v>
      </x:c>
      <x:c r="P268" s="16" t="n">
        <x:f>IF(COUNT(I268:O268)&lt;7,"",I268*8+J268*3+K268*2+L268*2+M268*2+N268*2+O268)</x:f>
        <x:v>66</x:v>
      </x:c>
      <x:c r="Q268" s="16" t="n">
        <x:f>IF(COUNT(J268:O268)&lt;6,"",J268*5+K268*4+M268*4+L268*3+N268*2+O268*2)</x:f>
        <x:v>97</x:v>
      </x:c>
      <x:c r="R268" s="14" t="str">
        <x:v>high</x:v>
      </x:c>
      <x:c r="S268" s="14" t="str">
        <x:v>google_index_verified_2026-08-24</x:v>
      </x:c>
      <x:c r="T268" s="14" t="str">
        <x:v>indexed_official_service_page</x:v>
      </x:c>
      <x:c r="U268" s="14" t="str">
        <x:v>Новий — не контактували</x:v>
      </x:c>
      <x:c r="V268" s="15" t="str">
        <x:v>2-тижневий discovery: запросити вимоги 1 активного проєкту + 1 знеособлений артефакт</x:v>
      </x:c>
      <x:c r="W268" s="15" t="str">
        <x:v>Власник / директор; керівник проєктів; ПТО / контроль якості</x:v>
      </x:c>
      <x:c r="X268" s="15" t="str">
        <x:v>Захист і відновлення конструкцій. Пошуковий результат веде на індексовану сторінку корпоративного домену: Системи захисту будівельних конструкцій — СЗБК.</x:v>
      </x:c>
      <x:c r="Y268" s="15" t="str">
        <x:v>Підготовка основи, ін'єкції, армування, торкрет і захисні шари стають невидимими та потребують фото й актів.</x:v>
      </x:c>
      <x:c r="Z268" s="15" t="str">
        <x:v>https://szbk.pro/kontakty-2/</x:v>
      </x:c>
      <x:c r="AA268" s="14" t="str"/>
      <x:c r="AB268" s="14" t="str">
        <x:v>2026-08-24</x:v>
      </x:c>
      <x:c r="AC268" s="14" t="str">
        <x:v>Олександр</x:v>
      </x:c>
      <x:c r="AD268" s="20" t="str"/>
      <x:c r="AE268" s="14" t="str"/>
      <x:c r="AF268" s="14" t="n">
        <x:v>0</x:v>
      </x:c>
      <x:c r="AG268" s="14" t="str">
        <x:v>—</x:v>
      </x:c>
      <x:c r="AH268" s="14" t="n">
        <x:v>0</x:v>
      </x:c>
      <x:c r="AI268" s="14" t="n">
        <x:v>0</x:v>
      </x:c>
      <x:c r="AJ268" s="18" t="n">
        <x:v>0</x:v>
      </x:c>
      <x:c r="AK268" s="14" t="str"/>
      <x:c r="AL268" s="19" t="str"/>
      <x:c r="AM268" s="19" t="str"/>
      <x:c r="AN268" s="15" t="str"/>
      <x:c r="AO268" s="15" t="str">
        <x:v>google_index_verified_2026-08-24</x:v>
      </x:c>
    </x:row>
    <x:row r="269">
      <x:c r="A269" s="14" t="str">
        <x:v>W2-100</x:v>
      </x:c>
      <x:c r="B269" s="14" t="str">
        <x:v>Проєктний сигнал — 24.08</x:v>
      </x:c>
      <x:c r="C269" s="14" t="str">
        <x:v>GeoResin</x:v>
      </x:c>
      <x:c r="D269" s="14" t="str">
        <x:v>Підсилення та ремонт бетону</x:v>
      </x:c>
      <x:c r="E269" s="14" t="str">
        <x:v>Expansion discovery</x:v>
      </x:c>
      <x:c r="F269" s="17" t="str">
        <x:f>IF(E269="Pilot now",IF(P269&gt;=84,"P1",IF(P269&gt;=72,"P2","P3")),IF(E269="Expansion discovery",IF(Q269&gt;=88,"D1",IF(Q269&gt;=78,"D2","D3")),IF(E269="Later / requirements","L","Legacy")))</x:f>
        <x:v>D1</x:v>
      </x:c>
      <x:c r="G269" s="14" t="str">
        <x:v>georesin.ua</x:v>
      </x:c>
      <x:c r="H269" s="14" t="str">
        <x:v>2-тижневий workflow discovery — потрібні вимоги одного проєкту</x:v>
      </x:c>
      <x:c r="I269" s="16" t="n">
        <x:v>1</x:v>
      </x:c>
      <x:c r="J269" s="16" t="n">
        <x:v>5</x:v>
      </x:c>
      <x:c r="K269" s="16" t="n">
        <x:v>5</x:v>
      </x:c>
      <x:c r="L269" s="16" t="n">
        <x:v>4</x:v>
      </x:c>
      <x:c r="M269" s="16" t="n">
        <x:v>5</x:v>
      </x:c>
      <x:c r="N269" s="16" t="n">
        <x:v>5</x:v>
      </x:c>
      <x:c r="O269" s="16" t="n">
        <x:v>5</x:v>
      </x:c>
      <x:c r="P269" s="16" t="n">
        <x:f>IF(COUNT(I269:O269)&lt;7,"",I269*8+J269*3+K269*2+L269*2+M269*2+N269*2+O269)</x:f>
        <x:v>66</x:v>
      </x:c>
      <x:c r="Q269" s="16" t="n">
        <x:f>IF(COUNT(J269:O269)&lt;6,"",J269*5+K269*4+M269*4+L269*3+N269*2+O269*2)</x:f>
        <x:v>97</x:v>
      </x:c>
      <x:c r="R269" s="14" t="str">
        <x:v>high</x:v>
      </x:c>
      <x:c r="S269" s="14" t="str">
        <x:v>google_index_verified_2026-08-24</x:v>
      </x:c>
      <x:c r="T269" s="14" t="str">
        <x:v>indexed_official_service_page</x:v>
      </x:c>
      <x:c r="U269" s="14" t="str">
        <x:v>Новий — не контактували</x:v>
      </x:c>
      <x:c r="V269" s="15" t="str">
        <x:v>2-тижневий discovery: запросити вимоги 1 активного проєкту + 1 знеособлений артефакт</x:v>
      </x:c>
      <x:c r="W269" s="15" t="str">
        <x:v>Власник / директор; керівник проєктів; ПТО / контроль якості</x:v>
      </x:c>
      <x:c r="X269" s="15" t="str">
        <x:v>Ін'єкційне підсилення фундаментів. Пошуковий результат веде на індексовану сторінку корпоративного домену: Ремонт та посилення фундаментів — GeoResin.</x:v>
      </x:c>
      <x:c r="Y269" s="15" t="str">
        <x:v>Підготовка основи, ін'єкції, армування, торкрет і захисні шари стають невидимими та потребують фото й актів.</x:v>
      </x:c>
      <x:c r="Z269" s="15" t="str">
        <x:v>https://georesin.ua/trcz-i-ofisi/remont-ta-posulennya-fundamentiv/</x:v>
      </x:c>
      <x:c r="AA269" s="14" t="str"/>
      <x:c r="AB269" s="14" t="str">
        <x:v>2026-08-24</x:v>
      </x:c>
      <x:c r="AC269" s="14" t="str">
        <x:v>Олександр</x:v>
      </x:c>
      <x:c r="AD269" s="20" t="str"/>
      <x:c r="AE269" s="14" t="str"/>
      <x:c r="AF269" s="14" t="n">
        <x:v>0</x:v>
      </x:c>
      <x:c r="AG269" s="14" t="str">
        <x:v>—</x:v>
      </x:c>
      <x:c r="AH269" s="14" t="n">
        <x:v>0</x:v>
      </x:c>
      <x:c r="AI269" s="14" t="n">
        <x:v>0</x:v>
      </x:c>
      <x:c r="AJ269" s="18" t="n">
        <x:v>0</x:v>
      </x:c>
      <x:c r="AK269" s="14" t="str"/>
      <x:c r="AL269" s="19" t="str"/>
      <x:c r="AM269" s="19" t="str"/>
      <x:c r="AN269" s="15" t="str"/>
      <x:c r="AO269" s="15" t="str">
        <x:v>google_index_verified_2026-08-24</x:v>
      </x:c>
    </x:row>
    <x:row r="270">
      <x:c r="A270" s="14" t="str">
        <x:v>W2-101</x:v>
      </x:c>
      <x:c r="B270" s="14" t="str">
        <x:v>Проєктний сигнал — 24.08</x:v>
      </x:c>
      <x:c r="C270" s="14" t="str">
        <x:v>BauExpert</x:v>
      </x:c>
      <x:c r="D270" s="14" t="str">
        <x:v>Підсилення та ремонт бетону</x:v>
      </x:c>
      <x:c r="E270" s="14" t="str">
        <x:v>Expansion discovery</x:v>
      </x:c>
      <x:c r="F270" s="17" t="str">
        <x:f>IF(E270="Pilot now",IF(P270&gt;=84,"P1",IF(P270&gt;=72,"P2","P3")),IF(E270="Expansion discovery",IF(Q270&gt;=88,"D1",IF(Q270&gt;=78,"D2","D3")),IF(E270="Later / requirements","L","Legacy")))</x:f>
        <x:v>D1</x:v>
      </x:c>
      <x:c r="G270" s="14" t="str">
        <x:v>bauexpert.ua</x:v>
      </x:c>
      <x:c r="H270" s="14" t="str">
        <x:v>2-тижневий workflow discovery — потрібні вимоги одного проєкту</x:v>
      </x:c>
      <x:c r="I270" s="16" t="n">
        <x:v>1</x:v>
      </x:c>
      <x:c r="J270" s="16" t="n">
        <x:v>5</x:v>
      </x:c>
      <x:c r="K270" s="16" t="n">
        <x:v>5</x:v>
      </x:c>
      <x:c r="L270" s="16" t="n">
        <x:v>4</x:v>
      </x:c>
      <x:c r="M270" s="16" t="n">
        <x:v>5</x:v>
      </x:c>
      <x:c r="N270" s="16" t="n">
        <x:v>5</x:v>
      </x:c>
      <x:c r="O270" s="16" t="n">
        <x:v>5</x:v>
      </x:c>
      <x:c r="P270" s="16" t="n">
        <x:f>IF(COUNT(I270:O270)&lt;7,"",I270*8+J270*3+K270*2+L270*2+M270*2+N270*2+O270)</x:f>
        <x:v>66</x:v>
      </x:c>
      <x:c r="Q270" s="16" t="n">
        <x:f>IF(COUNT(J270:O270)&lt;6,"",J270*5+K270*4+M270*4+L270*3+N270*2+O270*2)</x:f>
        <x:v>97</x:v>
      </x:c>
      <x:c r="R270" s="14" t="str">
        <x:v>high</x:v>
      </x:c>
      <x:c r="S270" s="14" t="str">
        <x:v>google_index_verified_2026-08-24</x:v>
      </x:c>
      <x:c r="T270" s="14" t="str">
        <x:v>indexed_official_service_page</x:v>
      </x:c>
      <x:c r="U270" s="14" t="str">
        <x:v>Новий — не контактували</x:v>
      </x:c>
      <x:c r="V270" s="15" t="str">
        <x:v>2-тижневий discovery: запросити вимоги 1 активного проєкту + 1 знеособлений артефакт</x:v>
      </x:c>
      <x:c r="W270" s="15" t="str">
        <x:v>Власник / директор; керівник проєктів; ПТО / контроль якості</x:v>
      </x:c>
      <x:c r="X270" s="15" t="str">
        <x:v>Реконструкція і хімзахист конструкцій. Пошуковий результат веде на індексовану сторінку корпоративного домену: Відновлення будівельних конструкцій — BauExpert.</x:v>
      </x:c>
      <x:c r="Y270" s="15" t="str">
        <x:v>Підготовка основи, ін'єкції, армування, торкрет і захисні шари стають невидимими та потребують фото й актів.</x:v>
      </x:c>
      <x:c r="Z270" s="15" t="str">
        <x:v>https://bauexpert.ua/nashi-poslugy/vidnovlennya-ta-himzahyst-budivelnyh-konstrukczij/</x:v>
      </x:c>
      <x:c r="AA270" s="14" t="str"/>
      <x:c r="AB270" s="14" t="str">
        <x:v>2026-08-24</x:v>
      </x:c>
      <x:c r="AC270" s="14" t="str">
        <x:v>Олександр</x:v>
      </x:c>
      <x:c r="AD270" s="20" t="str"/>
      <x:c r="AE270" s="14" t="str"/>
      <x:c r="AF270" s="14" t="n">
        <x:v>0</x:v>
      </x:c>
      <x:c r="AG270" s="14" t="str">
        <x:v>—</x:v>
      </x:c>
      <x:c r="AH270" s="14" t="n">
        <x:v>0</x:v>
      </x:c>
      <x:c r="AI270" s="14" t="n">
        <x:v>0</x:v>
      </x:c>
      <x:c r="AJ270" s="18" t="n">
        <x:v>0</x:v>
      </x:c>
      <x:c r="AK270" s="14" t="str"/>
      <x:c r="AL270" s="19" t="str"/>
      <x:c r="AM270" s="19" t="str"/>
      <x:c r="AN270" s="15" t="str"/>
      <x:c r="AO270" s="15" t="str">
        <x:v>google_index_verified_2026-08-24</x:v>
      </x:c>
    </x:row>
    <x:row r="271">
      <x:c r="A271" s="14" t="str">
        <x:v>W2-102</x:v>
      </x:c>
      <x:c r="B271" s="14" t="str">
        <x:v>Проєктний сигнал — 24.08</x:v>
      </x:c>
      <x:c r="C271" s="14" t="str">
        <x:v>TEKNOSEL</x:v>
      </x:c>
      <x:c r="D271" s="14" t="str">
        <x:v>Підсилення та ремонт бетону</x:v>
      </x:c>
      <x:c r="E271" s="14" t="str">
        <x:v>Expansion discovery</x:v>
      </x:c>
      <x:c r="F271" s="17" t="str">
        <x:f>IF(E271="Pilot now",IF(P271&gt;=84,"P1",IF(P271&gt;=72,"P2","P3")),IF(E271="Expansion discovery",IF(Q271&gt;=88,"D1",IF(Q271&gt;=78,"D2","D3")),IF(E271="Later / requirements","L","Legacy")))</x:f>
        <x:v>D1</x:v>
      </x:c>
      <x:c r="G271" s="14" t="str">
        <x:v>teknosel.com.ua</x:v>
      </x:c>
      <x:c r="H271" s="14" t="str">
        <x:v>2-тижневий workflow discovery — потрібні вимоги одного проєкту</x:v>
      </x:c>
      <x:c r="I271" s="16" t="n">
        <x:v>1</x:v>
      </x:c>
      <x:c r="J271" s="16" t="n">
        <x:v>5</x:v>
      </x:c>
      <x:c r="K271" s="16" t="n">
        <x:v>5</x:v>
      </x:c>
      <x:c r="L271" s="16" t="n">
        <x:v>4</x:v>
      </x:c>
      <x:c r="M271" s="16" t="n">
        <x:v>5</x:v>
      </x:c>
      <x:c r="N271" s="16" t="n">
        <x:v>5</x:v>
      </x:c>
      <x:c r="O271" s="16" t="n">
        <x:v>4</x:v>
      </x:c>
      <x:c r="P271" s="16" t="n">
        <x:f>IF(COUNT(I271:O271)&lt;7,"",I271*8+J271*3+K271*2+L271*2+M271*2+N271*2+O271)</x:f>
        <x:v>65</x:v>
      </x:c>
      <x:c r="Q271" s="16" t="n">
        <x:f>IF(COUNT(J271:O271)&lt;6,"",J271*5+K271*4+M271*4+L271*3+N271*2+O271*2)</x:f>
        <x:v>95</x:v>
      </x:c>
      <x:c r="R271" s="14" t="str">
        <x:v>medium</x:v>
      </x:c>
      <x:c r="S271" s="14" t="str">
        <x:v>google_index_verified_manual_check_2026-08-24</x:v>
      </x:c>
      <x:c r="T271" s="14" t="str">
        <x:v>indexed_official_page_manual_check</x:v>
      </x:c>
      <x:c r="U271" s="14" t="str">
        <x:v>Новий — не контактували</x:v>
      </x:c>
      <x:c r="V271" s="15" t="str">
        <x:v>2-тижневий discovery: запросити вимоги 1 активного проєкту + 1 знеособлений артефакт</x:v>
      </x:c>
      <x:c r="W271" s="15" t="str">
        <x:v>Власник / директор; керівник проєктів; ПТО / контроль якості</x:v>
      </x:c>
      <x:c r="X271" s="15" t="str">
        <x:v>Ремонт і захист бетону. Пошуковий результат веде на індексовану сторінку корпоративного домену: TEKNOSEL.</x:v>
      </x:c>
      <x:c r="Y271" s="15" t="str">
        <x:v>Підготовка основи, ін'єкції, армування, торкрет і захисні шари стають невидимими та потребують фото й актів.</x:v>
      </x:c>
      <x:c r="Z271" s="15" t="str">
        <x:v>https://www.teknosel.com.ua/ua/</x:v>
      </x:c>
      <x:c r="AA271" s="14" t="str"/>
      <x:c r="AB271" s="14" t="str">
        <x:v>2026-08-24</x:v>
      </x:c>
      <x:c r="AC271" s="14" t="str">
        <x:v>Олександр</x:v>
      </x:c>
      <x:c r="AD271" s="20" t="str"/>
      <x:c r="AE271" s="14" t="str"/>
      <x:c r="AF271" s="14" t="n">
        <x:v>0</x:v>
      </x:c>
      <x:c r="AG271" s="14" t="str">
        <x:v>—</x:v>
      </x:c>
      <x:c r="AH271" s="14" t="n">
        <x:v>0</x:v>
      </x:c>
      <x:c r="AI271" s="14" t="n">
        <x:v>0</x:v>
      </x:c>
      <x:c r="AJ271" s="18" t="n">
        <x:v>0</x:v>
      </x:c>
      <x:c r="AK271" s="14" t="str"/>
      <x:c r="AL271" s="19" t="str"/>
      <x:c r="AM271" s="19" t="str"/>
      <x:c r="AN271" s="15" t="str"/>
      <x:c r="AO271" s="15" t="str">
        <x:v>google_index_verified_manual_check_2026-08-24</x:v>
      </x:c>
    </x:row>
    <x:row r="272">
      <x:c r="A272" s="14" t="str">
        <x:v>W2-103</x:v>
      </x:c>
      <x:c r="B272" s="14" t="str">
        <x:v>Проєктний сигнал — 24.08</x:v>
      </x:c>
      <x:c r="C272" s="14" t="str">
        <x:v>CGIP</x:v>
      </x:c>
      <x:c r="D272" s="14" t="str">
        <x:v>Підсилення та ремонт бетону</x:v>
      </x:c>
      <x:c r="E272" s="14" t="str">
        <x:v>Expansion discovery</x:v>
      </x:c>
      <x:c r="F272" s="17" t="str">
        <x:f>IF(E272="Pilot now",IF(P272&gt;=84,"P1",IF(P272&gt;=72,"P2","P3")),IF(E272="Expansion discovery",IF(Q272&gt;=88,"D1",IF(Q272&gt;=78,"D2","D3")),IF(E272="Later / requirements","L","Legacy")))</x:f>
        <x:v>D1</x:v>
      </x:c>
      <x:c r="G272" s="14" t="str">
        <x:v>cgip.com.ua</x:v>
      </x:c>
      <x:c r="H272" s="14" t="str">
        <x:v>2-тижневий workflow discovery — потрібні вимоги одного проєкту</x:v>
      </x:c>
      <x:c r="I272" s="16" t="n">
        <x:v>1</x:v>
      </x:c>
      <x:c r="J272" s="16" t="n">
        <x:v>5</x:v>
      </x:c>
      <x:c r="K272" s="16" t="n">
        <x:v>5</x:v>
      </x:c>
      <x:c r="L272" s="16" t="n">
        <x:v>4</x:v>
      </x:c>
      <x:c r="M272" s="16" t="n">
        <x:v>5</x:v>
      </x:c>
      <x:c r="N272" s="16" t="n">
        <x:v>5</x:v>
      </x:c>
      <x:c r="O272" s="16" t="n">
        <x:v>5</x:v>
      </x:c>
      <x:c r="P272" s="16" t="n">
        <x:f>IF(COUNT(I272:O272)&lt;7,"",I272*8+J272*3+K272*2+L272*2+M272*2+N272*2+O272)</x:f>
        <x:v>66</x:v>
      </x:c>
      <x:c r="Q272" s="16" t="n">
        <x:f>IF(COUNT(J272:O272)&lt;6,"",J272*5+K272*4+M272*4+L272*3+N272*2+O272*2)</x:f>
        <x:v>97</x:v>
      </x:c>
      <x:c r="R272" s="14" t="str">
        <x:v>high</x:v>
      </x:c>
      <x:c r="S272" s="14" t="str">
        <x:v>google_index_verified_2026-08-24</x:v>
      </x:c>
      <x:c r="T272" s="14" t="str">
        <x:v>indexed_official_service_page</x:v>
      </x:c>
      <x:c r="U272" s="14" t="str">
        <x:v>Новий — не контактували</x:v>
      </x:c>
      <x:c r="V272" s="15" t="str">
        <x:v>2-тижневий discovery: запросити вимоги 1 активного проєкту + 1 знеособлений артефакт</x:v>
      </x:c>
      <x:c r="W272" s="15" t="str">
        <x:v>Власник / директор; керівник проєктів; ПТО / контроль якості</x:v>
      </x:c>
      <x:c r="X272" s="15" t="str">
        <x:v>Підсилення конструкцій. Пошуковий результат веде на індексовану сторінку корпоративного домену: Укріплення конструкцій — CGIP.</x:v>
      </x:c>
      <x:c r="Y272" s="15" t="str">
        <x:v>Підготовка основи, ін'єкції, армування, торкрет і захисні шари стають невидимими та потребують фото й актів.</x:v>
      </x:c>
      <x:c r="Z272" s="15" t="str">
        <x:v>https://cgip.com.ua/ukriplennya/</x:v>
      </x:c>
      <x:c r="AA272" s="14" t="str"/>
      <x:c r="AB272" s="14" t="str">
        <x:v>2026-08-24</x:v>
      </x:c>
      <x:c r="AC272" s="14" t="str">
        <x:v>Олександр</x:v>
      </x:c>
      <x:c r="AD272" s="20" t="str"/>
      <x:c r="AE272" s="14" t="str"/>
      <x:c r="AF272" s="14" t="n">
        <x:v>0</x:v>
      </x:c>
      <x:c r="AG272" s="14" t="str">
        <x:v>—</x:v>
      </x:c>
      <x:c r="AH272" s="14" t="n">
        <x:v>0</x:v>
      </x:c>
      <x:c r="AI272" s="14" t="n">
        <x:v>0</x:v>
      </x:c>
      <x:c r="AJ272" s="18" t="n">
        <x:v>0</x:v>
      </x:c>
      <x:c r="AK272" s="14" t="str"/>
      <x:c r="AL272" s="19" t="str"/>
      <x:c r="AM272" s="19" t="str"/>
      <x:c r="AN272" s="15" t="str"/>
      <x:c r="AO272" s="15" t="str">
        <x:v>google_index_verified_2026-08-24</x:v>
      </x:c>
    </x:row>
    <x:row r="273">
      <x:c r="A273" s="14" t="str">
        <x:v>W3-001</x:v>
      </x:c>
      <x:c r="B273" s="14" t="str">
        <x:v>Prozorro winners — 24.08</x:v>
      </x:c>
      <x:c r="C273" s="14" t="str">
        <x:v>ТОВАРИСТВО З ОБМЕЖЕНОЮ ВІДПОВІДАЛЬНІСТЮ "АВТО-М"</x:v>
      </x:c>
      <x:c r="D273" s="14" t="str">
        <x:v>ГНБ / безтраншейні роботи</x:v>
      </x:c>
      <x:c r="E273" s="14" t="str">
        <x:v>Expansion discovery</x:v>
      </x:c>
      <x:c r="F273" s="17" t="str">
        <x:f>IF(E273="Pilot now",IF(P273&gt;=84,"P1",IF(P273&gt;=72,"P2","P3")),IF(E273="Expansion discovery",IF(Q273&gt;=88,"D1",IF(Q273&gt;=78,"D2","D3")),IF(E273="Later / requirements","L","Legacy")))</x:f>
        <x:v>D1</x:v>
      </x:c>
      <x:c r="G273" s="14" t="str">
        <x:v>avto-m.zp.ua</x:v>
      </x:c>
      <x:c r="H273" s="14" t="str">
        <x:v>Discovery розширення — 2 тижні</x:v>
      </x:c>
      <x:c r="I273" s="16" t="n">
        <x:v>1</x:v>
      </x:c>
      <x:c r="J273" s="16" t="n">
        <x:v>5</x:v>
      </x:c>
      <x:c r="K273" s="16" t="n">
        <x:v>4</x:v>
      </x:c>
      <x:c r="L273" s="16" t="n">
        <x:v>5</x:v>
      </x:c>
      <x:c r="M273" s="16" t="n">
        <x:v>5</x:v>
      </x:c>
      <x:c r="N273" s="16" t="n">
        <x:v>5</x:v>
      </x:c>
      <x:c r="O273" s="16" t="n">
        <x:v>5</x:v>
      </x:c>
      <x:c r="P273" s="16" t="n">
        <x:f>IF(COUNT(I273:O273)&lt;7,"",I273*8+J273*3+K273*2+L273*2+M273*2+N273*2+O273)</x:f>
        <x:v>66</x:v>
      </x:c>
      <x:c r="Q273" s="16" t="n">
        <x:f>IF(COUNT(J273:O273)&lt;6,"",J273*5+K273*4+M273*4+L273*3+N273*2+O273*2)</x:f>
        <x:v>96</x:v>
      </x:c>
      <x:c r="R273" s="14" t="str">
        <x:v>high</x:v>
      </x:c>
      <x:c r="S273" s="14" t="str">
        <x:v>official_prozorro_award_2025_2026</x:v>
      </x:c>
      <x:c r="T273" s="14" t="str">
        <x:v>official_prozorro_api</x:v>
      </x:c>
      <x:c r="U273" s="14" t="str">
        <x:v>Не контактували</x:v>
      </x:c>
      <x:c r="V273" s="15" t="str">
        <x:v>Workflow-audit outreach по UA-2026-07-01-004063-a; попросити 1 пакет здачі та вимоги проєкту</x:v>
      </x:c>
      <x:c r="W273" s="15" t="str">
        <x:v>Власник / директор; керівник ПТО; відповідальний за договори</x:v>
      </x:c>
      <x:c r="X273" s="15" t="str">
        <x:v>5 підтверджених перемог/договорів у Prozorro на 29 630 741 грн; 5 проєктів зі строком виконання не раніше 24.08.2026.</x:v>
      </x:c>
      <x:c r="Y273" s="15" t="str">
        <x:v>26П-299_45230000-8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(ЛОТ №1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Харківської, Полтавської та Дніпропетровської областей)); (ЛОТ №2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Львівської та Івано-Франківської областей)); строк до 2027-12-31. Попросити один знеособлений пакет здачі за цим workflow.</x:v>
      </x:c>
      <x:c r="Z273" s="15" t="str">
        <x:v>https://prozorro.gov.ua/tender/UA-2026-07-01-004063-a</x:v>
      </x:c>
      <x:c r="AA273" s="14" t="str">
        <x:v>31575976</x:v>
      </x:c>
      <x:c r="AB273" s="14" t="str">
        <x:v>2026-08-24</x:v>
      </x:c>
      <x:c r="AC273" s="14" t="str"/>
      <x:c r="AD273" s="20" t="str"/>
      <x:c r="AE273" s="14" t="str"/>
      <x:c r="AF273" s="14" t="n">
        <x:v>96</x:v>
      </x:c>
      <x:c r="AG273" s="14" t="str">
        <x:v>I1</x:v>
      </x:c>
      <x:c r="AH273" s="14" t="n">
        <x:v>5</x:v>
      </x:c>
      <x:c r="AI273" s="14" t="n">
        <x:v>5</x:v>
      </x:c>
      <x:c r="AJ273" s="18" t="n">
        <x:v>29630740.7</x:v>
      </x:c>
      <x:c r="AK273" s="14" t="str">
        <x:v>https://prozorro.gov.ua/tender/UA-2026-07-01-004063-a</x:v>
      </x:c>
      <x:c r="AL273" s="19" t="n">
        <x:v>46239.296201655096</x:v>
      </x:c>
      <x:c r="AM273" s="19" t="n">
        <x:v>46752</x:v>
      </x:c>
      <x:c r="AN273" s="15" t="str">
        <x:v>ГНБ / безтраншейні роботи; Теплові мережі</x:v>
      </x:c>
      <x:c r="AO273" s="15" t="str">
        <x:v>verified_live_2026-08-24</x:v>
      </x:c>
    </x:row>
    <x:row r="274">
      <x:c r="A274" s="14" t="str">
        <x:v>W3-002</x:v>
      </x:c>
      <x:c r="B274" s="14" t="str">
        <x:v>Prozorro winners — 24.08</x:v>
      </x:c>
      <x:c r="C274" s="14" t="str">
        <x:v>ТОВАРИСТВО З ОБМЕЖЕНОЮ ВІДПОВІДАЛЬНІСТЮ "ХАРБОР ЕНЕРДЖИ"</x:v>
      </x:c>
      <x:c r="D274" s="14" t="str">
        <x:v>Теплові мережі</x:v>
      </x:c>
      <x:c r="E274" s="14" t="str">
        <x:v>Expansion discovery</x:v>
      </x:c>
      <x:c r="F274" s="17" t="str">
        <x:f>IF(E274="Pilot now",IF(P274&gt;=84,"P1",IF(P274&gt;=72,"P2","P3")),IF(E274="Expansion discovery",IF(Q274&gt;=88,"D1",IF(Q274&gt;=78,"D2","D3")),IF(E274="Later / requirements","L","Legacy")))</x:f>
        <x:v>D1</x:v>
      </x:c>
      <x:c r="G274" s="14" t="str">
        <x:v>harborenergy.org</x:v>
      </x:c>
      <x:c r="H274" s="14" t="str">
        <x:v>Discovery розширення — 2 тижні</x:v>
      </x:c>
      <x:c r="I274" s="16" t="n">
        <x:v>1</x:v>
      </x:c>
      <x:c r="J274" s="16" t="n">
        <x:v>5</x:v>
      </x:c>
      <x:c r="K274" s="16" t="n">
        <x:v>4</x:v>
      </x:c>
      <x:c r="L274" s="16" t="n">
        <x:v>5</x:v>
      </x:c>
      <x:c r="M274" s="16" t="n">
        <x:v>5</x:v>
      </x:c>
      <x:c r="N274" s="16" t="n">
        <x:v>5</x:v>
      </x:c>
      <x:c r="O274" s="16" t="n">
        <x:v>5</x:v>
      </x:c>
      <x:c r="P274" s="16" t="n">
        <x:f>IF(COUNT(I274:O274)&lt;7,"",I274*8+J274*3+K274*2+L274*2+M274*2+N274*2+O274)</x:f>
        <x:v>66</x:v>
      </x:c>
      <x:c r="Q274" s="16" t="n">
        <x:f>IF(COUNT(J274:O274)&lt;6,"",J274*5+K274*4+M274*4+L274*3+N274*2+O274*2)</x:f>
        <x:v>96</x:v>
      </x:c>
      <x:c r="R274" s="14" t="str">
        <x:v>high</x:v>
      </x:c>
      <x:c r="S274" s="14" t="str">
        <x:v>official_prozorro_award_2025_2026</x:v>
      </x:c>
      <x:c r="T274" s="14" t="str">
        <x:v>official_prozorro_api</x:v>
      </x:c>
      <x:c r="U274" s="14" t="str">
        <x:v>Не контактували</x:v>
      </x:c>
      <x:c r="V274" s="15" t="str">
        <x:v>Workflow-audit outreach по UA-2026-08-10-011447-a; попросити 1 пакет здачі та вимоги проєкту</x:v>
      </x:c>
      <x:c r="W274" s="15" t="str">
        <x:v>Власник / директор; керівник ПТО; відповідальний за договори</x:v>
      </x:c>
      <x:c r="X274" s="15" t="str">
        <x:v>14 підтверджених перемог/договорів у Prozorro на 230 882 040 грн; 14 проєктів зі строком виконання не раніше 24.08.2026.</x:v>
      </x:c>
      <x:c r="Y274" s="15" t="str">
        <x:v>Реконструкція теплових мереж зі встановленням резервного теплогенеруючого обладнання (блочно-модульної котельні) біля існуючого центрального теплового пункту у місті Суми по вул. *****; строк до 2026-10-31. Попросити один знеособлений пакет здачі за цим workflow.</x:v>
      </x:c>
      <x:c r="Z274" s="15" t="str">
        <x:v>https://prozorro.gov.ua/tender/UA-2026-08-10-011447-a</x:v>
      </x:c>
      <x:c r="AA274" s="14" t="str">
        <x:v>41705516</x:v>
      </x:c>
      <x:c r="AB274" s="14" t="str">
        <x:v>2026-08-24</x:v>
      </x:c>
      <x:c r="AC274" s="14" t="str"/>
      <x:c r="AD274" s="20" t="str"/>
      <x:c r="AE274" s="14" t="str"/>
      <x:c r="AF274" s="14" t="n">
        <x:v>93</x:v>
      </x:c>
      <x:c r="AG274" s="14" t="str">
        <x:v>I1</x:v>
      </x:c>
      <x:c r="AH274" s="14" t="n">
        <x:v>14</x:v>
      </x:c>
      <x:c r="AI274" s="14" t="n">
        <x:v>14</x:v>
      </x:c>
      <x:c r="AJ274" s="18" t="n">
        <x:v>230882039.99</x:v>
      </x:c>
      <x:c r="AK274" s="14" t="str">
        <x:v>https://prozorro.gov.ua/tender/UA-2026-08-10-011447-a</x:v>
      </x:c>
      <x:c r="AL274" s="19" t="n">
        <x:v>46244.620553125</x:v>
      </x:c>
      <x:c r="AM274" s="19" t="n">
        <x:v>46326</x:v>
      </x:c>
      <x:c r="AN274" s="15" t="str">
        <x:v>Теплові мережі</x:v>
      </x:c>
      <x:c r="AO274" s="15" t="str">
        <x:v>verified_live_2026-08-24</x:v>
      </x:c>
    </x:row>
    <x:row r="275">
      <x:c r="A275" s="14" t="str">
        <x:v>W3-003</x:v>
      </x:c>
      <x:c r="B275" s="14" t="str">
        <x:v>Prozorro winners — 24.08</x:v>
      </x:c>
      <x:c r="C275" s="14" t="str">
        <x:v>ТОВАРИСТВО З ОБМЕЖЕНОЮ ВІДПОВІДАЛЬНІСТЮ "КОМПАНІЯ "ТАРВОС"</x:v>
      </x:c>
      <x:c r="D275" s="14" t="str">
        <x:v>Теплові мережі</x:v>
      </x:c>
      <x:c r="E275" s="14" t="str">
        <x:v>Expansion discovery</x:v>
      </x:c>
      <x:c r="F275" s="17" t="str">
        <x:f>IF(E275="Pilot now",IF(P275&gt;=84,"P1",IF(P275&gt;=72,"P2","P3")),IF(E275="Expansion discovery",IF(Q275&gt;=88,"D1",IF(Q275&gt;=78,"D2","D3")),IF(E275="Later / requirements","L","Legacy")))</x:f>
        <x:v>D1</x:v>
      </x:c>
      <x:c r="G275" s="14" t="str"/>
      <x:c r="H275" s="14" t="str">
        <x:v>Discovery розширення — 2 тижні</x:v>
      </x:c>
      <x:c r="I275" s="16" t="n">
        <x:v>1</x:v>
      </x:c>
      <x:c r="J275" s="16" t="n">
        <x:v>5</x:v>
      </x:c>
      <x:c r="K275" s="16" t="n">
        <x:v>4</x:v>
      </x:c>
      <x:c r="L275" s="16" t="n">
        <x:v>5</x:v>
      </x:c>
      <x:c r="M275" s="16" t="n">
        <x:v>5</x:v>
      </x:c>
      <x:c r="N275" s="16" t="n">
        <x:v>5</x:v>
      </x:c>
      <x:c r="O275" s="16" t="n">
        <x:v>5</x:v>
      </x:c>
      <x:c r="P275" s="16" t="n">
        <x:f>IF(COUNT(I275:O275)&lt;7,"",I275*8+J275*3+K275*2+L275*2+M275*2+N275*2+O275)</x:f>
        <x:v>66</x:v>
      </x:c>
      <x:c r="Q275" s="16" t="n">
        <x:f>IF(COUNT(J275:O275)&lt;6,"",J275*5+K275*4+M275*4+L275*3+N275*2+O275*2)</x:f>
        <x:v>96</x:v>
      </x:c>
      <x:c r="R275" s="14" t="str">
        <x:v>high</x:v>
      </x:c>
      <x:c r="S275" s="14" t="str">
        <x:v>official_prozorro_award_2025_2026</x:v>
      </x:c>
      <x:c r="T275" s="14" t="str">
        <x:v>official_prozorro_api</x:v>
      </x:c>
      <x:c r="U275" s="14" t="str">
        <x:v>Не контактували</x:v>
      </x:c>
      <x:c r="V275" s="15" t="str">
        <x:v>Workflow-audit outreach по UA-2026-08-20-006967-a; попросити 1 пакет здачі та вимоги проєкту</x:v>
      </x:c>
      <x:c r="W275" s="15" t="str">
        <x:v>Власник / директор; керівник ПТО; відповідальний за договори</x:v>
      </x:c>
      <x:c r="X275" s="15" t="str">
        <x:v>10 підтверджених перемог/договорів у Prozorro на 41 343 329 грн; 10 проєктів зі строком виконання не раніше 24.08.2026.</x:v>
      </x:c>
      <x:c r="Y275" s="15" t="str">
        <x:v> ДК 021:2015 - 45454000-4 – Реконструкція. Реконструкція  об'єкту КП "Харківські теплові мережі" шляхом встановлення КГУ за адресою: м.Харків, ****. Відновлення асфальтобетонного покриття після укладання кабельних мереж.; строк до 2026-09-30. Попросити один знеособлений пакет здачі за цим workflow.</x:v>
      </x:c>
      <x:c r="Z275" s="15" t="str">
        <x:v>https://prozorro.gov.ua/tender/UA-2026-08-20-006967-a</x:v>
      </x:c>
      <x:c r="AA275" s="14" t="str">
        <x:v>43136131</x:v>
      </x:c>
      <x:c r="AB275" s="14" t="str">
        <x:v>2026-08-24</x:v>
      </x:c>
      <x:c r="AC275" s="14" t="str"/>
      <x:c r="AD275" s="20" t="str"/>
      <x:c r="AE275" s="14" t="str"/>
      <x:c r="AF275" s="14" t="n">
        <x:v>93</x:v>
      </x:c>
      <x:c r="AG275" s="14" t="str">
        <x:v>I1</x:v>
      </x:c>
      <x:c r="AH275" s="14" t="n">
        <x:v>10</x:v>
      </x:c>
      <x:c r="AI275" s="14" t="n">
        <x:v>10</x:v>
      </x:c>
      <x:c r="AJ275" s="18" t="n">
        <x:v>41343329.47</x:v>
      </x:c>
      <x:c r="AK275" s="14" t="str">
        <x:v>https://prozorro.gov.ua/tender/UA-2026-08-20-006967-a</x:v>
      </x:c>
      <x:c r="AL275" s="19" t="n">
        <x:v>46254.450083090276</x:v>
      </x:c>
      <x:c r="AM275" s="19" t="n">
        <x:v>46295</x:v>
      </x:c>
      <x:c r="AN275" s="15" t="str">
        <x:v>Теплові мережі</x:v>
      </x:c>
      <x:c r="AO275" s="15" t="str">
        <x:v>not_found_in_top_search</x:v>
      </x:c>
    </x:row>
    <x:row r="276">
      <x:c r="A276" s="14" t="str">
        <x:v>W3-004</x:v>
      </x:c>
      <x:c r="B276" s="14" t="str">
        <x:v>Prozorro winners — 24.08</x:v>
      </x:c>
      <x:c r="C276" s="14" t="str">
        <x:v>ТОВАРИСТВО З ОБМЕЖЕНОЮ ВІДПОВІДАЛЬНІСТЮ "ДКС ЕЛЕКТРИК"</x:v>
      </x:c>
      <x:c r="D276" s="14" t="str">
        <x:v>ГНБ / безтраншейні роботи</x:v>
      </x:c>
      <x:c r="E276" s="14" t="str">
        <x:v>Expansion discovery</x:v>
      </x:c>
      <x:c r="F276" s="17" t="str">
        <x:f>IF(E276="Pilot now",IF(P276&gt;=84,"P1",IF(P276&gt;=72,"P2","P3")),IF(E276="Expansion discovery",IF(Q276&gt;=88,"D1",IF(Q276&gt;=78,"D2","D3")),IF(E276="Later / requirements","L","Legacy")))</x:f>
        <x:v>D1</x:v>
      </x:c>
      <x:c r="G276" s="14" t="str">
        <x:v>dkselektrik.com.ua</x:v>
      </x:c>
      <x:c r="H276" s="14" t="str">
        <x:v>Discovery розширення — 2 тижні</x:v>
      </x:c>
      <x:c r="I276" s="16" t="n">
        <x:v>1</x:v>
      </x:c>
      <x:c r="J276" s="16" t="n">
        <x:v>5</x:v>
      </x:c>
      <x:c r="K276" s="16" t="n">
        <x:v>4</x:v>
      </x:c>
      <x:c r="L276" s="16" t="n">
        <x:v>4</x:v>
      </x:c>
      <x:c r="M276" s="16" t="n">
        <x:v>5</x:v>
      </x:c>
      <x:c r="N276" s="16" t="n">
        <x:v>5</x:v>
      </x:c>
      <x:c r="O276" s="16" t="n">
        <x:v>5</x:v>
      </x:c>
      <x:c r="P276" s="16" t="n">
        <x:f>IF(COUNT(I276:O276)&lt;7,"",I276*8+J276*3+K276*2+L276*2+M276*2+N276*2+O276)</x:f>
        <x:v>64</x:v>
      </x:c>
      <x:c r="Q276" s="16" t="n">
        <x:f>IF(COUNT(J276:O276)&lt;6,"",J276*5+K276*4+M276*4+L276*3+N276*2+O276*2)</x:f>
        <x:v>93</x:v>
      </x:c>
      <x:c r="R276" s="14" t="str">
        <x:v>high</x:v>
      </x:c>
      <x:c r="S276" s="14" t="str">
        <x:v>official_prozorro_award_2025_2026</x:v>
      </x:c>
      <x:c r="T276" s="14" t="str">
        <x:v>official_prozorro_api</x:v>
      </x:c>
      <x:c r="U276" s="14" t="str">
        <x:v>Не контактували</x:v>
      </x:c>
      <x:c r="V276" s="15" t="str">
        <x:v>Workflow-audit outreach по UA-2026-07-13-010930-a; попросити 1 пакет здачі та вимоги проєкту</x:v>
      </x:c>
      <x:c r="W276" s="15" t="str">
        <x:v>Власник / директор; керівник ПТО; відповідальний за договори</x:v>
      </x:c>
      <x:c r="X276" s="15" t="str">
        <x:v>8 підтверджених перемог/договорів у Prozorro на 7 146 843 грн; 5 проєктів зі строком виконання не раніше 24.08.2026.</x:v>
      </x:c>
      <x:c r="Y276" s="15" t="str">
        <x:v>Реконструкція підвищувальної водопровідної насосної станції III підйому КП ПОР «ПОЛТАВАВОДОКАНАЛ» за адресою: Полтавська область, м. Полтава, вул. Ю. Кондратюка, 17 (ТП-68А) в частині влаштування резервних мереж електропостачання 0,4кВ; строк до 2026-12-31. Попросити один знеособлений пакет здачі за цим workflow.</x:v>
      </x:c>
      <x:c r="Z276" s="15" t="str">
        <x:v>https://prozorro.gov.ua/tender/UA-2026-07-13-010930-a</x:v>
      </x:c>
      <x:c r="AA276" s="14" t="str">
        <x:v>38324272</x:v>
      </x:c>
      <x:c r="AB276" s="14" t="str">
        <x:v>2026-08-24</x:v>
      </x:c>
      <x:c r="AC276" s="14" t="str"/>
      <x:c r="AD276" s="20" t="str"/>
      <x:c r="AE276" s="14" t="str"/>
      <x:c r="AF276" s="14" t="n">
        <x:v>92</x:v>
      </x:c>
      <x:c r="AG276" s="14" t="str">
        <x:v>I1</x:v>
      </x:c>
      <x:c r="AH276" s="14" t="n">
        <x:v>8</x:v>
      </x:c>
      <x:c r="AI276" s="14" t="n">
        <x:v>5</x:v>
      </x:c>
      <x:c r="AJ276" s="18" t="n">
        <x:v>7146842.64</x:v>
      </x:c>
      <x:c r="AK276" s="14" t="str">
        <x:v>https://prozorro.gov.ua/tender/UA-2026-07-13-010930-a</x:v>
      </x:c>
      <x:c r="AL276" s="19" t="n">
        <x:v>46237.27531953704</x:v>
      </x:c>
      <x:c r="AM276" s="19" t="n">
        <x:v>46387</x:v>
      </x:c>
      <x:c r="AN276" s="15" t="str">
        <x:v>ГНБ / безтраншейні роботи; Насосні станції</x:v>
      </x:c>
      <x:c r="AO276" s="15" t="str">
        <x:v>indexed_server_error_2026-08-24</x:v>
      </x:c>
    </x:row>
    <x:row r="277">
      <x:c r="A277" s="14" t="str">
        <x:v>W3-005</x:v>
      </x:c>
      <x:c r="B277" s="14" t="str">
        <x:v>Prozorro winners — 24.08</x:v>
      </x:c>
      <x:c r="C277" s="14" t="str">
        <x:v>ТОВАРИСТВО З ОБМЕЖЕНОЮ ВІДПОВІДАЛЬНІСТЮ "ФАСАД-СЕРВІС-БУД"</x:v>
      </x:c>
      <x:c r="D277" s="14" t="str">
        <x:v>Водоочищення / очисні споруди</x:v>
      </x:c>
      <x:c r="E277" s="14" t="str">
        <x:v>Expansion discovery</x:v>
      </x:c>
      <x:c r="F277" s="17" t="str">
        <x:f>IF(E277="Pilot now",IF(P277&gt;=84,"P1",IF(P277&gt;=72,"P2","P3")),IF(E277="Expansion discovery",IF(Q277&gt;=88,"D1",IF(Q277&gt;=78,"D2","D3")),IF(E277="Later / requirements","L","Legacy")))</x:f>
        <x:v>D1</x:v>
      </x:c>
      <x:c r="G277" s="14" t="str">
        <x:v>fasad-servis.com.ua</x:v>
      </x:c>
      <x:c r="H277" s="14" t="str">
        <x:v>Discovery розширення — 2 тижні</x:v>
      </x:c>
      <x:c r="I277" s="16" t="n">
        <x:v>1</x:v>
      </x:c>
      <x:c r="J277" s="16" t="n">
        <x:v>5</x:v>
      </x:c>
      <x:c r="K277" s="16" t="n">
        <x:v>4</x:v>
      </x:c>
      <x:c r="L277" s="16" t="n">
        <x:v>5</x:v>
      </x:c>
      <x:c r="M277" s="16" t="n">
        <x:v>5</x:v>
      </x:c>
      <x:c r="N277" s="16" t="n">
        <x:v>5</x:v>
      </x:c>
      <x:c r="O277" s="16" t="n">
        <x:v>5</x:v>
      </x:c>
      <x:c r="P277" s="16" t="n">
        <x:f>IF(COUNT(I277:O277)&lt;7,"",I277*8+J277*3+K277*2+L277*2+M277*2+N277*2+O277)</x:f>
        <x:v>66</x:v>
      </x:c>
      <x:c r="Q277" s="16" t="n">
        <x:f>IF(COUNT(J277:O277)&lt;6,"",J277*5+K277*4+M277*4+L277*3+N277*2+O277*2)</x:f>
        <x:v>96</x:v>
      </x:c>
      <x:c r="R277" s="14" t="str">
        <x:v>high</x:v>
      </x:c>
      <x:c r="S277" s="14" t="str">
        <x:v>official_prozorro_award_2025_2026</x:v>
      </x:c>
      <x:c r="T277" s="14" t="str">
        <x:v>official_prozorro_api</x:v>
      </x:c>
      <x:c r="U277" s="14" t="str">
        <x:v>Не контактували</x:v>
      </x:c>
      <x:c r="V277" s="15" t="str">
        <x:v>Workflow-audit outreach по UA-2026-06-26-011183-a; попросити 1 пакет здачі та вимоги проєкту</x:v>
      </x:c>
      <x:c r="W277" s="15" t="str">
        <x:v>Власник / директор; керівник ПТО; відповідальний за договори</x:v>
      </x:c>
      <x:c r="X277" s="15" t="str">
        <x:v>4 підтверджених перемог/договорів у Prozorro на 36 673 383 грн; 4 проєктів зі строком виконання не раніше 24.08.2026.</x:v>
      </x:c>
      <x:c r="Y277" s="15" t="str">
        <x:v>Реконструкція водопровідних очисних споруд з впровадженням системи автоматизованого дозування коагулянту КП «Броваритепловодоенергія» по вул. Металургів, 52 м. Бровари Броварського району Київської області   ; строк до 2027-12-31. Попросити один знеособлений пакет здачі за цим workflow.</x:v>
      </x:c>
      <x:c r="Z277" s="15" t="str">
        <x:v>https://prozorro.gov.ua/tender/UA-2026-06-26-011183-a</x:v>
      </x:c>
      <x:c r="AA277" s="14" t="str">
        <x:v>35379855</x:v>
      </x:c>
      <x:c r="AB277" s="14" t="str">
        <x:v>2026-08-24</x:v>
      </x:c>
      <x:c r="AC277" s="14" t="str"/>
      <x:c r="AD277" s="20" t="str"/>
      <x:c r="AE277" s="14" t="str"/>
      <x:c r="AF277" s="14" t="n">
        <x:v>90</x:v>
      </x:c>
      <x:c r="AG277" s="14" t="str">
        <x:v>I1</x:v>
      </x:c>
      <x:c r="AH277" s="14" t="n">
        <x:v>4</x:v>
      </x:c>
      <x:c r="AI277" s="14" t="n">
        <x:v>4</x:v>
      </x:c>
      <x:c r="AJ277" s="18" t="n">
        <x:v>36673383.12</x:v>
      </x:c>
      <x:c r="AK277" s="14" t="str">
        <x:v>https://prozorro.gov.ua/tender/UA-2026-06-26-011183-a</x:v>
      </x:c>
      <x:c r="AL277" s="19" t="n">
        <x:v>46199.58894462963</x:v>
      </x:c>
      <x:c r="AM277" s="19" t="n">
        <x:v>46752</x:v>
      </x:c>
      <x:c r="AN277" s="15" t="str">
        <x:v>Водоочищення / очисні споруди; Насосні станції</x:v>
      </x:c>
      <x:c r="AO277" s="15" t="str">
        <x:v>indexed_tls_error_2026-08-24</x:v>
      </x:c>
    </x:row>
    <x:row r="278">
      <x:c r="A278" s="14" t="str">
        <x:v>W3-006</x:v>
      </x:c>
      <x:c r="B278" s="14" t="str">
        <x:v>Prozorro winners — 24.08</x:v>
      </x:c>
      <x:c r="C278" s="14" t="str">
        <x:v>КОЛЕКТИВНЕ ПІДПРИЄМСТВО "ЕЛЕКТРОМОНТАЖНАЛАДКА"</x:v>
      </x:c>
      <x:c r="D278" s="14" t="str">
        <x:v>Електромонтаж</x:v>
      </x:c>
      <x:c r="E278" s="14" t="str">
        <x:v>Pilot now</x:v>
      </x:c>
      <x:c r="F278" s="17" t="str">
        <x:f>IF(E278="Pilot now",IF(P278&gt;=84,"P1",IF(P278&gt;=72,"P2","P3")),IF(E278="Expansion discovery",IF(Q278&gt;=88,"D1",IF(Q278&gt;=78,"D2","D3")),IF(E278="Later / requirements","L","Legacy")))</x:f>
        <x:v>P1</x:v>
      </x:c>
      <x:c r="G278" s="14" t="str"/>
      <x:c r="H278" s="14" t="str">
        <x:v>Пілот зараз — Н.15</x:v>
      </x:c>
      <x:c r="I278" s="16" t="n">
        <x:v>5</x:v>
      </x:c>
      <x:c r="J278" s="16" t="n">
        <x:v>5</x:v>
      </x:c>
      <x:c r="K278" s="16" t="n">
        <x:v>5</x:v>
      </x:c>
      <x:c r="L278" s="16" t="n">
        <x:v>4</x:v>
      </x:c>
      <x:c r="M278" s="16" t="n">
        <x:v>5</x:v>
      </x:c>
      <x:c r="N278" s="16" t="n">
        <x:v>5</x:v>
      </x:c>
      <x:c r="O278" s="16" t="n">
        <x:v>5</x:v>
      </x:c>
      <x:c r="P278" s="16" t="n">
        <x:f>IF(COUNT(I278:O278)&lt;7,"",I278*8+J278*3+K278*2+L278*2+M278*2+N278*2+O278)</x:f>
        <x:v>98</x:v>
      </x:c>
      <x:c r="Q278" s="16" t="n">
        <x:f>IF(COUNT(J278:O278)&lt;6,"",J278*5+K278*4+M278*4+L278*3+N278*2+O278*2)</x:f>
        <x:v>97</x:v>
      </x:c>
      <x:c r="R278" s="14" t="str">
        <x:v>high</x:v>
      </x:c>
      <x:c r="S278" s="14" t="str">
        <x:v>official_prozorro_award_2025_2026</x:v>
      </x:c>
      <x:c r="T278" s="14" t="str">
        <x:v>official_prozorro_api</x:v>
      </x:c>
      <x:c r="U278" s="14" t="str">
        <x:v>Не контактували</x:v>
      </x:c>
      <x:c r="V278" s="15" t="str">
        <x:v>Персоналізований free-pilot outreach по UA-2026-07-27-006674-a; попросити 1 пакет Н.14/Н.15</x:v>
      </x:c>
      <x:c r="W278" s="15" t="str">
        <x:v>Власник / директор; керівник ПТО; відповідальний за договори</x:v>
      </x:c>
      <x:c r="X278" s="15" t="str">
        <x:v>5 підтверджених перемог/договорів у Prozorro на 3 013 969 грн; 5 проєктів зі строком виконання не раніше 24.08.2026.</x:v>
      </x:c>
      <x:c r="Y278" s="15" t="str">
        <x:v>Електромонтажні роботи; строк до 2026-12-31. Попросити один знеособлений пакет здачі за цим workflow.</x:v>
      </x:c>
      <x:c r="Z278" s="15" t="str">
        <x:v>https://prozorro.gov.ua/tender/UA-2026-07-27-006674-a</x:v>
      </x:c>
      <x:c r="AA278" s="14" t="str">
        <x:v>04847816</x:v>
      </x:c>
      <x:c r="AB278" s="14" t="str">
        <x:v>2026-08-24</x:v>
      </x:c>
      <x:c r="AC278" s="14" t="str"/>
      <x:c r="AD278" s="20" t="str"/>
      <x:c r="AE278" s="14" t="str"/>
      <x:c r="AF278" s="14" t="n">
        <x:v>89</x:v>
      </x:c>
      <x:c r="AG278" s="14" t="str">
        <x:v>I1</x:v>
      </x:c>
      <x:c r="AH278" s="14" t="n">
        <x:v>5</x:v>
      </x:c>
      <x:c r="AI278" s="14" t="n">
        <x:v>5</x:v>
      </x:c>
      <x:c r="AJ278" s="18" t="n">
        <x:v>3013969.46</x:v>
      </x:c>
      <x:c r="AK278" s="14" t="str">
        <x:v>https://prozorro.gov.ua/tender/UA-2026-07-27-006674-a</x:v>
      </x:c>
      <x:c r="AL278" s="19" t="n">
        <x:v>46230.472937164355</x:v>
      </x:c>
      <x:c r="AM278" s="19" t="n">
        <x:v>46387</x:v>
      </x:c>
      <x:c r="AN278" s="15" t="str">
        <x:v>Електромонтаж</x:v>
      </x:c>
      <x:c r="AO278" s="15" t="str">
        <x:v>not_found_in_top_search</x:v>
      </x:c>
    </x:row>
    <x:row r="279">
      <x:c r="A279" s="14" t="str">
        <x:v>W3-007</x:v>
      </x:c>
      <x:c r="B279" s="14" t="str">
        <x:v>Prozorro winners — 24.08</x:v>
      </x:c>
      <x:c r="C279" s="14" t="str">
        <x:v>ТОВ "ХЕРСОНСЬКИЙ АЛЬЯНС БУДІВНИЦТВА"</x:v>
      </x:c>
      <x:c r="D279" s="14" t="str">
        <x:v>Зовнішні мережі</x:v>
      </x:c>
      <x:c r="E279" s="14" t="str">
        <x:v>Expansion discovery</x:v>
      </x:c>
      <x:c r="F279" s="17" t="str">
        <x:f>IF(E279="Pilot now",IF(P279&gt;=84,"P1",IF(P279&gt;=72,"P2","P3")),IF(E279="Expansion discovery",IF(Q279&gt;=88,"D1",IF(Q279&gt;=78,"D2","D3")),IF(E279="Later / requirements","L","Legacy")))</x:f>
        <x:v>D1</x:v>
      </x:c>
      <x:c r="G279" s="14" t="str"/>
      <x:c r="H279" s="14" t="str">
        <x:v>Discovery розширення — 2 тижні</x:v>
      </x:c>
      <x:c r="I279" s="16" t="n">
        <x:v>1</x:v>
      </x:c>
      <x:c r="J279" s="16" t="n">
        <x:v>5</x:v>
      </x:c>
      <x:c r="K279" s="16" t="n">
        <x:v>4</x:v>
      </x:c>
      <x:c r="L279" s="16" t="n">
        <x:v>5</x:v>
      </x:c>
      <x:c r="M279" s="16" t="n">
        <x:v>5</x:v>
      </x:c>
      <x:c r="N279" s="16" t="n">
        <x:v>5</x:v>
      </x:c>
      <x:c r="O279" s="16" t="n">
        <x:v>5</x:v>
      </x:c>
      <x:c r="P279" s="16" t="n">
        <x:f>IF(COUNT(I279:O279)&lt;7,"",I279*8+J279*3+K279*2+L279*2+M279*2+N279*2+O279)</x:f>
        <x:v>66</x:v>
      </x:c>
      <x:c r="Q279" s="16" t="n">
        <x:f>IF(COUNT(J279:O279)&lt;6,"",J279*5+K279*4+M279*4+L279*3+N279*2+O279*2)</x:f>
        <x:v>96</x:v>
      </x:c>
      <x:c r="R279" s="14" t="str">
        <x:v>high</x:v>
      </x:c>
      <x:c r="S279" s="14" t="str">
        <x:v>official_prozorro_award_2025_2026</x:v>
      </x:c>
      <x:c r="T279" s="14" t="str">
        <x:v>official_prozorro_api</x:v>
      </x:c>
      <x:c r="U279" s="14" t="str">
        <x:v>Не контактували</x:v>
      </x:c>
      <x:c r="V279" s="15" t="str">
        <x:v>Workflow-audit outreach по UA-2026-06-18-008231-a; попросити 1 пакет здачі та вимоги проєкту</x:v>
      </x:c>
      <x:c r="W279" s="15" t="str">
        <x:v>Власник / директор; керівник ПТО; відповідальний за договори</x:v>
      </x:c>
      <x:c r="X279" s="15" t="str">
        <x:v>4 підтверджених перемог/договорів у Prozorro на 162 373 365 грн; 4 проєктів зі строком виконання не раніше 24.08.2026.</x:v>
      </x:c>
      <x:c r="Y279" s="15" t="str">
        <x:v>Виконання будівельних робіт по об’єкту: «Нове будівництво зовнішніх інженерних мереж водопостачання, військове містечко № 7, с. Тетерівка, Житомирська обл.»; строк до 2026-12-22. Попросити один знеособлений пакет здачі за цим workflow.</x:v>
      </x:c>
      <x:c r="Z279" s="15" t="str">
        <x:v>https://prozorro.gov.ua/tender/UA-2026-06-18-008231-a</x:v>
      </x:c>
      <x:c r="AA279" s="14" t="str">
        <x:v>42542403</x:v>
      </x:c>
      <x:c r="AB279" s="14" t="str">
        <x:v>2026-08-24</x:v>
      </x:c>
      <x:c r="AC279" s="14" t="str"/>
      <x:c r="AD279" s="20" t="str"/>
      <x:c r="AE279" s="14" t="str"/>
      <x:c r="AF279" s="14" t="n">
        <x:v>87</x:v>
      </x:c>
      <x:c r="AG279" s="14" t="str">
        <x:v>I1</x:v>
      </x:c>
      <x:c r="AH279" s="14" t="n">
        <x:v>4</x:v>
      </x:c>
      <x:c r="AI279" s="14" t="n">
        <x:v>4</x:v>
      </x:c>
      <x:c r="AJ279" s="18" t="n">
        <x:v>162373364.8</x:v>
      </x:c>
      <x:c r="AK279" s="14" t="str">
        <x:v>https://prozorro.gov.ua/tender/UA-2026-06-18-008231-a</x:v>
      </x:c>
      <x:c r="AL279" s="19" t="n">
        <x:v>46203.277789583335</x:v>
      </x:c>
      <x:c r="AM279" s="19" t="n">
        <x:v>46378</x:v>
      </x:c>
      <x:c r="AN279" s="15" t="str">
        <x:v>Зовнішні мережі</x:v>
      </x:c>
      <x:c r="AO279" s="15" t="str">
        <x:v>not_found_in_top_search</x:v>
      </x:c>
    </x:row>
    <x:row r="280">
      <x:c r="A280" s="14" t="str">
        <x:v>W3-008</x:v>
      </x:c>
      <x:c r="B280" s="14" t="str">
        <x:v>Prozorro winners — 24.08</x:v>
      </x:c>
      <x:c r="C280" s="14" t="str">
        <x:v>ТОВАРИСТВО З ОБМЕЖЕНОЮ ВІДПОВІДАЛЬНІСТЮ "ГІДРА БУД МОНТАЖ"</x:v>
      </x:c>
      <x:c r="D280" s="14" t="str">
        <x:v>Газопостачання / котельні</x:v>
      </x:c>
      <x:c r="E280" s="14" t="str">
        <x:v>Expansion discovery</x:v>
      </x:c>
      <x:c r="F280" s="17" t="str">
        <x:f>IF(E280="Pilot now",IF(P280&gt;=84,"P1",IF(P280&gt;=72,"P2","P3")),IF(E280="Expansion discovery",IF(Q280&gt;=88,"D1",IF(Q280&gt;=78,"D2","D3")),IF(E280="Later / requirements","L","Legacy")))</x:f>
        <x:v>D1</x:v>
      </x:c>
      <x:c r="G280" s="14" t="str"/>
      <x:c r="H280" s="14" t="str">
        <x:v>Discovery розширення — 2 тижні</x:v>
      </x:c>
      <x:c r="I280" s="16" t="n">
        <x:v>1</x:v>
      </x:c>
      <x:c r="J280" s="16" t="n">
        <x:v>5</x:v>
      </x:c>
      <x:c r="K280" s="16" t="n">
        <x:v>4</x:v>
      </x:c>
      <x:c r="L280" s="16" t="n">
        <x:v>4</x:v>
      </x:c>
      <x:c r="M280" s="16" t="n">
        <x:v>5</x:v>
      </x:c>
      <x:c r="N280" s="16" t="n">
        <x:v>5</x:v>
      </x:c>
      <x:c r="O280" s="16" t="n">
        <x:v>5</x:v>
      </x:c>
      <x:c r="P280" s="16" t="n">
        <x:f>IF(COUNT(I280:O280)&lt;7,"",I280*8+J280*3+K280*2+L280*2+M280*2+N280*2+O280)</x:f>
        <x:v>64</x:v>
      </x:c>
      <x:c r="Q280" s="16" t="n">
        <x:f>IF(COUNT(J280:O280)&lt;6,"",J280*5+K280*4+M280*4+L280*3+N280*2+O280*2)</x:f>
        <x:v>93</x:v>
      </x:c>
      <x:c r="R280" s="14" t="str">
        <x:v>high</x:v>
      </x:c>
      <x:c r="S280" s="14" t="str">
        <x:v>official_prozorro_award_2025_2026</x:v>
      </x:c>
      <x:c r="T280" s="14" t="str">
        <x:v>official_prozorro_api</x:v>
      </x:c>
      <x:c r="U280" s="14" t="str">
        <x:v>Не контактували</x:v>
      </x:c>
      <x:c r="V280" s="15" t="str">
        <x:v>Workflow-audit outreach по UA-2026-08-19-006860-a; попросити 1 пакет здачі та вимоги проєкту</x:v>
      </x:c>
      <x:c r="W280" s="15" t="str">
        <x:v>Власник / директор; керівник ПТО; відповідальний за договори</x:v>
      </x:c>
      <x:c r="X280" s="15" t="str">
        <x:v>4 підтверджених перемог/договорів у Prozorro на 5 505 402 грн; 2 проєктів зі строком виконання не раніше 24.08.2026.</x:v>
      </x:c>
      <x:c r="Y280" s="15" t="str">
        <x:v>«Реконструкція (відновлення) теплових мереж на ділянці від ВТ 432/9-2 до ж/б по вул. Європейська, 10 в м. Харкові»(код ДК: 021:2015-45454000-4 - Реконструкція); строк до 2026-10-15. Попросити один знеособлений пакет здачі за цим workflow.</x:v>
      </x:c>
      <x:c r="Z280" s="15" t="str">
        <x:v>https://prozorro.gov.ua/tender/UA-2026-08-19-006860-a</x:v>
      </x:c>
      <x:c r="AA280" s="14" t="str">
        <x:v>44215219</x:v>
      </x:c>
      <x:c r="AB280" s="14" t="str">
        <x:v>2026-08-24</x:v>
      </x:c>
      <x:c r="AC280" s="14" t="str"/>
      <x:c r="AD280" s="20" t="str"/>
      <x:c r="AE280" s="14" t="str"/>
      <x:c r="AF280" s="14" t="n">
        <x:v>87</x:v>
      </x:c>
      <x:c r="AG280" s="14" t="str">
        <x:v>I1</x:v>
      </x:c>
      <x:c r="AH280" s="14" t="n">
        <x:v>4</x:v>
      </x:c>
      <x:c r="AI280" s="14" t="n">
        <x:v>2</x:v>
      </x:c>
      <x:c r="AJ280" s="18" t="n">
        <x:v>5505401.64</x:v>
      </x:c>
      <x:c r="AK280" s="14" t="str">
        <x:v>https://prozorro.gov.ua/tender/UA-2026-08-19-006860-a</x:v>
      </x:c>
      <x:c r="AL280" s="19" t="n">
        <x:v>46253.44259337963</x:v>
      </x:c>
      <x:c r="AM280" s="19" t="n">
        <x:v>46310</x:v>
      </x:c>
      <x:c r="AN280" s="15" t="str">
        <x:v>Газопостачання / котельні; Теплові мережі</x:v>
      </x:c>
      <x:c r="AO280" s="15" t="str">
        <x:v>not_found_in_top_search</x:v>
      </x:c>
    </x:row>
    <x:row r="281">
      <x:c r="A281" s="14" t="str">
        <x:v>W3-009</x:v>
      </x:c>
      <x:c r="B281" s="14" t="str">
        <x:v>Prozorro winners — 24.08</x:v>
      </x:c>
      <x:c r="C281" s="14" t="str">
        <x:v>УПРАВЛІННЯ ПОЛІЦІЇ ОХОРОНИ В ЧЕРНІВЕЦЬКІЙ ОБЛАСТІ</x:v>
      </x:c>
      <x:c r="D281" s="14" t="str">
        <x:v>Пожежогасіння</x:v>
      </x:c>
      <x:c r="E281" s="14" t="str">
        <x:v>Expansion discovery</x:v>
      </x:c>
      <x:c r="F281" s="17" t="str">
        <x:f>IF(E281="Pilot now",IF(P281&gt;=84,"P1",IF(P281&gt;=72,"P2","P3")),IF(E281="Expansion discovery",IF(Q281&gt;=88,"D1",IF(Q281&gt;=78,"D2","D3")),IF(E281="Later / requirements","L","Legacy")))</x:f>
        <x:v>D2</x:v>
      </x:c>
      <x:c r="G281" s="14" t="str"/>
      <x:c r="H281" s="14" t="str">
        <x:v>Discovery розширення — 2 тижні</x:v>
      </x:c>
      <x:c r="I281" s="16" t="n">
        <x:v>1</x:v>
      </x:c>
      <x:c r="J281" s="16" t="n">
        <x:v>5</x:v>
      </x:c>
      <x:c r="K281" s="16" t="n">
        <x:v>4</x:v>
      </x:c>
      <x:c r="L281" s="16" t="n">
        <x:v>2</x:v>
      </x:c>
      <x:c r="M281" s="16" t="n">
        <x:v>5</x:v>
      </x:c>
      <x:c r="N281" s="16" t="n">
        <x:v>5</x:v>
      </x:c>
      <x:c r="O281" s="16" t="n">
        <x:v>5</x:v>
      </x:c>
      <x:c r="P281" s="16" t="n">
        <x:f>IF(COUNT(I281:O281)&lt;7,"",I281*8+J281*3+K281*2+L281*2+M281*2+N281*2+O281)</x:f>
        <x:v>60</x:v>
      </x:c>
      <x:c r="Q281" s="16" t="n">
        <x:f>IF(COUNT(J281:O281)&lt;6,"",J281*5+K281*4+M281*4+L281*3+N281*2+O281*2)</x:f>
        <x:v>87</x:v>
      </x:c>
      <x:c r="R281" s="14" t="str">
        <x:v>high</x:v>
      </x:c>
      <x:c r="S281" s="14" t="str">
        <x:v>official_prozorro_award_2025_2026</x:v>
      </x:c>
      <x:c r="T281" s="14" t="str">
        <x:v>official_prozorro_api</x:v>
      </x:c>
      <x:c r="U281" s="14" t="str">
        <x:v>Не контактували</x:v>
      </x:c>
      <x:c r="V281" s="15" t="str">
        <x:v>Workflow-audit outreach по UA-2026-08-12-002581-a; попросити 1 пакет здачі та вимоги проєкту</x:v>
      </x:c>
      <x:c r="W281" s="15" t="str">
        <x:v>Власник / директор; керівник ПТО; відповідальний за договори</x:v>
      </x:c>
      <x:c r="X281" s="15" t="str">
        <x:v>10 підтверджених перемог/договорів у Prozorro на 283 639 грн; 8 проєктів зі строком виконання не раніше 24.08.2026.</x:v>
      </x:c>
      <x:c r="Y281" s="15" t="str">
        <x:v>Монтаж та налагодження системи контролю доступу (арочний металодетектор); строк до 2026-08-31. Попросити один знеособлений пакет здачі за цим workflow.</x:v>
      </x:c>
      <x:c r="Z281" s="15" t="str">
        <x:v>https://prozorro.gov.ua/tender/UA-2026-08-12-002581-a</x:v>
      </x:c>
      <x:c r="AA281" s="14" t="str">
        <x:v>40108976</x:v>
      </x:c>
      <x:c r="AB281" s="14" t="str">
        <x:v>2026-08-24</x:v>
      </x:c>
      <x:c r="AC281" s="14" t="str"/>
      <x:c r="AD281" s="20" t="str"/>
      <x:c r="AE281" s="14" t="str"/>
      <x:c r="AF281" s="14" t="n">
        <x:v>84</x:v>
      </x:c>
      <x:c r="AG281" s="14" t="str">
        <x:v>I1</x:v>
      </x:c>
      <x:c r="AH281" s="14" t="n">
        <x:v>10</x:v>
      </x:c>
      <x:c r="AI281" s="14" t="n">
        <x:v>8</x:v>
      </x:c>
      <x:c r="AJ281" s="18" t="n">
        <x:v>283639.45</x:v>
      </x:c>
      <x:c r="AK281" s="14" t="str">
        <x:v>https://prozorro.gov.ua/tender/UA-2026-08-12-002581-a</x:v>
      </x:c>
      <x:c r="AL281" s="19" t="n">
        <x:v>46246.32571459491</x:v>
      </x:c>
      <x:c r="AM281" s="19" t="n">
        <x:v>46265</x:v>
      </x:c>
      <x:c r="AN281" s="15" t="str">
        <x:v>Пожежогасіння; Безпека / СКУД / CCTV</x:v>
      </x:c>
      <x:c r="AO281" s="15" t="str">
        <x:v>not_found_in_top_search</x:v>
      </x:c>
    </x:row>
    <x:row r="282">
      <x:c r="A282" s="14" t="str">
        <x:v>W3-010</x:v>
      </x:c>
      <x:c r="B282" s="14" t="str">
        <x:v>Prozorro winners — 24.08</x:v>
      </x:c>
      <x:c r="C282" s="14" t="str">
        <x:v>Центр технічної охорони Управління поліції охорони у Львівській області</x:v>
      </x:c>
      <x:c r="D282" s="14" t="str">
        <x:v>Пожежогасіння</x:v>
      </x:c>
      <x:c r="E282" s="14" t="str">
        <x:v>Expansion discovery</x:v>
      </x:c>
      <x:c r="F282" s="17" t="str">
        <x:f>IF(E282="Pilot now",IF(P282&gt;=84,"P1",IF(P282&gt;=72,"P2","P3")),IF(E282="Expansion discovery",IF(Q282&gt;=88,"D1",IF(Q282&gt;=78,"D2","D3")),IF(E282="Later / requirements","L","Legacy")))</x:f>
        <x:v>D2</x:v>
      </x:c>
      <x:c r="G282" s="14" t="str"/>
      <x:c r="H282" s="14" t="str">
        <x:v>Discovery розширення — 2 тижні</x:v>
      </x:c>
      <x:c r="I282" s="16" t="n">
        <x:v>1</x:v>
      </x:c>
      <x:c r="J282" s="16" t="n">
        <x:v>5</x:v>
      </x:c>
      <x:c r="K282" s="16" t="n">
        <x:v>4</x:v>
      </x:c>
      <x:c r="L282" s="16" t="n">
        <x:v>2</x:v>
      </x:c>
      <x:c r="M282" s="16" t="n">
        <x:v>5</x:v>
      </x:c>
      <x:c r="N282" s="16" t="n">
        <x:v>5</x:v>
      </x:c>
      <x:c r="O282" s="16" t="n">
        <x:v>5</x:v>
      </x:c>
      <x:c r="P282" s="16" t="n">
        <x:f>IF(COUNT(I282:O282)&lt;7,"",I282*8+J282*3+K282*2+L282*2+M282*2+N282*2+O282)</x:f>
        <x:v>60</x:v>
      </x:c>
      <x:c r="Q282" s="16" t="n">
        <x:f>IF(COUNT(J282:O282)&lt;6,"",J282*5+K282*4+M282*4+L282*3+N282*2+O282*2)</x:f>
        <x:v>87</x:v>
      </x:c>
      <x:c r="R282" s="14" t="str">
        <x:v>high</x:v>
      </x:c>
      <x:c r="S282" s="14" t="str">
        <x:v>official_prozorro_award_2025_2026</x:v>
      </x:c>
      <x:c r="T282" s="14" t="str">
        <x:v>official_prozorro_api</x:v>
      </x:c>
      <x:c r="U282" s="14" t="str">
        <x:v>Не контактували</x:v>
      </x:c>
      <x:c r="V282" s="15" t="str">
        <x:v>Workflow-audit outreach по UA-2026-08-19-012027-a; попросити 1 пакет здачі та вимоги проєкту</x:v>
      </x:c>
      <x:c r="W282" s="15" t="str">
        <x:v>Власник / директор; керівник ПТО; відповідальний за договори</x:v>
      </x:c>
      <x:c r="X282" s="15" t="str">
        <x:v>7 підтверджених перемог/договорів у Prozorro на 136 354 грн; 6 проєктів зі строком виконання не раніше 24.08.2026.</x:v>
      </x:c>
      <x:c r="Y282" s="15" t="str">
        <x:v>Послуги з монтажу пусконалагоджування системи відеоспостереження; строк до 2026-12-31. Попросити один знеособлений пакет здачі за цим workflow.</x:v>
      </x:c>
      <x:c r="Z282" s="15" t="str">
        <x:v>https://prozorro.gov.ua/tender/UA-2026-08-19-012027-a</x:v>
      </x:c>
      <x:c r="AA282" s="14" t="str">
        <x:v>40108887</x:v>
      </x:c>
      <x:c r="AB282" s="14" t="str">
        <x:v>2026-08-24</x:v>
      </x:c>
      <x:c r="AC282" s="14" t="str"/>
      <x:c r="AD282" s="20" t="str"/>
      <x:c r="AE282" s="14" t="str"/>
      <x:c r="AF282" s="14" t="n">
        <x:v>84</x:v>
      </x:c>
      <x:c r="AG282" s="14" t="str">
        <x:v>I1</x:v>
      </x:c>
      <x:c r="AH282" s="14" t="n">
        <x:v>7</x:v>
      </x:c>
      <x:c r="AI282" s="14" t="n">
        <x:v>6</x:v>
      </x:c>
      <x:c r="AJ282" s="18" t="n">
        <x:v>136353.55</x:v>
      </x:c>
      <x:c r="AK282" s="14" t="str">
        <x:v>https://prozorro.gov.ua/tender/UA-2026-08-19-012027-a</x:v>
      </x:c>
      <x:c r="AL282" s="19" t="n">
        <x:v>46253.57154434028</x:v>
      </x:c>
      <x:c r="AM282" s="19" t="n">
        <x:v>46387.615335648145</x:v>
      </x:c>
      <x:c r="AN282" s="15" t="str">
        <x:v>Пожежогасіння; Безпека / СКУД / CCTV</x:v>
      </x:c>
      <x:c r="AO282" s="15" t="str">
        <x:v>not_found_in_top_search</x:v>
      </x:c>
    </x:row>
    <x:row r="283">
      <x:c r="A283" s="14" t="str">
        <x:v>W3-011</x:v>
      </x:c>
      <x:c r="B283" s="14" t="str">
        <x:v>Prozorro winners — 24.08</x:v>
      </x:c>
      <x:c r="C283" s="14" t="str">
        <x:v>ТОВАРИСТВО З ОБМЕЖЕНОЮ ВІДПОВІДАЛЬНІСТЮ "РСУ-СХІД"</x:v>
      </x:c>
      <x:c r="D283" s="14" t="str">
        <x:v>ВОЛЗ / телеком</x:v>
      </x:c>
      <x:c r="E283" s="14" t="str">
        <x:v>Expansion discovery</x:v>
      </x:c>
      <x:c r="F283" s="17" t="str">
        <x:f>IF(E283="Pilot now",IF(P283&gt;=84,"P1",IF(P283&gt;=72,"P2","P3")),IF(E283="Expansion discovery",IF(Q283&gt;=88,"D1",IF(Q283&gt;=78,"D2","D3")),IF(E283="Later / requirements","L","Legacy")))</x:f>
        <x:v>D1</x:v>
      </x:c>
      <x:c r="G283" s="14" t="str"/>
      <x:c r="H283" s="14" t="str">
        <x:v>Discovery розширення — 2 тижні</x:v>
      </x:c>
      <x:c r="I283" s="16" t="n">
        <x:v>1</x:v>
      </x:c>
      <x:c r="J283" s="16" t="n">
        <x:v>5</x:v>
      </x:c>
      <x:c r="K283" s="16" t="n">
        <x:v>4</x:v>
      </x:c>
      <x:c r="L283" s="16" t="n">
        <x:v>4</x:v>
      </x:c>
      <x:c r="M283" s="16" t="n">
        <x:v>5</x:v>
      </x:c>
      <x:c r="N283" s="16" t="n">
        <x:v>5</x:v>
      </x:c>
      <x:c r="O283" s="16" t="n">
        <x:v>5</x:v>
      </x:c>
      <x:c r="P283" s="16" t="n">
        <x:f>IF(COUNT(I283:O283)&lt;7,"",I283*8+J283*3+K283*2+L283*2+M283*2+N283*2+O283)</x:f>
        <x:v>64</x:v>
      </x:c>
      <x:c r="Q283" s="16" t="n">
        <x:f>IF(COUNT(J283:O283)&lt;6,"",J283*5+K283*4+M283*4+L283*3+N283*2+O283*2)</x:f>
        <x:v>93</x:v>
      </x:c>
      <x:c r="R283" s="14" t="str">
        <x:v>high</x:v>
      </x:c>
      <x:c r="S283" s="14" t="str">
        <x:v>official_prozorro_award_2025_2026</x:v>
      </x:c>
      <x:c r="T283" s="14" t="str">
        <x:v>official_prozorro_api</x:v>
      </x:c>
      <x:c r="U283" s="14" t="str">
        <x:v>Не контактували</x:v>
      </x:c>
      <x:c r="V283" s="15" t="str">
        <x:v>Workflow-audit outreach по UA-2026-05-20-002590-a; попросити 1 пакет здачі та вимоги проєкту</x:v>
      </x:c>
      <x:c r="W283" s="15" t="str">
        <x:v>Власник / директор; керівник ПТО; відповідальний за договори</x:v>
      </x:c>
      <x:c r="X283" s="15" t="str">
        <x:v>5 підтверджених перемог/договорів у Prozorro на 3 031 084 грн; 4 проєктів зі строком виконання не раніше 24.08.2026.</x:v>
      </x:c>
      <x:c r="Y283" s="15" t="str">
        <x:v>Будівництво ВОЛЗ ПС Харківська -ПС Селекційна у м. Харкові; строк до 2027-06-30. Попросити один знеособлений пакет здачі за цим workflow.</x:v>
      </x:c>
      <x:c r="Z283" s="15" t="str">
        <x:v>https://prozorro.gov.ua/tender/UA-2026-05-20-002590-a</x:v>
      </x:c>
      <x:c r="AA283" s="14" t="str">
        <x:v>44743360</x:v>
      </x:c>
      <x:c r="AB283" s="14" t="str">
        <x:v>2026-08-24</x:v>
      </x:c>
      <x:c r="AC283" s="14" t="str"/>
      <x:c r="AD283" s="20" t="str"/>
      <x:c r="AE283" s="14" t="str"/>
      <x:c r="AF283" s="14" t="n">
        <x:v>83</x:v>
      </x:c>
      <x:c r="AG283" s="14" t="str">
        <x:v>I1</x:v>
      </x:c>
      <x:c r="AH283" s="14" t="n">
        <x:v>5</x:v>
      </x:c>
      <x:c r="AI283" s="14" t="n">
        <x:v>4</x:v>
      </x:c>
      <x:c r="AJ283" s="18" t="n">
        <x:v>3031084.48</x:v>
      </x:c>
      <x:c r="AK283" s="14" t="str">
        <x:v>https://prozorro.gov.ua/tender/UA-2026-05-20-002590-a</x:v>
      </x:c>
      <x:c r="AL283" s="19" t="n">
        <x:v>46162.31323571759</x:v>
      </x:c>
      <x:c r="AM283" s="19" t="n">
        <x:v>46568</x:v>
      </x:c>
      <x:c r="AN283" s="15" t="str">
        <x:v>ВОЛЗ / телеком</x:v>
      </x:c>
      <x:c r="AO283" s="15" t="str">
        <x:v>not_found_in_top_search</x:v>
      </x:c>
    </x:row>
    <x:row r="284">
      <x:c r="A284" s="14" t="str">
        <x:v>W3-012</x:v>
      </x:c>
      <x:c r="B284" s="14" t="str">
        <x:v>Prozorro winners — 24.08</x:v>
      </x:c>
      <x:c r="C284" s="14" t="str">
        <x:v>ТОВАРИСТВО З ОБМЕЖЕНОЮ ВІДПОВІДАЛЬНІСТЮ "САБ-КОНСТРАКШН"</x:v>
      </x:c>
      <x:c r="D284" s="14" t="str">
        <x:v>Зовнішні мережі</x:v>
      </x:c>
      <x:c r="E284" s="14" t="str">
        <x:v>Expansion discovery</x:v>
      </x:c>
      <x:c r="F284" s="17" t="str">
        <x:f>IF(E284="Pilot now",IF(P284&gt;=84,"P1",IF(P284&gt;=72,"P2","P3")),IF(E284="Expansion discovery",IF(Q284&gt;=88,"D1",IF(Q284&gt;=78,"D2","D3")),IF(E284="Later / requirements","L","Legacy")))</x:f>
        <x:v>D1</x:v>
      </x:c>
      <x:c r="G284" s="14" t="str"/>
      <x:c r="H284" s="14" t="str">
        <x:v>Discovery розширення — 2 тижні</x:v>
      </x:c>
      <x:c r="I284" s="16" t="n">
        <x:v>1</x:v>
      </x:c>
      <x:c r="J284" s="16" t="n">
        <x:v>5</x:v>
      </x:c>
      <x:c r="K284" s="16" t="n">
        <x:v>4</x:v>
      </x:c>
      <x:c r="L284" s="16" t="n">
        <x:v>5</x:v>
      </x:c>
      <x:c r="M284" s="16" t="n">
        <x:v>5</x:v>
      </x:c>
      <x:c r="N284" s="16" t="n">
        <x:v>5</x:v>
      </x:c>
      <x:c r="O284" s="16" t="n">
        <x:v>5</x:v>
      </x:c>
      <x:c r="P284" s="16" t="n">
        <x:f>IF(COUNT(I284:O284)&lt;7,"",I284*8+J284*3+K284*2+L284*2+M284*2+N284*2+O284)</x:f>
        <x:v>66</x:v>
      </x:c>
      <x:c r="Q284" s="16" t="n">
        <x:f>IF(COUNT(J284:O284)&lt;6,"",J284*5+K284*4+M284*4+L284*3+N284*2+O284*2)</x:f>
        <x:v>96</x:v>
      </x:c>
      <x:c r="R284" s="14" t="str">
        <x:v>high</x:v>
      </x:c>
      <x:c r="S284" s="14" t="str">
        <x:v>official_prozorro_award_2025_2026</x:v>
      </x:c>
      <x:c r="T284" s="14" t="str">
        <x:v>official_prozorro_api</x:v>
      </x:c>
      <x:c r="U284" s="14" t="str">
        <x:v>Не контактували</x:v>
      </x:c>
      <x:c r="V284" s="15" t="str">
        <x:v>Workflow-audit outreach по UA-2026-06-26-010217-a; попросити 1 пакет здачі та вимоги проєкту</x:v>
      </x:c>
      <x:c r="W284" s="15" t="str">
        <x:v>Власник / директор; керівник ПТО; відповідальний за договори</x:v>
      </x:c>
      <x:c r="X284" s="15" t="str">
        <x:v>3 підтверджених перемог/договорів у Prozorro на 105 402 698 грн; 3 проєктів зі строком виконання не раніше 24.08.2026.</x:v>
      </x:c>
      <x:c r="Y284" s="15" t="str">
        <x:v>Виконання будівельних робіт по об’єкту: «Нове будівництво зовнішніх інженерних мереж електропостачання, військове містечко № 25, с. Старичі, Львівська обл.»; строк до 2027-02-15. Попросити один знеособлений пакет здачі за цим workflow.</x:v>
      </x:c>
      <x:c r="Z284" s="15" t="str">
        <x:v>https://prozorro.gov.ua/tender/UA-2026-06-26-010217-a</x:v>
      </x:c>
      <x:c r="AA284" s="14" t="str">
        <x:v>42506391</x:v>
      </x:c>
      <x:c r="AB284" s="14" t="str">
        <x:v>2026-08-24</x:v>
      </x:c>
      <x:c r="AC284" s="14" t="str"/>
      <x:c r="AD284" s="20" t="str"/>
      <x:c r="AE284" s="14" t="str"/>
      <x:c r="AF284" s="14" t="n">
        <x:v>82</x:v>
      </x:c>
      <x:c r="AG284" s="14" t="str">
        <x:v>I1</x:v>
      </x:c>
      <x:c r="AH284" s="14" t="n">
        <x:v>3</x:v>
      </x:c>
      <x:c r="AI284" s="14" t="n">
        <x:v>3</x:v>
      </x:c>
      <x:c r="AJ284" s="18" t="n">
        <x:v>105402698.29</x:v>
      </x:c>
      <x:c r="AK284" s="14" t="str">
        <x:v>https://prozorro.gov.ua/tender/UA-2026-06-26-010217-a</x:v>
      </x:c>
      <x:c r="AL284" s="19" t="n">
        <x:v>46210.58118918981</x:v>
      </x:c>
      <x:c r="AM284" s="19" t="n">
        <x:v>46433</x:v>
      </x:c>
      <x:c r="AN284" s="15" t="str">
        <x:v>Зовнішні мережі</x:v>
      </x:c>
      <x:c r="AO284" s="15" t="str">
        <x:v>not_found_in_top_search</x:v>
      </x:c>
    </x:row>
    <x:row r="285">
      <x:c r="A285" s="14" t="str">
        <x:v>W3-013</x:v>
      </x:c>
      <x:c r="B285" s="14" t="str">
        <x:v>Prozorro winners — 24.08</x:v>
      </x:c>
      <x:c r="C285" s="14" t="str">
        <x:v>ФОП Костійчук Олександр Володимирович</x:v>
      </x:c>
      <x:c r="D285" s="14" t="str">
        <x:v>Газопостачання / котельні</x:v>
      </x:c>
      <x:c r="E285" s="14" t="str">
        <x:v>Expansion discovery</x:v>
      </x:c>
      <x:c r="F285" s="17" t="str">
        <x:f>IF(E285="Pilot now",IF(P285&gt;=84,"P1",IF(P285&gt;=72,"P2","P3")),IF(E285="Expansion discovery",IF(Q285&gt;=88,"D1",IF(Q285&gt;=78,"D2","D3")),IF(E285="Later / requirements","L","Legacy")))</x:f>
        <x:v>D2</x:v>
      </x:c>
      <x:c r="G285" s="14" t="str"/>
      <x:c r="H285" s="14" t="str">
        <x:v>Discovery розширення — 2 тижні</x:v>
      </x:c>
      <x:c r="I285" s="16" t="n">
        <x:v>1</x:v>
      </x:c>
      <x:c r="J285" s="16" t="n">
        <x:v>5</x:v>
      </x:c>
      <x:c r="K285" s="16" t="n">
        <x:v>4</x:v>
      </x:c>
      <x:c r="L285" s="16" t="n">
        <x:v>3</x:v>
      </x:c>
      <x:c r="M285" s="16" t="n">
        <x:v>5</x:v>
      </x:c>
      <x:c r="N285" s="16" t="n">
        <x:v>3</x:v>
      </x:c>
      <x:c r="O285" s="16" t="n">
        <x:v>5</x:v>
      </x:c>
      <x:c r="P285" s="16" t="n">
        <x:f>IF(COUNT(I285:O285)&lt;7,"",I285*8+J285*3+K285*2+L285*2+M285*2+N285*2+O285)</x:f>
        <x:v>58</x:v>
      </x:c>
      <x:c r="Q285" s="16" t="n">
        <x:f>IF(COUNT(J285:O285)&lt;6,"",J285*5+K285*4+M285*4+L285*3+N285*2+O285*2)</x:f>
        <x:v>86</x:v>
      </x:c>
      <x:c r="R285" s="14" t="str">
        <x:v>high</x:v>
      </x:c>
      <x:c r="S285" s="14" t="str">
        <x:v>official_prozorro_award_2025_2026</x:v>
      </x:c>
      <x:c r="T285" s="14" t="str">
        <x:v>official_prozorro_api</x:v>
      </x:c>
      <x:c r="U285" s="14" t="str">
        <x:v>Не контактували</x:v>
      </x:c>
      <x:c r="V285" s="15" t="str">
        <x:v>Workflow-audit outreach по UA-2026-08-19-013884-a; попросити 1 пакет здачі та вимоги проєкту</x:v>
      </x:c>
      <x:c r="W285" s="15" t="str">
        <x:v>Власник / виконавець; відповідальний за договір</x:v>
      </x:c>
      <x:c r="X285" s="15" t="str">
        <x:v>5 підтверджених перемог/договорів у Prozorro на 574 667 грн; 5 проєктів зі строком виконання не раніше 24.08.2026.</x:v>
      </x:c>
      <x:c r="Y285" s="15" t="str">
        <x:v>Послуги з поточного ремонту із встановленням (монтажем) електричного котла в приміщенні котельні за адресою: Київська область, Бучанський район, с. Петропавлівська Борщагівка, вул. Паркова, 34-Б; строк до 2026-09-30. Попросити один знеособлений пакет здачі за цим workflow.</x:v>
      </x:c>
      <x:c r="Z285" s="15" t="str">
        <x:v>https://prozorro.gov.ua/tender/UA-2026-08-19-013884-a</x:v>
      </x:c>
      <x:c r="AA285" s="14" t="str">
        <x:v>2598502379</x:v>
      </x:c>
      <x:c r="AB285" s="14" t="str">
        <x:v>2026-08-24</x:v>
      </x:c>
      <x:c r="AC285" s="14" t="str"/>
      <x:c r="AD285" s="20" t="str"/>
      <x:c r="AE285" s="14" t="str"/>
      <x:c r="AF285" s="14" t="n">
        <x:v>82</x:v>
      </x:c>
      <x:c r="AG285" s="14" t="str">
        <x:v>I1</x:v>
      </x:c>
      <x:c r="AH285" s="14" t="n">
        <x:v>5</x:v>
      </x:c>
      <x:c r="AI285" s="14" t="n">
        <x:v>5</x:v>
      </x:c>
      <x:c r="AJ285" s="18" t="n">
        <x:v>574666.9</x:v>
      </x:c>
      <x:c r="AK285" s="14" t="str">
        <x:v>https://prozorro.gov.ua/tender/UA-2026-08-19-013884-a</x:v>
      </x:c>
      <x:c r="AL285" s="19" t="n">
        <x:v>46253.816932361115</x:v>
      </x:c>
      <x:c r="AM285" s="19" t="n">
        <x:v>46295.81353009259</x:v>
      </x:c>
      <x:c r="AN285" s="15" t="str">
        <x:v>Газопостачання / котельні</x:v>
      </x:c>
      <x:c r="AO285" s="15" t="str">
        <x:v>not_found_in_top_search</x:v>
      </x:c>
    </x:row>
    <x:row r="286">
      <x:c r="A286" s="14" t="str">
        <x:v>W3-014</x:v>
      </x:c>
      <x:c r="B286" s="14" t="str">
        <x:v>Prozorro winners — 24.08</x:v>
      </x:c>
      <x:c r="C286" s="14" t="str">
        <x:v>ТОВАРИСТВО З ОБМЕЖЕНОЮ ВІДПОВІДАЛЬНІСТЮ "ТЕХЕКС-ГАЗ"</x:v>
      </x:c>
      <x:c r="D286" s="14" t="str">
        <x:v>Насосні станції</x:v>
      </x:c>
      <x:c r="E286" s="14" t="str">
        <x:v>Expansion discovery</x:v>
      </x:c>
      <x:c r="F286" s="17" t="str">
        <x:f>IF(E286="Pilot now",IF(P286&gt;=84,"P1",IF(P286&gt;=72,"P2","P3")),IF(E286="Expansion discovery",IF(Q286&gt;=88,"D1",IF(Q286&gt;=78,"D2","D3")),IF(E286="Later / requirements","L","Legacy")))</x:f>
        <x:v>D1</x:v>
      </x:c>
      <x:c r="G286" s="14" t="str">
        <x:v>tekhexgas.com.ua</x:v>
      </x:c>
      <x:c r="H286" s="14" t="str">
        <x:v>Discovery розширення — 2 тижні</x:v>
      </x:c>
      <x:c r="I286" s="16" t="n">
        <x:v>1</x:v>
      </x:c>
      <x:c r="J286" s="16" t="n">
        <x:v>5</x:v>
      </x:c>
      <x:c r="K286" s="16" t="n">
        <x:v>4</x:v>
      </x:c>
      <x:c r="L286" s="16" t="n">
        <x:v>5</x:v>
      </x:c>
      <x:c r="M286" s="16" t="n">
        <x:v>5</x:v>
      </x:c>
      <x:c r="N286" s="16" t="n">
        <x:v>5</x:v>
      </x:c>
      <x:c r="O286" s="16" t="n">
        <x:v>5</x:v>
      </x:c>
      <x:c r="P286" s="16" t="n">
        <x:f>IF(COUNT(I286:O286)&lt;7,"",I286*8+J286*3+K286*2+L286*2+M286*2+N286*2+O286)</x:f>
        <x:v>66</x:v>
      </x:c>
      <x:c r="Q286" s="16" t="n">
        <x:f>IF(COUNT(J286:O286)&lt;6,"",J286*5+K286*4+M286*4+L286*3+N286*2+O286*2)</x:f>
        <x:v>96</x:v>
      </x:c>
      <x:c r="R286" s="14" t="str">
        <x:v>high</x:v>
      </x:c>
      <x:c r="S286" s="14" t="str">
        <x:v>official_prozorro_award_2025_2026</x:v>
      </x:c>
      <x:c r="T286" s="14" t="str">
        <x:v>official_prozorro_api</x:v>
      </x:c>
      <x:c r="U286" s="14" t="str">
        <x:v>Не контактували</x:v>
      </x:c>
      <x:c r="V286" s="15" t="str">
        <x:v>Workflow-audit outreach по UA-2026-08-21-002826-a; попросити 1 пакет здачі та вимоги проєкту</x:v>
      </x:c>
      <x:c r="W286" s="15" t="str">
        <x:v>Власник / директор; керівник ПТО; відповідальний за договори</x:v>
      </x:c>
      <x:c r="X286" s="15" t="str">
        <x:v>2 підтверджених перемог/договорів у Prozorro на 45 227 127 грн; 2 проєктів зі строком виконання не раніше 24.08.2026.</x:v>
      </x:c>
      <x:c r="Y286" s="15" t="str">
        <x:v>Реконструкція об’єкту КП «Харківські теплові мережі» шляхом встановлення КГУ за адресою: Харківська область, Лозівський район, селище Краснопавлівка, вул. **********. Монтаж обладнання КГУ та мереж теплопостачання (код ДК 021:2015 – 45454000-4 "Реконструкція").; строк до 2026-11-30. Попросити один знеособлений пакет здачі за цим workflow.</x:v>
      </x:c>
      <x:c r="Z286" s="15" t="str">
        <x:v>https://prozorro.gov.ua/tender/UA-2026-08-21-002826-a</x:v>
      </x:c>
      <x:c r="AA286" s="14" t="str">
        <x:v>34630463</x:v>
      </x:c>
      <x:c r="AB286" s="14" t="str">
        <x:v>2026-08-24</x:v>
      </x:c>
      <x:c r="AC286" s="14" t="str"/>
      <x:c r="AD286" s="20" t="str"/>
      <x:c r="AE286" s="14" t="str"/>
      <x:c r="AF286" s="14" t="n">
        <x:v>81</x:v>
      </x:c>
      <x:c r="AG286" s="14" t="str">
        <x:v>I1</x:v>
      </x:c>
      <x:c r="AH286" s="14" t="n">
        <x:v>2</x:v>
      </x:c>
      <x:c r="AI286" s="14" t="n">
        <x:v>2</x:v>
      </x:c>
      <x:c r="AJ286" s="18" t="n">
        <x:v>45227127.15</x:v>
      </x:c>
      <x:c r="AK286" s="14" t="str">
        <x:v>https://prozorro.gov.ua/tender/UA-2026-08-21-002826-a</x:v>
      </x:c>
      <x:c r="AL286" s="19" t="n">
        <x:v>46255.32229476852</x:v>
      </x:c>
      <x:c r="AM286" s="19" t="n">
        <x:v>46356</x:v>
      </x:c>
      <x:c r="AN286" s="15" t="str">
        <x:v>Насосні станції; Теплові мережі</x:v>
      </x:c>
      <x:c r="AO286" s="15" t="str">
        <x:v>verified_live_2026-08-24</x:v>
      </x:c>
    </x:row>
    <x:row r="287">
      <x:c r="A287" s="14" t="str">
        <x:v>W3-015</x:v>
      </x:c>
      <x:c r="B287" s="14" t="str">
        <x:v>Prozorro winners — 24.08</x:v>
      </x:c>
      <x:c r="C287" s="14" t="str">
        <x:v>ТОВАРИСТВО З ОБМЕЖЕНОЮ ВІДПОВІДАЛЬНІСТЮ "ЕКОВЕНТ-КОМПЛЕКТ"</x:v>
      </x:c>
      <x:c r="D287" s="14" t="str">
        <x:v>HVAC / ОВіК</x:v>
      </x:c>
      <x:c r="E287" s="14" t="str">
        <x:v>Pilot now</x:v>
      </x:c>
      <x:c r="F287" s="17" t="str">
        <x:f>IF(E287="Pilot now",IF(P287&gt;=84,"P1",IF(P287&gt;=72,"P2","P3")),IF(E287="Expansion discovery",IF(Q287&gt;=88,"D1",IF(Q287&gt;=78,"D2","D3")),IF(E287="Later / requirements","L","Legacy")))</x:f>
        <x:v>P1</x:v>
      </x:c>
      <x:c r="G287" s="14" t="str"/>
      <x:c r="H287" s="14" t="str">
        <x:v>Пілот зараз — Н.14</x:v>
      </x:c>
      <x:c r="I287" s="16" t="n">
        <x:v>5</x:v>
      </x:c>
      <x:c r="J287" s="16" t="n">
        <x:v>5</x:v>
      </x:c>
      <x:c r="K287" s="16" t="n">
        <x:v>5</x:v>
      </x:c>
      <x:c r="L287" s="16" t="n">
        <x:v>2</x:v>
      </x:c>
      <x:c r="M287" s="16" t="n">
        <x:v>5</x:v>
      </x:c>
      <x:c r="N287" s="16" t="n">
        <x:v>5</x:v>
      </x:c>
      <x:c r="O287" s="16" t="n">
        <x:v>5</x:v>
      </x:c>
      <x:c r="P287" s="16" t="n">
        <x:f>IF(COUNT(I287:O287)&lt;7,"",I287*8+J287*3+K287*2+L287*2+M287*2+N287*2+O287)</x:f>
        <x:v>94</x:v>
      </x:c>
      <x:c r="Q287" s="16" t="n">
        <x:f>IF(COUNT(J287:O287)&lt;6,"",J287*5+K287*4+M287*4+L287*3+N287*2+O287*2)</x:f>
        <x:v>91</x:v>
      </x:c>
      <x:c r="R287" s="14" t="str">
        <x:v>high</x:v>
      </x:c>
      <x:c r="S287" s="14" t="str">
        <x:v>official_prozorro_award_2025_2026</x:v>
      </x:c>
      <x:c r="T287" s="14" t="str">
        <x:v>official_prozorro_api</x:v>
      </x:c>
      <x:c r="U287" s="14" t="str">
        <x:v>Не контактували</x:v>
      </x:c>
      <x:c r="V287" s="15" t="str">
        <x:v>Персоналізований free-pilot outreach по UA-2026-08-06-004132-a; попросити 1 пакет Н.14/Н.15</x:v>
      </x:c>
      <x:c r="W287" s="15" t="str">
        <x:v>Власник / директор; керівник ПТО; відповідальний за договори</x:v>
      </x:c>
      <x:c r="X287" s="15" t="str">
        <x:v>4 підтверджених перемог/договорів у Prozorro на 184 056 грн; 3 проєктів зі строком виконання не раніше 24.08.2026.</x:v>
      </x:c>
      <x:c r="Y287" s="15" t="str">
        <x:v>Роботи по монтажу систем вентиляції; строк до 2026-12-31. Попросити один знеособлений пакет здачі за цим workflow.</x:v>
      </x:c>
      <x:c r="Z287" s="15" t="str">
        <x:v>https://prozorro.gov.ua/tender/UA-2026-08-06-004132-a</x:v>
      </x:c>
      <x:c r="AA287" s="14" t="str">
        <x:v>35089695</x:v>
      </x:c>
      <x:c r="AB287" s="14" t="str">
        <x:v>2026-08-24</x:v>
      </x:c>
      <x:c r="AC287" s="14" t="str"/>
      <x:c r="AD287" s="20" t="str"/>
      <x:c r="AE287" s="14" t="str"/>
      <x:c r="AF287" s="14" t="n">
        <x:v>81</x:v>
      </x:c>
      <x:c r="AG287" s="14" t="str">
        <x:v>I1</x:v>
      </x:c>
      <x:c r="AH287" s="14" t="n">
        <x:v>4</x:v>
      </x:c>
      <x:c r="AI287" s="14" t="n">
        <x:v>3</x:v>
      </x:c>
      <x:c r="AJ287" s="18" t="n">
        <x:v>184055.5</x:v>
      </x:c>
      <x:c r="AK287" s="14" t="str">
        <x:v>https://prozorro.gov.ua/tender/UA-2026-08-06-004132-a</x:v>
      </x:c>
      <x:c r="AL287" s="19" t="n">
        <x:v>46240.36383484954</x:v>
      </x:c>
      <x:c r="AM287" s="19" t="n">
        <x:v>46387</x:v>
      </x:c>
      <x:c r="AN287" s="15" t="str">
        <x:v>HVAC / ОВіК</x:v>
      </x:c>
      <x:c r="AO287" s="15" t="str">
        <x:v>not_found_in_top_search</x:v>
      </x:c>
    </x:row>
    <x:row r="288">
      <x:c r="A288" s="14" t="str">
        <x:v>W3-016</x:v>
      </x:c>
      <x:c r="B288" s="14" t="str">
        <x:v>Prozorro winners — 24.08</x:v>
      </x:c>
      <x:c r="C288" s="14" t="str">
        <x:v>УПРАВЛІННЯ ПОЛІЦІЇ ОХОРОНИ В РІВНЕНСЬКІЙ ОБЛАСТІ</x:v>
      </x:c>
      <x:c r="D288" s="14" t="str">
        <x:v>Електромонтаж</x:v>
      </x:c>
      <x:c r="E288" s="14" t="str">
        <x:v>Pilot now</x:v>
      </x:c>
      <x:c r="F288" s="17" t="str">
        <x:f>IF(E288="Pilot now",IF(P288&gt;=84,"P1",IF(P288&gt;=72,"P2","P3")),IF(E288="Expansion discovery",IF(Q288&gt;=88,"D1",IF(Q288&gt;=78,"D2","D3")),IF(E288="Later / requirements","L","Legacy")))</x:f>
        <x:v>P1</x:v>
      </x:c>
      <x:c r="G288" s="14" t="str"/>
      <x:c r="H288" s="14" t="str">
        <x:v>Пілот зараз — Н.15</x:v>
      </x:c>
      <x:c r="I288" s="16" t="n">
        <x:v>5</x:v>
      </x:c>
      <x:c r="J288" s="16" t="n">
        <x:v>5</x:v>
      </x:c>
      <x:c r="K288" s="16" t="n">
        <x:v>5</x:v>
      </x:c>
      <x:c r="L288" s="16" t="n">
        <x:v>1</x:v>
      </x:c>
      <x:c r="M288" s="16" t="n">
        <x:v>5</x:v>
      </x:c>
      <x:c r="N288" s="16" t="n">
        <x:v>5</x:v>
      </x:c>
      <x:c r="O288" s="16" t="n">
        <x:v>5</x:v>
      </x:c>
      <x:c r="P288" s="16" t="n">
        <x:f>IF(COUNT(I288:O288)&lt;7,"",I288*8+J288*3+K288*2+L288*2+M288*2+N288*2+O288)</x:f>
        <x:v>92</x:v>
      </x:c>
      <x:c r="Q288" s="16" t="n">
        <x:f>IF(COUNT(J288:O288)&lt;6,"",J288*5+K288*4+M288*4+L288*3+N288*2+O288*2)</x:f>
        <x:v>88</x:v>
      </x:c>
      <x:c r="R288" s="14" t="str">
        <x:v>high</x:v>
      </x:c>
      <x:c r="S288" s="14" t="str">
        <x:v>official_prozorro_award_2025_2026</x:v>
      </x:c>
      <x:c r="T288" s="14" t="str">
        <x:v>official_prozorro_api</x:v>
      </x:c>
      <x:c r="U288" s="14" t="str">
        <x:v>Не контактували</x:v>
      </x:c>
      <x:c r="V288" s="15" t="str">
        <x:v>Персоналізований free-pilot outreach по UA-2026-08-24-001515-a; попросити 1 пакет Н.14/Н.15</x:v>
      </x:c>
      <x:c r="W288" s="15" t="str">
        <x:v>Власник / директор; керівник ПТО; відповідальний за договори</x:v>
      </x:c>
      <x:c r="X288" s="15" t="str">
        <x:v>4 підтверджених перемог/договорів у Prozorro на 79 670 грн; 4 проєктів зі строком виконання не раніше 24.08.2026.</x:v>
      </x:c>
      <x:c r="Y288" s="15" t="str">
        <x:v>Електромонтажні роботи; строк до 2026-12-31. Попросити один знеособлений пакет здачі за цим workflow.</x:v>
      </x:c>
      <x:c r="Z288" s="15" t="str">
        <x:v>https://prozorro.gov.ua/tender/UA-2026-08-24-001515-a</x:v>
      </x:c>
      <x:c r="AA288" s="14" t="str">
        <x:v>40108908</x:v>
      </x:c>
      <x:c r="AB288" s="14" t="str">
        <x:v>2026-08-24</x:v>
      </x:c>
      <x:c r="AC288" s="14" t="str"/>
      <x:c r="AD288" s="20" t="str"/>
      <x:c r="AE288" s="14" t="str"/>
      <x:c r="AF288" s="14" t="n">
        <x:v>80</x:v>
      </x:c>
      <x:c r="AG288" s="14" t="str">
        <x:v>I1</x:v>
      </x:c>
      <x:c r="AH288" s="14" t="n">
        <x:v>4</x:v>
      </x:c>
      <x:c r="AI288" s="14" t="n">
        <x:v>4</x:v>
      </x:c>
      <x:c r="AJ288" s="18" t="n">
        <x:v>79669.72</x:v>
      </x:c>
      <x:c r="AK288" s="14" t="str">
        <x:v>https://prozorro.gov.ua/tender/UA-2026-08-24-001515-a</x:v>
      </x:c>
      <x:c r="AL288" s="19" t="n">
        <x:v>46258.307093055555</x:v>
      </x:c>
      <x:c r="AM288" s="19" t="n">
        <x:v>46387</x:v>
      </x:c>
      <x:c r="AN288" s="15" t="str">
        <x:v>Електромонтаж; Пожежогасіння</x:v>
      </x:c>
      <x:c r="AO288" s="15" t="str">
        <x:v>not_found_in_top_search</x:v>
      </x:c>
    </x:row>
    <x:row r="289">
      <x:c r="A289" s="14" t="str">
        <x:v>W3-017</x:v>
      </x:c>
      <x:c r="B289" s="14" t="str">
        <x:v>Prozorro winners — 24.08</x:v>
      </x:c>
      <x:c r="C289" s="14" t="str">
        <x:v>ТОВАРИСТВО З ОБМЕЖЕНОЮ ВІДПОВІДАЛЬНІСТЮ "ХАРКІВСЬКЕ СПЕЦІАЛІЗОВАНЕ МОНТАЖНО-ЕКСПЛУАТАЦІЙНЕ ПІДПРИЄМСТВО"</x:v>
      </x:c>
      <x:c r="D289" s="14" t="str">
        <x:v>Теплові мережі</x:v>
      </x:c>
      <x:c r="E289" s="14" t="str">
        <x:v>Expansion discovery</x:v>
      </x:c>
      <x:c r="F289" s="17" t="str">
        <x:f>IF(E289="Pilot now",IF(P289&gt;=84,"P1",IF(P289&gt;=72,"P2","P3")),IF(E289="Expansion discovery",IF(Q289&gt;=88,"D1",IF(Q289&gt;=78,"D2","D3")),IF(E289="Later / requirements","L","Legacy")))</x:f>
        <x:v>D1</x:v>
      </x:c>
      <x:c r="G289" s="14" t="str"/>
      <x:c r="H289" s="14" t="str">
        <x:v>Discovery розширення — 2 тижні</x:v>
      </x:c>
      <x:c r="I289" s="16" t="n">
        <x:v>1</x:v>
      </x:c>
      <x:c r="J289" s="16" t="n">
        <x:v>5</x:v>
      </x:c>
      <x:c r="K289" s="16" t="n">
        <x:v>4</x:v>
      </x:c>
      <x:c r="L289" s="16" t="n">
        <x:v>5</x:v>
      </x:c>
      <x:c r="M289" s="16" t="n">
        <x:v>5</x:v>
      </x:c>
      <x:c r="N289" s="16" t="n">
        <x:v>5</x:v>
      </x:c>
      <x:c r="O289" s="16" t="n">
        <x:v>5</x:v>
      </x:c>
      <x:c r="P289" s="16" t="n">
        <x:f>IF(COUNT(I289:O289)&lt;7,"",I289*8+J289*3+K289*2+L289*2+M289*2+N289*2+O289)</x:f>
        <x:v>66</x:v>
      </x:c>
      <x:c r="Q289" s="16" t="n">
        <x:f>IF(COUNT(J289:O289)&lt;6,"",J289*5+K289*4+M289*4+L289*3+N289*2+O289*2)</x:f>
        <x:v>96</x:v>
      </x:c>
      <x:c r="R289" s="14" t="str">
        <x:v>high</x:v>
      </x:c>
      <x:c r="S289" s="14" t="str">
        <x:v>official_prozorro_award_2025_2026</x:v>
      </x:c>
      <x:c r="T289" s="14" t="str">
        <x:v>official_prozorro_api</x:v>
      </x:c>
      <x:c r="U289" s="14" t="str">
        <x:v>Не контактували</x:v>
      </x:c>
      <x:c r="V289" s="15" t="str">
        <x:v>Workflow-audit outreach по UA-2026-08-20-002201-a; попросити 1 пакет здачі та вимоги проєкту</x:v>
      </x:c>
      <x:c r="W289" s="15" t="str">
        <x:v>Власник / директор; керівник ПТО; відповідальний за договори</x:v>
      </x:c>
      <x:c r="X289" s="15" t="str">
        <x:v>2 підтверджених перемог/договорів у Prozorro на 55 888 389 грн; 2 проєктів зі строком виконання не раніше 24.08.2026.</x:v>
      </x:c>
      <x:c r="Y289" s="15" t="str">
        <x:v>Реконструкція об’єкту КП "Харківські теплові мережі" шляхом встановлення КГУ. Когенераційна установка за адресою: вул. **********, м. Харків. Улаштування зовнішніх стін адміністративно-виробничого корпусу. Улаштування покрівлі (код ДК 021:2015 – 45454000-4 "Реконструкція").; строк до 2026-11-30. Попросити один знеособлений пакет здачі за цим workflow.</x:v>
      </x:c>
      <x:c r="Z289" s="15" t="str">
        <x:v>https://prozorro.gov.ua/tender/UA-2026-08-20-002201-a</x:v>
      </x:c>
      <x:c r="AA289" s="14" t="str">
        <x:v>39425391</x:v>
      </x:c>
      <x:c r="AB289" s="14" t="str">
        <x:v>2026-08-24</x:v>
      </x:c>
      <x:c r="AC289" s="14" t="str"/>
      <x:c r="AD289" s="20" t="str"/>
      <x:c r="AE289" s="14" t="str"/>
      <x:c r="AF289" s="14" t="n">
        <x:v>78</x:v>
      </x:c>
      <x:c r="AG289" s="14" t="str">
        <x:v>I1</x:v>
      </x:c>
      <x:c r="AH289" s="14" t="n">
        <x:v>2</x:v>
      </x:c>
      <x:c r="AI289" s="14" t="n">
        <x:v>2</x:v>
      </x:c>
      <x:c r="AJ289" s="18" t="n">
        <x:v>55888389.15</x:v>
      </x:c>
      <x:c r="AK289" s="14" t="str">
        <x:v>https://prozorro.gov.ua/tender/UA-2026-08-20-002201-a</x:v>
      </x:c>
      <x:c r="AL289" s="19" t="n">
        <x:v>46254.30926731481</x:v>
      </x:c>
      <x:c r="AM289" s="19" t="n">
        <x:v>46356</x:v>
      </x:c>
      <x:c r="AN289" s="15" t="str">
        <x:v>Теплові мережі</x:v>
      </x:c>
      <x:c r="AO289" s="15" t="str">
        <x:v>not_found_in_top_search</x:v>
      </x:c>
    </x:row>
    <x:row r="290">
      <x:c r="A290" s="14" t="str">
        <x:v>W3-018</x:v>
      </x:c>
      <x:c r="B290" s="14" t="str">
        <x:v>Prozorro winners — 24.08</x:v>
      </x:c>
      <x:c r="C290" s="14" t="str">
        <x:v>ТОВАРИСТВО З ОБМЕЖЕНОЮ ВІДПОВІДАЛЬНІСТЮ "БУДІВЕЛЬНА КОМПАНІЯ "МІСТОБУДІВНИК"</x:v>
      </x:c>
      <x:c r="D290" s="14" t="str">
        <x:v>Газопостачання / котельні</x:v>
      </x:c>
      <x:c r="E290" s="14" t="str">
        <x:v>Expansion discovery</x:v>
      </x:c>
      <x:c r="F290" s="17" t="str">
        <x:f>IF(E290="Pilot now",IF(P290&gt;=84,"P1",IF(P290&gt;=72,"P2","P3")),IF(E290="Expansion discovery",IF(Q290&gt;=88,"D1",IF(Q290&gt;=78,"D2","D3")),IF(E290="Later / requirements","L","Legacy")))</x:f>
        <x:v>D1</x:v>
      </x:c>
      <x:c r="G290" s="14" t="str"/>
      <x:c r="H290" s="14" t="str">
        <x:v>Discovery розширення — 2 тижні</x:v>
      </x:c>
      <x:c r="I290" s="16" t="n">
        <x:v>1</x:v>
      </x:c>
      <x:c r="J290" s="16" t="n">
        <x:v>5</x:v>
      </x:c>
      <x:c r="K290" s="16" t="n">
        <x:v>4</x:v>
      </x:c>
      <x:c r="L290" s="16" t="n">
        <x:v>5</x:v>
      </x:c>
      <x:c r="M290" s="16" t="n">
        <x:v>5</x:v>
      </x:c>
      <x:c r="N290" s="16" t="n">
        <x:v>5</x:v>
      </x:c>
      <x:c r="O290" s="16" t="n">
        <x:v>5</x:v>
      </x:c>
      <x:c r="P290" s="16" t="n">
        <x:f>IF(COUNT(I290:O290)&lt;7,"",I290*8+J290*3+K290*2+L290*2+M290*2+N290*2+O290)</x:f>
        <x:v>66</x:v>
      </x:c>
      <x:c r="Q290" s="16" t="n">
        <x:f>IF(COUNT(J290:O290)&lt;6,"",J290*5+K290*4+M290*4+L290*3+N290*2+O290*2)</x:f>
        <x:v>96</x:v>
      </x:c>
      <x:c r="R290" s="14" t="str">
        <x:v>high</x:v>
      </x:c>
      <x:c r="S290" s="14" t="str">
        <x:v>official_prozorro_award_2025_2026</x:v>
      </x:c>
      <x:c r="T290" s="14" t="str">
        <x:v>official_prozorro_api</x:v>
      </x:c>
      <x:c r="U290" s="14" t="str">
        <x:v>Не контактували</x:v>
      </x:c>
      <x:c r="V290" s="15" t="str">
        <x:v>Workflow-audit outreach по UA-2026-08-21-003258-a; попросити 1 пакет здачі та вимоги проєкту</x:v>
      </x:c>
      <x:c r="W290" s="15" t="str">
        <x:v>Власник / директор; керівник ПТО; відповідальний за договори</x:v>
      </x:c>
      <x:c r="X290" s="15" t="str">
        <x:v>2 підтверджених перемог/договорів у Prozorro на 16 966 548 грн; 2 проєктів зі строком виконання не раніше 24.08.2026.</x:v>
      </x:c>
      <x:c r="Y290" s="15" t="str">
        <x:v>«Нове будівництво модульної транспортабельної котельні в м. Харкові за адресою: вул. *** (резервного живлення). Монтаж блочно-модульної котельні, теплових мереж, зовнішнього водопроводу та дренажів» (по ДК 021:2015 – 45251000-1 – Будівництво електростанцій і теплових станцій); строк до 2026-12-31. Попросити один знеособлений пакет здачі за цим workflow.</x:v>
      </x:c>
      <x:c r="Z290" s="15" t="str">
        <x:v>https://prozorro.gov.ua/tender/UA-2026-08-21-003258-a</x:v>
      </x:c>
      <x:c r="AA290" s="14" t="str">
        <x:v>42593196</x:v>
      </x:c>
      <x:c r="AB290" s="14" t="str">
        <x:v>2026-08-24</x:v>
      </x:c>
      <x:c r="AC290" s="14" t="str"/>
      <x:c r="AD290" s="20" t="str"/>
      <x:c r="AE290" s="14" t="str"/>
      <x:c r="AF290" s="14" t="n">
        <x:v>78</x:v>
      </x:c>
      <x:c r="AG290" s="14" t="str">
        <x:v>I1</x:v>
      </x:c>
      <x:c r="AH290" s="14" t="n">
        <x:v>2</x:v>
      </x:c>
      <x:c r="AI290" s="14" t="n">
        <x:v>2</x:v>
      </x:c>
      <x:c r="AJ290" s="18" t="n">
        <x:v>16966547.87</x:v>
      </x:c>
      <x:c r="AK290" s="14" t="str">
        <x:v>https://prozorro.gov.ua/tender/UA-2026-08-21-003258-a</x:v>
      </x:c>
      <x:c r="AL290" s="19" t="n">
        <x:v>46255.331701828705</x:v>
      </x:c>
      <x:c r="AM290" s="19" t="n">
        <x:v>46387</x:v>
      </x:c>
      <x:c r="AN290" s="15" t="str">
        <x:v>Газопостачання / котельні</x:v>
      </x:c>
      <x:c r="AO290" s="15" t="str">
        <x:v>not_found_in_top_search</x:v>
      </x:c>
    </x:row>
    <x:row r="291">
      <x:c r="A291" s="14" t="str">
        <x:v>W3-019</x:v>
      </x:c>
      <x:c r="B291" s="14" t="str">
        <x:v>Prozorro winners — 24.08</x:v>
      </x:c>
      <x:c r="C291" s="14" t="str">
        <x:v>ТОВ МІСТОСПЕЦБУДРОЕКТ</x:v>
      </x:c>
      <x:c r="D291" s="14" t="str">
        <x:v>Зовнішні мережі</x:v>
      </x:c>
      <x:c r="E291" s="14" t="str">
        <x:v>Expansion discovery</x:v>
      </x:c>
      <x:c r="F291" s="17" t="str">
        <x:f>IF(E291="Pilot now",IF(P291&gt;=84,"P1",IF(P291&gt;=72,"P2","P3")),IF(E291="Expansion discovery",IF(Q291&gt;=88,"D1",IF(Q291&gt;=78,"D2","D3")),IF(E291="Later / requirements","L","Legacy")))</x:f>
        <x:v>D1</x:v>
      </x:c>
      <x:c r="G291" s="14" t="str"/>
      <x:c r="H291" s="14" t="str">
        <x:v>Discovery розширення — 2 тижні</x:v>
      </x:c>
      <x:c r="I291" s="16" t="n">
        <x:v>1</x:v>
      </x:c>
      <x:c r="J291" s="16" t="n">
        <x:v>5</x:v>
      </x:c>
      <x:c r="K291" s="16" t="n">
        <x:v>4</x:v>
      </x:c>
      <x:c r="L291" s="16" t="n">
        <x:v>5</x:v>
      </x:c>
      <x:c r="M291" s="16" t="n">
        <x:v>5</x:v>
      </x:c>
      <x:c r="N291" s="16" t="n">
        <x:v>5</x:v>
      </x:c>
      <x:c r="O291" s="16" t="n">
        <x:v>5</x:v>
      </x:c>
      <x:c r="P291" s="16" t="n">
        <x:f>IF(COUNT(I291:O291)&lt;7,"",I291*8+J291*3+K291*2+L291*2+M291*2+N291*2+O291)</x:f>
        <x:v>66</x:v>
      </x:c>
      <x:c r="Q291" s="16" t="n">
        <x:f>IF(COUNT(J291:O291)&lt;6,"",J291*5+K291*4+M291*4+L291*3+N291*2+O291*2)</x:f>
        <x:v>96</x:v>
      </x:c>
      <x:c r="R291" s="14" t="str">
        <x:v>high</x:v>
      </x:c>
      <x:c r="S291" s="14" t="str">
        <x:v>official_prozorro_award_2025_2026</x:v>
      </x:c>
      <x:c r="T291" s="14" t="str">
        <x:v>official_prozorro_api</x:v>
      </x:c>
      <x:c r="U291" s="14" t="str">
        <x:v>Не контактували</x:v>
      </x:c>
      <x:c r="V291" s="15" t="str">
        <x:v>Workflow-audit outreach по UA-2026-08-07-005634-a; попросити 1 пакет здачі та вимоги проєкту</x:v>
      </x:c>
      <x:c r="W291" s="15" t="str">
        <x:v>Власник / директор; керівник ПТО; відповідальний за договори</x:v>
      </x:c>
      <x:c r="X291" s="15" t="str">
        <x:v>2 підтверджених перемог/договорів у Prozorro на 11 013 224 грн; 2 проєктів зі строком виконання не раніше 24.08.2026.</x:v>
      </x:c>
      <x:c r="Y291" s="15" t="str">
        <x:v>«Будівництво багатоквартирних житлових будинків соціального призначення та дошкільного навчального закладу в другому мікрорайоні житлового району “Масани” у м. Чернігів на земельних ділянках, які перебувають в постійному користуванні: зовнішні інженерні мережі зливової каналізації та системи дренажної каналізації» (коригування); строк до 2026-09-11. Попросити один знеособлений пакет здачі за цим workflow.</x:v>
      </x:c>
      <x:c r="Z291" s="15" t="str">
        <x:v>https://prozorro.gov.ua/tender/UA-2026-08-07-005634-a</x:v>
      </x:c>
      <x:c r="AA291" s="14" t="str">
        <x:v>45342931</x:v>
      </x:c>
      <x:c r="AB291" s="14" t="str">
        <x:v>2026-08-24</x:v>
      </x:c>
      <x:c r="AC291" s="14" t="str"/>
      <x:c r="AD291" s="20" t="str"/>
      <x:c r="AE291" s="14" t="str"/>
      <x:c r="AF291" s="14" t="n">
        <x:v>78</x:v>
      </x:c>
      <x:c r="AG291" s="14" t="str">
        <x:v>I1</x:v>
      </x:c>
      <x:c r="AH291" s="14" t="n">
        <x:v>2</x:v>
      </x:c>
      <x:c r="AI291" s="14" t="n">
        <x:v>2</x:v>
      </x:c>
      <x:c r="AJ291" s="18" t="n">
        <x:v>11013223.73</x:v>
      </x:c>
      <x:c r="AK291" s="14" t="str">
        <x:v>https://prozorro.gov.ua/tender/UA-2026-08-07-005634-a</x:v>
      </x:c>
      <x:c r="AL291" s="19" t="n">
        <x:v>46241.403738125</x:v>
      </x:c>
      <x:c r="AM291" s="19" t="n">
        <x:v>46276</x:v>
      </x:c>
      <x:c r="AN291" s="15" t="str">
        <x:v>Зовнішні мережі</x:v>
      </x:c>
      <x:c r="AO291" s="15" t="str">
        <x:v>not_found_in_top_search</x:v>
      </x:c>
    </x:row>
    <x:row r="292">
      <x:c r="A292" s="14" t="str">
        <x:v>W3-020</x:v>
      </x:c>
      <x:c r="B292" s="14" t="str">
        <x:v>Prozorro winners — 24.08</x:v>
      </x:c>
      <x:c r="C292" s="14" t="str">
        <x:v>ФОП Яковлева Олена Юріївна</x:v>
      </x:c>
      <x:c r="D292" s="14" t="str">
        <x:v>Електромонтаж</x:v>
      </x:c>
      <x:c r="E292" s="14" t="str">
        <x:v>Pilot now</x:v>
      </x:c>
      <x:c r="F292" s="17" t="str">
        <x:f>IF(E292="Pilot now",IF(P292&gt;=84,"P1",IF(P292&gt;=72,"P2","P3")),IF(E292="Expansion discovery",IF(Q292&gt;=88,"D1",IF(Q292&gt;=78,"D2","D3")),IF(E292="Later / requirements","L","Legacy")))</x:f>
        <x:v>P1</x:v>
      </x:c>
      <x:c r="G292" s="14" t="str"/>
      <x:c r="H292" s="14" t="str">
        <x:v>Пілот зараз — Н.15</x:v>
      </x:c>
      <x:c r="I292" s="16" t="n">
        <x:v>5</x:v>
      </x:c>
      <x:c r="J292" s="16" t="n">
        <x:v>5</x:v>
      </x:c>
      <x:c r="K292" s="16" t="n">
        <x:v>5</x:v>
      </x:c>
      <x:c r="L292" s="16" t="n">
        <x:v>2</x:v>
      </x:c>
      <x:c r="M292" s="16" t="n">
        <x:v>5</x:v>
      </x:c>
      <x:c r="N292" s="16" t="n">
        <x:v>3</x:v>
      </x:c>
      <x:c r="O292" s="16" t="n">
        <x:v>5</x:v>
      </x:c>
      <x:c r="P292" s="16" t="n">
        <x:f>IF(COUNT(I292:O292)&lt;7,"",I292*8+J292*3+K292*2+L292*2+M292*2+N292*2+O292)</x:f>
        <x:v>90</x:v>
      </x:c>
      <x:c r="Q292" s="16" t="n">
        <x:f>IF(COUNT(J292:O292)&lt;6,"",J292*5+K292*4+M292*4+L292*3+N292*2+O292*2)</x:f>
        <x:v>87</x:v>
      </x:c>
      <x:c r="R292" s="14" t="str">
        <x:v>high</x:v>
      </x:c>
      <x:c r="S292" s="14" t="str">
        <x:v>official_prozorro_award_2025_2026</x:v>
      </x:c>
      <x:c r="T292" s="14" t="str">
        <x:v>official_prozorro_api</x:v>
      </x:c>
      <x:c r="U292" s="14" t="str">
        <x:v>Не контактували</x:v>
      </x:c>
      <x:c r="V292" s="15" t="str">
        <x:v>Персоналізований free-pilot outreach по UA-2026-08-10-005395-a; попросити 1 пакет Н.14/Н.15</x:v>
      </x:c>
      <x:c r="W292" s="15" t="str">
        <x:v>Власник / виконавець; відповідальний за договір</x:v>
      </x:c>
      <x:c r="X292" s="15" t="str">
        <x:v>5 підтверджених перемог/договорів у Prozorro на 303 559 грн; 4 проєктів зі строком виконання не раніше 24.08.2026.</x:v>
      </x:c>
      <x:c r="Y292" s="15" t="str">
        <x:v>Роботи з виготовлення проєктно-кошторисної документації: "Реконструкція електричних мереж ГКНС "Синяківська" КП "НУВКГ" шляхом монтажу електрогенеруючої установки для заміщення власного споживання електроенергії номінальною потужністю по інвертору 100 кВт з АКБ 500 кВт"; строк до 2026-09-01. Попросити один знеособлений пакет здачі за цим workflow.</x:v>
      </x:c>
      <x:c r="Z292" s="15" t="str">
        <x:v>https://prozorro.gov.ua/tender/UA-2026-08-10-005395-a</x:v>
      </x:c>
      <x:c r="AA292" s="14" t="str">
        <x:v>3224411667</x:v>
      </x:c>
      <x:c r="AB292" s="14" t="str">
        <x:v>2026-08-24</x:v>
      </x:c>
      <x:c r="AC292" s="14" t="str"/>
      <x:c r="AD292" s="20" t="str"/>
      <x:c r="AE292" s="14" t="str"/>
      <x:c r="AF292" s="14" t="n">
        <x:v>78</x:v>
      </x:c>
      <x:c r="AG292" s="14" t="str">
        <x:v>I1</x:v>
      </x:c>
      <x:c r="AH292" s="14" t="n">
        <x:v>5</x:v>
      </x:c>
      <x:c r="AI292" s="14" t="n">
        <x:v>4</x:v>
      </x:c>
      <x:c r="AJ292" s="18" t="n">
        <x:v>303559.2</x:v>
      </x:c>
      <x:c r="AK292" s="14" t="str">
        <x:v>https://prozorro.gov.ua/tender/UA-2026-08-10-005395-a</x:v>
      </x:c>
      <x:c r="AL292" s="19" t="n">
        <x:v>46244.46695519676</x:v>
      </x:c>
      <x:c r="AM292" s="19" t="n">
        <x:v>46266.437002314815</x:v>
      </x:c>
      <x:c r="AN292" s="15" t="str">
        <x:v>Електромонтаж</x:v>
      </x:c>
      <x:c r="AO292" s="15" t="str">
        <x:v>not_found_in_top_search</x:v>
      </x:c>
    </x:row>
    <x:row r="293">
      <x:c r="A293" s="14" t="str">
        <x:v>W3-021</x:v>
      </x:c>
      <x:c r="B293" s="14" t="str">
        <x:v>Prozorro winners — 24.08</x:v>
      </x:c>
      <x:c r="C293" s="14" t="str">
        <x:v>ТОВ "ОПАЛ"</x:v>
      </x:c>
      <x:c r="D293" s="14" t="str">
        <x:v>Сонячна енергетика</x:v>
      </x:c>
      <x:c r="E293" s="14" t="str">
        <x:v>Expansion discovery</x:v>
      </x:c>
      <x:c r="F293" s="17" t="str">
        <x:f>IF(E293="Pilot now",IF(P293&gt;=84,"P1",IF(P293&gt;=72,"P2","P3")),IF(E293="Expansion discovery",IF(Q293&gt;=88,"D1",IF(Q293&gt;=78,"D2","D3")),IF(E293="Later / requirements","L","Legacy")))</x:f>
        <x:v>D1</x:v>
      </x:c>
      <x:c r="G293" s="14" t="str">
        <x:v>opal.lviv.ua</x:v>
      </x:c>
      <x:c r="H293" s="14" t="str">
        <x:v>Discovery розширення — 2 тижні</x:v>
      </x:c>
      <x:c r="I293" s="16" t="n">
        <x:v>1</x:v>
      </x:c>
      <x:c r="J293" s="16" t="n">
        <x:v>5</x:v>
      </x:c>
      <x:c r="K293" s="16" t="n">
        <x:v>4</x:v>
      </x:c>
      <x:c r="L293" s="16" t="n">
        <x:v>4</x:v>
      </x:c>
      <x:c r="M293" s="16" t="n">
        <x:v>5</x:v>
      </x:c>
      <x:c r="N293" s="16" t="n">
        <x:v>5</x:v>
      </x:c>
      <x:c r="O293" s="16" t="n">
        <x:v>5</x:v>
      </x:c>
      <x:c r="P293" s="16" t="n">
        <x:f>IF(COUNT(I293:O293)&lt;7,"",I293*8+J293*3+K293*2+L293*2+M293*2+N293*2+O293)</x:f>
        <x:v>64</x:v>
      </x:c>
      <x:c r="Q293" s="16" t="n">
        <x:f>IF(COUNT(J293:O293)&lt;6,"",J293*5+K293*4+M293*4+L293*3+N293*2+O293*2)</x:f>
        <x:v>93</x:v>
      </x:c>
      <x:c r="R293" s="14" t="str">
        <x:v>high</x:v>
      </x:c>
      <x:c r="S293" s="14" t="str">
        <x:v>official_prozorro_award_2025_2026</x:v>
      </x:c>
      <x:c r="T293" s="14" t="str">
        <x:v>official_prozorro_api</x:v>
      </x:c>
      <x:c r="U293" s="14" t="str">
        <x:v>Не контактували</x:v>
      </x:c>
      <x:c r="V293" s="15" t="str">
        <x:v>Workflow-audit outreach по UA-2026-06-23-009106-a; попросити 1 пакет здачі та вимоги проєкту</x:v>
      </x:c>
      <x:c r="W293" s="15" t="str">
        <x:v>Власник / директор; керівник ПТО; відповідальний за договори</x:v>
      </x:c>
      <x:c r="X293" s="15" t="str">
        <x:v>3 підтверджених перемог/договорів у Prozorro на 2 544 900 грн; 1 проєктів зі строком виконання не раніше 24.08.2026.</x:v>
      </x:c>
      <x:c r="Y293" s="15" t="str">
        <x:v>Реконструкція електромереж головної каналізаційної насосної станції ДП «Рогатин-Водоканал» шляхом встановлення гібридної сонячної електростанції за адресою: вулиця Драгоманова 41,місто Рогатин, Івано-Франківського району, Івано-Франківської області; строк до 2026-08-31. Попросити один знеособлений пакет здачі за цим workflow.</x:v>
      </x:c>
      <x:c r="Z293" s="15" t="str">
        <x:v>https://prozorro.gov.ua/tender/UA-2026-06-23-009106-a</x:v>
      </x:c>
      <x:c r="AA293" s="14" t="str">
        <x:v>22346348</x:v>
      </x:c>
      <x:c r="AB293" s="14" t="str">
        <x:v>2026-08-24</x:v>
      </x:c>
      <x:c r="AC293" s="14" t="str"/>
      <x:c r="AD293" s="20" t="str"/>
      <x:c r="AE293" s="14" t="str"/>
      <x:c r="AF293" s="14" t="n">
        <x:v>77</x:v>
      </x:c>
      <x:c r="AG293" s="14" t="str">
        <x:v>I1</x:v>
      </x:c>
      <x:c r="AH293" s="14" t="n">
        <x:v>3</x:v>
      </x:c>
      <x:c r="AI293" s="14" t="n">
        <x:v>1</x:v>
      </x:c>
      <x:c r="AJ293" s="18" t="n">
        <x:v>2544900</x:v>
      </x:c>
      <x:c r="AK293" s="14" t="str">
        <x:v>https://prozorro.gov.ua/tender/UA-2026-06-23-009106-a</x:v>
      </x:c>
      <x:c r="AL293" s="19" t="n">
        <x:v>46219.47636990741</x:v>
      </x:c>
      <x:c r="AM293" s="19" t="n">
        <x:v>46265</x:v>
      </x:c>
      <x:c r="AN293" s="15" t="str">
        <x:v>Сонячна енергетика; Насосні станції</x:v>
      </x:c>
      <x:c r="AO293" s="15" t="str">
        <x:v>supplier_provided_url</x:v>
      </x:c>
    </x:row>
    <x:row r="294">
      <x:c r="A294" s="14" t="str">
        <x:v>W3-022</x:v>
      </x:c>
      <x:c r="B294" s="14" t="str">
        <x:v>Prozorro winners — 24.08</x:v>
      </x:c>
      <x:c r="C294" s="14" t="str">
        <x:v>ТОВАРИСТВО З ОБМЕЖЕНОЮ ВІД­ПО­ВІД­АЛЬ­НІ­СТЮ «РУБІКОН УКРАЇНА»</x:v>
      </x:c>
      <x:c r="D294" s="14" t="str">
        <x:v>Електромонтаж</x:v>
      </x:c>
      <x:c r="E294" s="14" t="str">
        <x:v>Pilot now</x:v>
      </x:c>
      <x:c r="F294" s="17" t="str">
        <x:f>IF(E294="Pilot now",IF(P294&gt;=84,"P1",IF(P294&gt;=72,"P2","P3")),IF(E294="Expansion discovery",IF(Q294&gt;=88,"D1",IF(Q294&gt;=78,"D2","D3")),IF(E294="Later / requirements","L","Legacy")))</x:f>
        <x:v>P1</x:v>
      </x:c>
      <x:c r="G294" s="14" t="str"/>
      <x:c r="H294" s="14" t="str">
        <x:v>Пілот зараз — Н.15</x:v>
      </x:c>
      <x:c r="I294" s="16" t="n">
        <x:v>5</x:v>
      </x:c>
      <x:c r="J294" s="16" t="n">
        <x:v>5</x:v>
      </x:c>
      <x:c r="K294" s="16" t="n">
        <x:v>5</x:v>
      </x:c>
      <x:c r="L294" s="16" t="n">
        <x:v>1</x:v>
      </x:c>
      <x:c r="M294" s="16" t="n">
        <x:v>5</x:v>
      </x:c>
      <x:c r="N294" s="16" t="n">
        <x:v>5</x:v>
      </x:c>
      <x:c r="O294" s="16" t="n">
        <x:v>5</x:v>
      </x:c>
      <x:c r="P294" s="16" t="n">
        <x:f>IF(COUNT(I294:O294)&lt;7,"",I294*8+J294*3+K294*2+L294*2+M294*2+N294*2+O294)</x:f>
        <x:v>92</x:v>
      </x:c>
      <x:c r="Q294" s="16" t="n">
        <x:f>IF(COUNT(J294:O294)&lt;6,"",J294*5+K294*4+M294*4+L294*3+N294*2+O294*2)</x:f>
        <x:v>88</x:v>
      </x:c>
      <x:c r="R294" s="14" t="str">
        <x:v>high</x:v>
      </x:c>
      <x:c r="S294" s="14" t="str">
        <x:v>official_prozorro_award_2025_2026</x:v>
      </x:c>
      <x:c r="T294" s="14" t="str">
        <x:v>official_prozorro_api</x:v>
      </x:c>
      <x:c r="U294" s="14" t="str">
        <x:v>Не контактували</x:v>
      </x:c>
      <x:c r="V294" s="15" t="str">
        <x:v>Персоналізований free-pilot outreach по UA-2026-08-17-001339-a; попросити 1 пакет Н.14/Н.15</x:v>
      </x:c>
      <x:c r="W294" s="15" t="str">
        <x:v>Власник / директор; керівник ПТО; відповідальний за договори</x:v>
      </x:c>
      <x:c r="X294" s="15" t="str">
        <x:v>8 підтверджених перемог/договорів у Prozorro на 45 000 грн; 8 проєктів зі строком виконання не раніше 24.08.2026.</x:v>
      </x:c>
      <x:c r="Y294" s="15" t="str">
        <x:v>Електромонтажні роботи; строк до 2026-12-31. Попросити один знеособлений пакет здачі за цим workflow.</x:v>
      </x:c>
      <x:c r="Z294" s="15" t="str">
        <x:v>https://prozorro.gov.ua/tender/UA-2026-08-17-001339-a</x:v>
      </x:c>
      <x:c r="AA294" s="14" t="str">
        <x:v>44966837</x:v>
      </x:c>
      <x:c r="AB294" s="14" t="str">
        <x:v>2026-08-24</x:v>
      </x:c>
      <x:c r="AC294" s="14" t="str"/>
      <x:c r="AD294" s="20" t="str"/>
      <x:c r="AE294" s="14" t="str"/>
      <x:c r="AF294" s="14" t="n">
        <x:v>77</x:v>
      </x:c>
      <x:c r="AG294" s="14" t="str">
        <x:v>I1</x:v>
      </x:c>
      <x:c r="AH294" s="14" t="n">
        <x:v>8</x:v>
      </x:c>
      <x:c r="AI294" s="14" t="n">
        <x:v>8</x:v>
      </x:c>
      <x:c r="AJ294" s="18" t="n">
        <x:v>45000</x:v>
      </x:c>
      <x:c r="AK294" s="14" t="str">
        <x:v>https://prozorro.gov.ua/tender/UA-2026-08-17-001339-a</x:v>
      </x:c>
      <x:c r="AL294" s="19" t="n">
        <x:v>46251.29428900463</x:v>
      </x:c>
      <x:c r="AM294" s="19" t="n">
        <x:v>46387</x:v>
      </x:c>
      <x:c r="AN294" s="15" t="str">
        <x:v>Електромонтаж</x:v>
      </x:c>
      <x:c r="AO294" s="15" t="str">
        <x:v>not_found_in_top_search</x:v>
      </x:c>
    </x:row>
    <x:row r="295">
      <x:c r="A295" s="14" t="str">
        <x:v>W3-023</x:v>
      </x:c>
      <x:c r="B295" s="14" t="str">
        <x:v>Prozorro winners — 24.08</x:v>
      </x:c>
      <x:c r="C295" s="14" t="str">
        <x:v>ТОВАРИСТВО З ОБМЕЖЕНОЮ ВІДПОВІДАЛЬНІСТЮ "УКРСІТІСТРОЙ"</x:v>
      </x:c>
      <x:c r="D295" s="14" t="str">
        <x:v>ГНБ / безтраншейні роботи</x:v>
      </x:c>
      <x:c r="E295" s="14" t="str">
        <x:v>Expansion discovery</x:v>
      </x:c>
      <x:c r="F295" s="17" t="str">
        <x:f>IF(E295="Pilot now",IF(P295&gt;=84,"P1",IF(P295&gt;=72,"P2","P3")),IF(E295="Expansion discovery",IF(Q295&gt;=88,"D1",IF(Q295&gt;=78,"D2","D3")),IF(E295="Later / requirements","L","Legacy")))</x:f>
        <x:v>D1</x:v>
      </x:c>
      <x:c r="G295" s="14" t="str">
        <x:v>ukrsitistroy.com</x:v>
      </x:c>
      <x:c r="H295" s="14" t="str">
        <x:v>Discovery розширення — 2 тижні</x:v>
      </x:c>
      <x:c r="I295" s="16" t="n">
        <x:v>1</x:v>
      </x:c>
      <x:c r="J295" s="16" t="n">
        <x:v>5</x:v>
      </x:c>
      <x:c r="K295" s="16" t="n">
        <x:v>4</x:v>
      </x:c>
      <x:c r="L295" s="16" t="n">
        <x:v>5</x:v>
      </x:c>
      <x:c r="M295" s="16" t="n">
        <x:v>5</x:v>
      </x:c>
      <x:c r="N295" s="16" t="n">
        <x:v>5</x:v>
      </x:c>
      <x:c r="O295" s="16" t="n">
        <x:v>5</x:v>
      </x:c>
      <x:c r="P295" s="16" t="n">
        <x:f>IF(COUNT(I295:O295)&lt;7,"",I295*8+J295*3+K295*2+L295*2+M295*2+N295*2+O295)</x:f>
        <x:v>66</x:v>
      </x:c>
      <x:c r="Q295" s="16" t="n">
        <x:f>IF(COUNT(J295:O295)&lt;6,"",J295*5+K295*4+M295*4+L295*3+N295*2+O295*2)</x:f>
        <x:v>96</x:v>
      </x:c>
      <x:c r="R295" s="14" t="str">
        <x:v>high</x:v>
      </x:c>
      <x:c r="S295" s="14" t="str">
        <x:v>official_prozorro_award_2025_2026</x:v>
      </x:c>
      <x:c r="T295" s="14" t="str">
        <x:v>official_prozorro_api</x:v>
      </x:c>
      <x:c r="U295" s="14" t="str">
        <x:v>Не контактували</x:v>
      </x:c>
      <x:c r="V295" s="15" t="str">
        <x:v>Workflow-audit outreach по UA-2026-06-29-007384-a; попросити 1 пакет здачі та вимоги проєкту</x:v>
      </x:c>
      <x:c r="W295" s="15" t="str">
        <x:v>Власник / директор; керівник ПТО; відповідальний за договори</x:v>
      </x:c>
      <x:c r="X295" s="15" t="str">
        <x:v>2 підтверджених перемог/договорів у Prozorro на 63 567 512 грн; 1 проєктів зі строком виконання не раніше 24.08.2026.</x:v>
      </x:c>
      <x:c r="Y295" s="15" t="str">
        <x:v>Виконання будівельних робіт по об’єкту: «Нове будівництво зовнішніх інженерних мереж електропостачання, військове містечко № 20, с. Немирів, Львівська обл.» ; строк до 2027-02-15. Попросити один знеособлений пакет здачі за цим workflow.</x:v>
      </x:c>
      <x:c r="Z295" s="15" t="str">
        <x:v>https://prozorro.gov.ua/tender/UA-2026-06-29-007384-a</x:v>
      </x:c>
      <x:c r="AA295" s="14" t="str">
        <x:v>41398137</x:v>
      </x:c>
      <x:c r="AB295" s="14" t="str">
        <x:v>2026-08-24</x:v>
      </x:c>
      <x:c r="AC295" s="14" t="str"/>
      <x:c r="AD295" s="20" t="str"/>
      <x:c r="AE295" s="14" t="str"/>
      <x:c r="AF295" s="14" t="n">
        <x:v>76</x:v>
      </x:c>
      <x:c r="AG295" s="14" t="str">
        <x:v>I1</x:v>
      </x:c>
      <x:c r="AH295" s="14" t="n">
        <x:v>2</x:v>
      </x:c>
      <x:c r="AI295" s="14" t="n">
        <x:v>1</x:v>
      </x:c>
      <x:c r="AJ295" s="18" t="n">
        <x:v>63567512.4</x:v>
      </x:c>
      <x:c r="AK295" s="14" t="str">
        <x:v>https://prozorro.gov.ua/tender/UA-2026-06-29-007384-a</x:v>
      </x:c>
      <x:c r="AL295" s="19" t="n">
        <x:v>46216.30455521991</x:v>
      </x:c>
      <x:c r="AM295" s="19" t="n">
        <x:v>46433</x:v>
      </x:c>
      <x:c r="AN295" s="15" t="str">
        <x:v>ГНБ / безтраншейні роботи; Зовнішні мережі</x:v>
      </x:c>
      <x:c r="AO295" s="15" t="str">
        <x:v>supplier_provided_url</x:v>
      </x:c>
    </x:row>
    <x:row r="296">
      <x:c r="A296" s="14" t="str">
        <x:v>W3-024</x:v>
      </x:c>
      <x:c r="B296" s="14" t="str">
        <x:v>Prozorro winners — 24.08</x:v>
      </x:c>
      <x:c r="C296" s="14" t="str">
        <x:v>СААКЯН РОМІК РАЗМІКОВИЧ</x:v>
      </x:c>
      <x:c r="D296" s="14" t="str">
        <x:v>Мости / інфраструктура</x:v>
      </x:c>
      <x:c r="E296" s="14" t="str">
        <x:v>Expansion discovery</x:v>
      </x:c>
      <x:c r="F296" s="17" t="str">
        <x:f>IF(E296="Pilot now",IF(P296&gt;=84,"P1",IF(P296&gt;=72,"P2","P3")),IF(E296="Expansion discovery",IF(Q296&gt;=88,"D1",IF(Q296&gt;=78,"D2","D3")),IF(E296="Later / requirements","L","Legacy")))</x:f>
        <x:v>D2</x:v>
      </x:c>
      <x:c r="G296" s="14" t="str"/>
      <x:c r="H296" s="14" t="str">
        <x:v>Discovery розширення — 2 тижні</x:v>
      </x:c>
      <x:c r="I296" s="16" t="n">
        <x:v>1</x:v>
      </x:c>
      <x:c r="J296" s="16" t="n">
        <x:v>5</x:v>
      </x:c>
      <x:c r="K296" s="16" t="n">
        <x:v>4</x:v>
      </x:c>
      <x:c r="L296" s="16" t="n">
        <x:v>3</x:v>
      </x:c>
      <x:c r="M296" s="16" t="n">
        <x:v>5</x:v>
      </x:c>
      <x:c r="N296" s="16" t="n">
        <x:v>3</x:v>
      </x:c>
      <x:c r="O296" s="16" t="n">
        <x:v>5</x:v>
      </x:c>
      <x:c r="P296" s="16" t="n">
        <x:f>IF(COUNT(I296:O296)&lt;7,"",I296*8+J296*3+K296*2+L296*2+M296*2+N296*2+O296)</x:f>
        <x:v>58</x:v>
      </x:c>
      <x:c r="Q296" s="16" t="n">
        <x:f>IF(COUNT(J296:O296)&lt;6,"",J296*5+K296*4+M296*4+L296*3+N296*2+O296*2)</x:f>
        <x:v>86</x:v>
      </x:c>
      <x:c r="R296" s="14" t="str">
        <x:v>high</x:v>
      </x:c>
      <x:c r="S296" s="14" t="str">
        <x:v>official_prozorro_award_2025_2026</x:v>
      </x:c>
      <x:c r="T296" s="14" t="str">
        <x:v>official_prozorro_api</x:v>
      </x:c>
      <x:c r="U296" s="14" t="str">
        <x:v>Не контактували</x:v>
      </x:c>
      <x:c r="V296" s="15" t="str">
        <x:v>Workflow-audit outreach по UA-2026-07-06-000973-a; попросити 1 пакет здачі та вимоги проєкту</x:v>
      </x:c>
      <x:c r="W296" s="15" t="str">
        <x:v>Власник / виконавець; відповідальний за договір</x:v>
      </x:c>
      <x:c r="X296" s="15" t="str">
        <x:v>4 підтверджених перемог/договорів у Prozorro на 697 177 грн; 4 проєктів зі строком виконання не раніше 24.08.2026.</x:v>
      </x:c>
      <x:c r="Y296" s="15" t="str">
        <x:v>Поточний ремонт дорожнього покриття ділянки дороги до мосту № 2 через річку Південний Буг в місті Первомайськ миколаївської області; строк до 2026-12-31. Попросити один знеособлений пакет здачі за цим workflow.</x:v>
      </x:c>
      <x:c r="Z296" s="15" t="str">
        <x:v>https://prozorro.gov.ua/tender/UA-2026-07-06-000973-a</x:v>
      </x:c>
      <x:c r="AA296" s="14" t="str">
        <x:v>2605919656</x:v>
      </x:c>
      <x:c r="AB296" s="14" t="str">
        <x:v>2026-08-24</x:v>
      </x:c>
      <x:c r="AC296" s="14" t="str"/>
      <x:c r="AD296" s="20" t="str"/>
      <x:c r="AE296" s="14" t="str"/>
      <x:c r="AF296" s="14" t="n">
        <x:v>76</x:v>
      </x:c>
      <x:c r="AG296" s="14" t="str">
        <x:v>I1</x:v>
      </x:c>
      <x:c r="AH296" s="14" t="n">
        <x:v>4</x:v>
      </x:c>
      <x:c r="AI296" s="14" t="n">
        <x:v>4</x:v>
      </x:c>
      <x:c r="AJ296" s="18" t="n">
        <x:v>697176.93</x:v>
      </x:c>
      <x:c r="AK296" s="14" t="str">
        <x:v>https://prozorro.gov.ua/tender/UA-2026-07-06-000973-a</x:v>
      </x:c>
      <x:c r="AL296" s="19" t="n">
        <x:v>46209.28749259259</x:v>
      </x:c>
      <x:c r="AM296" s="19" t="n">
        <x:v>46387</x:v>
      </x:c>
      <x:c r="AN296" s="15" t="str">
        <x:v>Мости / інфраструктура</x:v>
      </x:c>
      <x:c r="AO296" s="15" t="str">
        <x:v>not_found_in_top_search</x:v>
      </x:c>
    </x:row>
    <x:row r="297">
      <x:c r="A297" s="14" t="str">
        <x:v>W3-025</x:v>
      </x:c>
      <x:c r="B297" s="14" t="str">
        <x:v>Prozorro winners — 24.08</x:v>
      </x:c>
      <x:c r="C297" s="14" t="str">
        <x:v>ТОВАРИСТВО З ОБМЕЖЕНОЮ ВІДПОВІДАЛЬНІСТЮ "НОВИЙ СВІТ"</x:v>
      </x:c>
      <x:c r="D297" s="14" t="str">
        <x:v>HVAC / ОВіК</x:v>
      </x:c>
      <x:c r="E297" s="14" t="str">
        <x:v>Pilot now</x:v>
      </x:c>
      <x:c r="F297" s="17" t="str">
        <x:f>IF(E297="Pilot now",IF(P297&gt;=84,"P1",IF(P297&gt;=72,"P2","P3")),IF(E297="Expansion discovery",IF(Q297&gt;=88,"D1",IF(Q297&gt;=78,"D2","D3")),IF(E297="Later / requirements","L","Legacy")))</x:f>
        <x:v>P1</x:v>
      </x:c>
      <x:c r="G297" s="14" t="str"/>
      <x:c r="H297" s="14" t="str">
        <x:v>Пілот зараз — Н.14</x:v>
      </x:c>
      <x:c r="I297" s="16" t="n">
        <x:v>5</x:v>
      </x:c>
      <x:c r="J297" s="16" t="n">
        <x:v>5</x:v>
      </x:c>
      <x:c r="K297" s="16" t="n">
        <x:v>5</x:v>
      </x:c>
      <x:c r="L297" s="16" t="n">
        <x:v>2</x:v>
      </x:c>
      <x:c r="M297" s="16" t="n">
        <x:v>5</x:v>
      </x:c>
      <x:c r="N297" s="16" t="n">
        <x:v>5</x:v>
      </x:c>
      <x:c r="O297" s="16" t="n">
        <x:v>5</x:v>
      </x:c>
      <x:c r="P297" s="16" t="n">
        <x:f>IF(COUNT(I297:O297)&lt;7,"",I297*8+J297*3+K297*2+L297*2+M297*2+N297*2+O297)</x:f>
        <x:v>94</x:v>
      </x:c>
      <x:c r="Q297" s="16" t="n">
        <x:f>IF(COUNT(J297:O297)&lt;6,"",J297*5+K297*4+M297*4+L297*3+N297*2+O297*2)</x:f>
        <x:v>91</x:v>
      </x:c>
      <x:c r="R297" s="14" t="str">
        <x:v>high</x:v>
      </x:c>
      <x:c r="S297" s="14" t="str">
        <x:v>official_prozorro_award_2025_2026</x:v>
      </x:c>
      <x:c r="T297" s="14" t="str">
        <x:v>official_prozorro_api</x:v>
      </x:c>
      <x:c r="U297" s="14" t="str">
        <x:v>Не контактували</x:v>
      </x:c>
      <x:c r="V297" s="15" t="str">
        <x:v>Персоналізований free-pilot outreach по UA-2026-07-07-005581-a; попросити 1 пакет Н.14/Н.15</x:v>
      </x:c>
      <x:c r="W297" s="15" t="str">
        <x:v>Власник / директор; керівник ПТО; відповідальний за договори</x:v>
      </x:c>
      <x:c r="X297" s="15" t="str">
        <x:v>5 підтверджених перемог/договорів у Prozorro на 446 408 грн; 3 проєктів зі строком виконання не раніше 24.08.2026.</x:v>
      </x:c>
      <x:c r="Y297" s="15" t="str">
        <x:v>послуги з монтажу систем опалення, а саме: - послуги з поточного ремонту частини внутрішньої системи опалення Підвисоцького ліцею імені Т.Г.Шевченка Підвисоцької сільської ради Голованівського за адресою: 26122, Кіровоградська область, Голованівський район, село Підвисоке, вулиця Миру, будинок 13 (ДК 021:2015 50720000-8 Послуги з ремонту і технічного обслуговування; строк до 2026-12-31. Попросити один знеособлений пакет здачі за цим workflow.</x:v>
      </x:c>
      <x:c r="Z297" s="15" t="str">
        <x:v>https://prozorro.gov.ua/tender/UA-2026-07-07-005581-a</x:v>
      </x:c>
      <x:c r="AA297" s="14" t="str">
        <x:v>00688634</x:v>
      </x:c>
      <x:c r="AB297" s="14" t="str">
        <x:v>2026-08-24</x:v>
      </x:c>
      <x:c r="AC297" s="14" t="str"/>
      <x:c r="AD297" s="20" t="str"/>
      <x:c r="AE297" s="14" t="str"/>
      <x:c r="AF297" s="14" t="n">
        <x:v>75</x:v>
      </x:c>
      <x:c r="AG297" s="14" t="str">
        <x:v>I1</x:v>
      </x:c>
      <x:c r="AH297" s="14" t="n">
        <x:v>5</x:v>
      </x:c>
      <x:c r="AI297" s="14" t="n">
        <x:v>3</x:v>
      </x:c>
      <x:c r="AJ297" s="18" t="n">
        <x:v>446408.41</x:v>
      </x:c>
      <x:c r="AK297" s="14" t="str">
        <x:v>https://prozorro.gov.ua/tender/UA-2026-07-07-005581-a</x:v>
      </x:c>
      <x:c r="AL297" s="19" t="n">
        <x:v>46210.43461802083</x:v>
      </x:c>
      <x:c r="AM297" s="19" t="n">
        <x:v>46387</x:v>
      </x:c>
      <x:c r="AN297" s="15" t="str">
        <x:v>HVAC / ОВіК</x:v>
      </x:c>
      <x:c r="AO297" s="15" t="str">
        <x:v>not_found_in_top_search</x:v>
      </x:c>
    </x:row>
    <x:row r="298">
      <x:c r="A298" s="14" t="str">
        <x:v>W3-026</x:v>
      </x:c>
      <x:c r="B298" s="14" t="str">
        <x:v>Prozorro winners — 24.08</x:v>
      </x:c>
      <x:c r="C298" s="14" t="str">
        <x:v>УПРАВЛІННЯ ПОЛІЦІЇ ОХОРОНИ В ТЕРНОПІЛЬСЬКІЙ ОБЛАСТІ</x:v>
      </x:c>
      <x:c r="D298" s="14" t="str">
        <x:v>Електромонтаж</x:v>
      </x:c>
      <x:c r="E298" s="14" t="str">
        <x:v>Pilot now</x:v>
      </x:c>
      <x:c r="F298" s="17" t="str">
        <x:f>IF(E298="Pilot now",IF(P298&gt;=84,"P1",IF(P298&gt;=72,"P2","P3")),IF(E298="Expansion discovery",IF(Q298&gt;=88,"D1",IF(Q298&gt;=78,"D2","D3")),IF(E298="Later / requirements","L","Legacy")))</x:f>
        <x:v>P1</x:v>
      </x:c>
      <x:c r="G298" s="14" t="str"/>
      <x:c r="H298" s="14" t="str">
        <x:v>Пілот зараз — Н.15</x:v>
      </x:c>
      <x:c r="I298" s="16" t="n">
        <x:v>5</x:v>
      </x:c>
      <x:c r="J298" s="16" t="n">
        <x:v>5</x:v>
      </x:c>
      <x:c r="K298" s="16" t="n">
        <x:v>5</x:v>
      </x:c>
      <x:c r="L298" s="16" t="n">
        <x:v>1</x:v>
      </x:c>
      <x:c r="M298" s="16" t="n">
        <x:v>5</x:v>
      </x:c>
      <x:c r="N298" s="16" t="n">
        <x:v>5</x:v>
      </x:c>
      <x:c r="O298" s="16" t="n">
        <x:v>5</x:v>
      </x:c>
      <x:c r="P298" s="16" t="n">
        <x:f>IF(COUNT(I298:O298)&lt;7,"",I298*8+J298*3+K298*2+L298*2+M298*2+N298*2+O298)</x:f>
        <x:v>92</x:v>
      </x:c>
      <x:c r="Q298" s="16" t="n">
        <x:f>IF(COUNT(J298:O298)&lt;6,"",J298*5+K298*4+M298*4+L298*3+N298*2+O298*2)</x:f>
        <x:v>88</x:v>
      </x:c>
      <x:c r="R298" s="14" t="str">
        <x:v>high</x:v>
      </x:c>
      <x:c r="S298" s="14" t="str">
        <x:v>official_prozorro_award_2025_2026</x:v>
      </x:c>
      <x:c r="T298" s="14" t="str">
        <x:v>official_prozorro_api</x:v>
      </x:c>
      <x:c r="U298" s="14" t="str">
        <x:v>Не контактували</x:v>
      </x:c>
      <x:c r="V298" s="15" t="str">
        <x:v>Персоналізований free-pilot outreach по UA-2026-08-13-002834-a; попросити 1 пакет Н.14/Н.15</x:v>
      </x:c>
      <x:c r="W298" s="15" t="str">
        <x:v>Власник / директор; керівник ПТО; відповідальний за договори</x:v>
      </x:c>
      <x:c r="X298" s="15" t="str">
        <x:v>4 підтверджених перемог/договорів у Prozorro на 90 652 грн; 2 проєктів зі строком виконання не раніше 24.08.2026.</x:v>
      </x:c>
      <x:c r="Y298" s="15" t="str">
        <x:v>електромонтажні роботи; строк до 2026-12-31. Попросити один знеособлений пакет здачі за цим workflow.</x:v>
      </x:c>
      <x:c r="Z298" s="15" t="str">
        <x:v>https://prozorro.gov.ua/tender/UA-2026-08-13-002834-a</x:v>
      </x:c>
      <x:c r="AA298" s="14" t="str">
        <x:v>40108819</x:v>
      </x:c>
      <x:c r="AB298" s="14" t="str">
        <x:v>2026-08-24</x:v>
      </x:c>
      <x:c r="AC298" s="14" t="str"/>
      <x:c r="AD298" s="20" t="str"/>
      <x:c r="AE298" s="14" t="str"/>
      <x:c r="AF298" s="14" t="n">
        <x:v>75</x:v>
      </x:c>
      <x:c r="AG298" s="14" t="str">
        <x:v>I1</x:v>
      </x:c>
      <x:c r="AH298" s="14" t="n">
        <x:v>4</x:v>
      </x:c>
      <x:c r="AI298" s="14" t="n">
        <x:v>2</x:v>
      </x:c>
      <x:c r="AJ298" s="18" t="n">
        <x:v>90652.05</x:v>
      </x:c>
      <x:c r="AK298" s="14" t="str">
        <x:v>https://prozorro.gov.ua/tender/UA-2026-08-13-002834-a</x:v>
      </x:c>
      <x:c r="AL298" s="19" t="n">
        <x:v>46247.32744238426</x:v>
      </x:c>
      <x:c r="AM298" s="19" t="n">
        <x:v>46387</x:v>
      </x:c>
      <x:c r="AN298" s="15" t="str">
        <x:v>Електромонтаж; Пожежогасіння</x:v>
      </x:c>
      <x:c r="AO298" s="15" t="str">
        <x:v>not_found_in_top_search</x:v>
      </x:c>
    </x:row>
    <x:row r="299">
      <x:c r="A299" s="14" t="str">
        <x:v>W3-027</x:v>
      </x:c>
      <x:c r="B299" s="14" t="str">
        <x:v>Prozorro winners — 24.08</x:v>
      </x:c>
      <x:c r="C299" s="14" t="str">
        <x:v>Управління поліції охорони в Одеській області</x:v>
      </x:c>
      <x:c r="D299" s="14" t="str">
        <x:v>Електромонтаж</x:v>
      </x:c>
      <x:c r="E299" s="14" t="str">
        <x:v>Pilot now</x:v>
      </x:c>
      <x:c r="F299" s="17" t="str">
        <x:f>IF(E299="Pilot now",IF(P299&gt;=84,"P1",IF(P299&gt;=72,"P2","P3")),IF(E299="Expansion discovery",IF(Q299&gt;=88,"D1",IF(Q299&gt;=78,"D2","D3")),IF(E299="Later / requirements","L","Legacy")))</x:f>
        <x:v>P1</x:v>
      </x:c>
      <x:c r="G299" s="14" t="str"/>
      <x:c r="H299" s="14" t="str">
        <x:v>Пілот зараз — Н.15</x:v>
      </x:c>
      <x:c r="I299" s="16" t="n">
        <x:v>5</x:v>
      </x:c>
      <x:c r="J299" s="16" t="n">
        <x:v>5</x:v>
      </x:c>
      <x:c r="K299" s="16" t="n">
        <x:v>5</x:v>
      </x:c>
      <x:c r="L299" s="16" t="n">
        <x:v>1</x:v>
      </x:c>
      <x:c r="M299" s="16" t="n">
        <x:v>5</x:v>
      </x:c>
      <x:c r="N299" s="16" t="n">
        <x:v>5</x:v>
      </x:c>
      <x:c r="O299" s="16" t="n">
        <x:v>5</x:v>
      </x:c>
      <x:c r="P299" s="16" t="n">
        <x:f>IF(COUNT(I299:O299)&lt;7,"",I299*8+J299*3+K299*2+L299*2+M299*2+N299*2+O299)</x:f>
        <x:v>92</x:v>
      </x:c>
      <x:c r="Q299" s="16" t="n">
        <x:f>IF(COUNT(J299:O299)&lt;6,"",J299*5+K299*4+M299*4+L299*3+N299*2+O299*2)</x:f>
        <x:v>88</x:v>
      </x:c>
      <x:c r="R299" s="14" t="str">
        <x:v>high</x:v>
      </x:c>
      <x:c r="S299" s="14" t="str">
        <x:v>official_prozorro_award_2025_2026</x:v>
      </x:c>
      <x:c r="T299" s="14" t="str">
        <x:v>official_prozorro_api</x:v>
      </x:c>
      <x:c r="U299" s="14" t="str">
        <x:v>Не контактували</x:v>
      </x:c>
      <x:c r="V299" s="15" t="str">
        <x:v>Персоналізований free-pilot outreach по UA-2026-08-19-005312-a; попросити 1 пакет Н.14/Н.15</x:v>
      </x:c>
      <x:c r="W299" s="15" t="str">
        <x:v>Власник / директор; керівник ПТО; відповідальний за договори</x:v>
      </x:c>
      <x:c r="X299" s="15" t="str">
        <x:v>3 підтверджених перемог/договорів у Prozorro на 64 924 грн; 3 проєктів зі строком виконання не раніше 24.08.2026.</x:v>
      </x:c>
      <x:c r="Y299" s="15" t="str">
        <x:v>Електромонтажні роботи; строк до 2026-12-31. Попросити один знеособлений пакет здачі за цим workflow.</x:v>
      </x:c>
      <x:c r="Z299" s="15" t="str">
        <x:v>https://prozorro.gov.ua/tender/UA-2026-08-19-005312-a</x:v>
      </x:c>
      <x:c r="AA299" s="14" t="str">
        <x:v>40108934</x:v>
      </x:c>
      <x:c r="AB299" s="14" t="str">
        <x:v>2026-08-24</x:v>
      </x:c>
      <x:c r="AC299" s="14" t="str"/>
      <x:c r="AD299" s="20" t="str"/>
      <x:c r="AE299" s="14" t="str"/>
      <x:c r="AF299" s="14" t="n">
        <x:v>75</x:v>
      </x:c>
      <x:c r="AG299" s="14" t="str">
        <x:v>I1</x:v>
      </x:c>
      <x:c r="AH299" s="14" t="n">
        <x:v>3</x:v>
      </x:c>
      <x:c r="AI299" s="14" t="n">
        <x:v>3</x:v>
      </x:c>
      <x:c r="AJ299" s="18" t="n">
        <x:v>64923.92</x:v>
      </x:c>
      <x:c r="AK299" s="14" t="str">
        <x:v>https://prozorro.gov.ua/tender/UA-2026-08-19-005312-a</x:v>
      </x:c>
      <x:c r="AL299" s="19" t="n">
        <x:v>46253.387300787035</x:v>
      </x:c>
      <x:c r="AM299" s="19" t="n">
        <x:v>46387</x:v>
      </x:c>
      <x:c r="AN299" s="15" t="str">
        <x:v>Електромонтаж; Пожежогасіння</x:v>
      </x:c>
      <x:c r="AO299" s="15" t="str">
        <x:v>not_found_in_top_search</x:v>
      </x:c>
    </x:row>
    <x:row r="300">
      <x:c r="A300" s="14" t="str">
        <x:v>W3-028</x:v>
      </x:c>
      <x:c r="B300" s="14" t="str">
        <x:v>Prozorro winners — 24.08</x:v>
      </x:c>
      <x:c r="C300" s="14" t="str">
        <x:v>ХАРКІВСЬКА МІСЬКА ФІЛІЯ ТОВАРИСТВА З ОБМЕЖЕНОЮ ВІДПОВІДАЛЬНІСТЮ «ГАЗОРОЗПОДІЛЬНІ МЕРЕЖІ УКРАЇНИ»</x:v>
      </x:c>
      <x:c r="D300" s="14" t="str">
        <x:v>Насосні станції</x:v>
      </x:c>
      <x:c r="E300" s="14" t="str">
        <x:v>Expansion discovery</x:v>
      </x:c>
      <x:c r="F300" s="17" t="str">
        <x:f>IF(E300="Pilot now",IF(P300&gt;=84,"P1",IF(P300&gt;=72,"P2","P3")),IF(E300="Expansion discovery",IF(Q300&gt;=88,"D1",IF(Q300&gt;=78,"D2","D3")),IF(E300="Later / requirements","L","Legacy")))</x:f>
        <x:v>D1</x:v>
      </x:c>
      <x:c r="G300" s="14" t="str"/>
      <x:c r="H300" s="14" t="str">
        <x:v>Discovery розширення — 2 тижні</x:v>
      </x:c>
      <x:c r="I300" s="16" t="n">
        <x:v>1</x:v>
      </x:c>
      <x:c r="J300" s="16" t="n">
        <x:v>5</x:v>
      </x:c>
      <x:c r="K300" s="16" t="n">
        <x:v>4</x:v>
      </x:c>
      <x:c r="L300" s="16" t="n">
        <x:v>4</x:v>
      </x:c>
      <x:c r="M300" s="16" t="n">
        <x:v>5</x:v>
      </x:c>
      <x:c r="N300" s="16" t="n">
        <x:v>5</x:v>
      </x:c>
      <x:c r="O300" s="16" t="n">
        <x:v>5</x:v>
      </x:c>
      <x:c r="P300" s="16" t="n">
        <x:f>IF(COUNT(I300:O300)&lt;7,"",I300*8+J300*3+K300*2+L300*2+M300*2+N300*2+O300)</x:f>
        <x:v>64</x:v>
      </x:c>
      <x:c r="Q300" s="16" t="n">
        <x:f>IF(COUNT(J300:O300)&lt;6,"",J300*5+K300*4+M300*4+L300*3+N300*2+O300*2)</x:f>
        <x:v>93</x:v>
      </x:c>
      <x:c r="R300" s="14" t="str">
        <x:v>high</x:v>
      </x:c>
      <x:c r="S300" s="14" t="str">
        <x:v>official_prozorro_award_2025_2026</x:v>
      </x:c>
      <x:c r="T300" s="14" t="str">
        <x:v>official_prozorro_api</x:v>
      </x:c>
      <x:c r="U300" s="14" t="str">
        <x:v>Не контактували</x:v>
      </x:c>
      <x:c r="V300" s="15" t="str">
        <x:v>Workflow-audit outreach по UA-2026-07-28-009128-a; попросити 1 пакет здачі та вимоги проєкту</x:v>
      </x:c>
      <x:c r="W300" s="15" t="str">
        <x:v>Власник / директор; керівник ПТО; відповідальний за договори</x:v>
      </x:c>
      <x:c r="X300" s="15" t="str">
        <x:v>2 підтверджених перемог/договорів у Prozorro на 4 963 081 грн; 2 проєктів зі строком виконання не раніше 24.08.2026.</x:v>
      </x:c>
      <x:c r="Y300" s="15" t="str">
        <x:v>ДК 021:2015-45220000-5 Інженерні та будівельні роботи. Реконструкція РП-6кВ головної насосної станції (інв. №723) шляхом розміщення та підключення когенераційних газопоршневих установок (КГПУ) за адресою : м. Харків, ****. Приєднання до ГРМ.
; строк до 2026-08-31. Попросити один знеособлений пакет здачі за цим workflow.</x:v>
      </x:c>
      <x:c r="Z300" s="15" t="str">
        <x:v>https://prozorro.gov.ua/tender/UA-2026-07-28-009128-a</x:v>
      </x:c>
      <x:c r="AA300" s="14" t="str">
        <x:v>45141068</x:v>
      </x:c>
      <x:c r="AB300" s="14" t="str">
        <x:v>2026-08-24</x:v>
      </x:c>
      <x:c r="AC300" s="14" t="str"/>
      <x:c r="AD300" s="20" t="str"/>
      <x:c r="AE300" s="14" t="str"/>
      <x:c r="AF300" s="14" t="n">
        <x:v>74</x:v>
      </x:c>
      <x:c r="AG300" s="14" t="str">
        <x:v>I2</x:v>
      </x:c>
      <x:c r="AH300" s="14" t="n">
        <x:v>2</x:v>
      </x:c>
      <x:c r="AI300" s="14" t="n">
        <x:v>2</x:v>
      </x:c>
      <x:c r="AJ300" s="18" t="n">
        <x:v>4963081.18</x:v>
      </x:c>
      <x:c r="AK300" s="14" t="str">
        <x:v>https://prozorro.gov.ua/tender/UA-2026-07-28-009128-a</x:v>
      </x:c>
      <x:c r="AL300" s="19" t="n">
        <x:v>46231.544807418984</x:v>
      </x:c>
      <x:c r="AM300" s="19" t="n">
        <x:v>46265</x:v>
      </x:c>
      <x:c r="AN300" s="15" t="str">
        <x:v>Насосні станції</x:v>
      </x:c>
      <x:c r="AO300" s="15" t="str">
        <x:v>not_found_in_top_search</x:v>
      </x:c>
    </x:row>
    <x:row r="301">
      <x:c r="A301" s="14" t="str">
        <x:v>W3-029</x:v>
      </x:c>
      <x:c r="B301" s="14" t="str">
        <x:v>Prozorro winners — 24.08</x:v>
      </x:c>
      <x:c r="C301" s="14" t="str">
        <x:v>Управління поліції охорони в Херсонській області</x:v>
      </x:c>
      <x:c r="D301" s="14" t="str">
        <x:v>Пожежогасіння</x:v>
      </x:c>
      <x:c r="E301" s="14" t="str">
        <x:v>Expansion discovery</x:v>
      </x:c>
      <x:c r="F301" s="17" t="str">
        <x:f>IF(E301="Pilot now",IF(P301&gt;=84,"P1",IF(P301&gt;=72,"P2","P3")),IF(E301="Expansion discovery",IF(Q301&gt;=88,"D1",IF(Q301&gt;=78,"D2","D3")),IF(E301="Later / requirements","L","Legacy")))</x:f>
        <x:v>D2</x:v>
      </x:c>
      <x:c r="G301" s="14" t="str"/>
      <x:c r="H301" s="14" t="str">
        <x:v>Discovery розширення — 2 тижні</x:v>
      </x:c>
      <x:c r="I301" s="16" t="n">
        <x:v>1</x:v>
      </x:c>
      <x:c r="J301" s="16" t="n">
        <x:v>5</x:v>
      </x:c>
      <x:c r="K301" s="16" t="n">
        <x:v>4</x:v>
      </x:c>
      <x:c r="L301" s="16" t="n">
        <x:v>2</x:v>
      </x:c>
      <x:c r="M301" s="16" t="n">
        <x:v>5</x:v>
      </x:c>
      <x:c r="N301" s="16" t="n">
        <x:v>5</x:v>
      </x:c>
      <x:c r="O301" s="16" t="n">
        <x:v>5</x:v>
      </x:c>
      <x:c r="P301" s="16" t="n">
        <x:f>IF(COUNT(I301:O301)&lt;7,"",I301*8+J301*3+K301*2+L301*2+M301*2+N301*2+O301)</x:f>
        <x:v>60</x:v>
      </x:c>
      <x:c r="Q301" s="16" t="n">
        <x:f>IF(COUNT(J301:O301)&lt;6,"",J301*5+K301*4+M301*4+L301*3+N301*2+O301*2)</x:f>
        <x:v>87</x:v>
      </x:c>
      <x:c r="R301" s="14" t="str">
        <x:v>high</x:v>
      </x:c>
      <x:c r="S301" s="14" t="str">
        <x:v>official_prozorro_award_2025_2026</x:v>
      </x:c>
      <x:c r="T301" s="14" t="str">
        <x:v>official_prozorro_api</x:v>
      </x:c>
      <x:c r="U301" s="14" t="str">
        <x:v>Не контактували</x:v>
      </x:c>
      <x:c r="V301" s="15" t="str">
        <x:v>Workflow-audit outreach по UA-2026-06-10-009452-a; попросити 1 пакет здачі та вимоги проєкту</x:v>
      </x:c>
      <x:c r="W301" s="15" t="str">
        <x:v>Власник / директор; керівник ПТО; відповідальний за договори</x:v>
      </x:c>
      <x:c r="X301" s="15" t="str">
        <x:v>3 підтверджених перемог/договорів у Prozorro на 399 666 грн; 3 проєктів зі строком виконання не раніше 24.08.2026.</x:v>
      </x:c>
      <x:c r="Y301" s="15" t="str">
        <x:v>Монтаж системи пожежної сигналізації в будівлі хімічного цеху інв. № 11/0 АТ «Херсонська ТЕЦ»; строк до 2026-12-31. Попросити один знеособлений пакет здачі за цим workflow.</x:v>
      </x:c>
      <x:c r="Z301" s="15" t="str">
        <x:v>https://prozorro.gov.ua/tender/UA-2026-06-10-009452-a</x:v>
      </x:c>
      <x:c r="AA301" s="14" t="str">
        <x:v>40108850</x:v>
      </x:c>
      <x:c r="AB301" s="14" t="str">
        <x:v>2026-08-24</x:v>
      </x:c>
      <x:c r="AC301" s="14" t="str"/>
      <x:c r="AD301" s="20" t="str"/>
      <x:c r="AE301" s="14" t="str"/>
      <x:c r="AF301" s="14" t="n">
        <x:v>73</x:v>
      </x:c>
      <x:c r="AG301" s="14" t="str">
        <x:v>I2</x:v>
      </x:c>
      <x:c r="AH301" s="14" t="n">
        <x:v>3</x:v>
      </x:c>
      <x:c r="AI301" s="14" t="n">
        <x:v>3</x:v>
      </x:c>
      <x:c r="AJ301" s="18" t="n">
        <x:v>399665.56</x:v>
      </x:c>
      <x:c r="AK301" s="14" t="str">
        <x:v>https://prozorro.gov.ua/tender/UA-2026-06-10-009452-a</x:v>
      </x:c>
      <x:c r="AL301" s="19" t="n">
        <x:v>46183.497303344906</x:v>
      </x:c>
      <x:c r="AM301" s="19" t="n">
        <x:v>46387</x:v>
      </x:c>
      <x:c r="AN301" s="15" t="str">
        <x:v>Пожежогасіння; Безпека / СКУД / CCTV</x:v>
      </x:c>
      <x:c r="AO301" s="15" t="str">
        <x:v>not_found_in_top_search</x:v>
      </x:c>
    </x:row>
    <x:row r="302">
      <x:c r="A302" s="14" t="str">
        <x:v>W3-030</x:v>
      </x:c>
      <x:c r="B302" s="14" t="str">
        <x:v>Prozorro winners — 24.08</x:v>
      </x:c>
      <x:c r="C302" s="14" t="str">
        <x:v>ТОВАРИСТВО З ОБМЕЖЕНОЮ ВІДПОВІДАЛЬНІСТЮ "ГІРАЗОЛЬ"</x:v>
      </x:c>
      <x:c r="D302" s="14" t="str">
        <x:v>Електромонтаж</x:v>
      </x:c>
      <x:c r="E302" s="14" t="str">
        <x:v>Pilot now</x:v>
      </x:c>
      <x:c r="F302" s="17" t="str">
        <x:f>IF(E302="Pilot now",IF(P302&gt;=84,"P1",IF(P302&gt;=72,"P2","P3")),IF(E302="Expansion discovery",IF(Q302&gt;=88,"D1",IF(Q302&gt;=78,"D2","D3")),IF(E302="Later / requirements","L","Legacy")))</x:f>
        <x:v>P1</x:v>
      </x:c>
      <x:c r="G302" s="14" t="str"/>
      <x:c r="H302" s="14" t="str">
        <x:v>Пілот зараз — Н.15</x:v>
      </x:c>
      <x:c r="I302" s="16" t="n">
        <x:v>5</x:v>
      </x:c>
      <x:c r="J302" s="16" t="n">
        <x:v>5</x:v>
      </x:c>
      <x:c r="K302" s="16" t="n">
        <x:v>5</x:v>
      </x:c>
      <x:c r="L302" s="16" t="n">
        <x:v>4</x:v>
      </x:c>
      <x:c r="M302" s="16" t="n">
        <x:v>5</x:v>
      </x:c>
      <x:c r="N302" s="16" t="n">
        <x:v>5</x:v>
      </x:c>
      <x:c r="O302" s="16" t="n">
        <x:v>5</x:v>
      </x:c>
      <x:c r="P302" s="16" t="n">
        <x:f>IF(COUNT(I302:O302)&lt;7,"",I302*8+J302*3+K302*2+L302*2+M302*2+N302*2+O302)</x:f>
        <x:v>98</x:v>
      </x:c>
      <x:c r="Q302" s="16" t="n">
        <x:f>IF(COUNT(J302:O302)&lt;6,"",J302*5+K302*4+M302*4+L302*3+N302*2+O302*2)</x:f>
        <x:v>97</x:v>
      </x:c>
      <x:c r="R302" s="14" t="str">
        <x:v>high</x:v>
      </x:c>
      <x:c r="S302" s="14" t="str">
        <x:v>official_prozorro_award_2025_2026</x:v>
      </x:c>
      <x:c r="T302" s="14" t="str">
        <x:v>official_prozorro_api</x:v>
      </x:c>
      <x:c r="U302" s="14" t="str">
        <x:v>Не контактували</x:v>
      </x:c>
      <x:c r="V302" s="15" t="str">
        <x:v>Персоналізований free-pilot outreach по UA-2026-08-13-000458-a; попросити 1 пакет Н.14/Н.15</x:v>
      </x:c>
      <x:c r="W302" s="15" t="str">
        <x:v>Власник / директор; керівник ПТО; відповідальний за договори</x:v>
      </x:c>
      <x:c r="X302" s="15" t="str">
        <x:v>2 підтверджених перемог/договорів у Prozorro на 3 779 044 грн; 1 проєктів зі строком виконання не раніше 24.08.2026.</x:v>
      </x:c>
      <x:c r="Y302" s="15" t="str">
        <x:v>Монтаж, пусконалагоджувальні роботи сонячної електростанції (СЕС) з системою накопичення енергії з використанням матеріалів, обладнання та комплектуючих, наданих Замовником; строк до 2026-09-10. Попросити один знеособлений пакет здачі за цим workflow.</x:v>
      </x:c>
      <x:c r="Z302" s="15" t="str">
        <x:v>https://prozorro.gov.ua/tender/UA-2026-08-13-000458-a</x:v>
      </x:c>
      <x:c r="AA302" s="14" t="str">
        <x:v>46227802</x:v>
      </x:c>
      <x:c r="AB302" s="14" t="str">
        <x:v>2026-08-24</x:v>
      </x:c>
      <x:c r="AC302" s="14" t="str"/>
      <x:c r="AD302" s="20" t="str"/>
      <x:c r="AE302" s="14" t="str"/>
      <x:c r="AF302" s="14" t="n">
        <x:v>72</x:v>
      </x:c>
      <x:c r="AG302" s="14" t="str">
        <x:v>I2</x:v>
      </x:c>
      <x:c r="AH302" s="14" t="n">
        <x:v>2</x:v>
      </x:c>
      <x:c r="AI302" s="14" t="n">
        <x:v>1</x:v>
      </x:c>
      <x:c r="AJ302" s="18" t="n">
        <x:v>3779044</x:v>
      </x:c>
      <x:c r="AK302" s="14" t="str">
        <x:v>https://prozorro.gov.ua/tender/UA-2026-08-13-000458-a</x:v>
      </x:c>
      <x:c r="AL302" s="19" t="n">
        <x:v>46247.2484425</x:v>
      </x:c>
      <x:c r="AM302" s="19" t="n">
        <x:v>46275</x:v>
      </x:c>
      <x:c r="AN302" s="15" t="str">
        <x:v>Електромонтаж; Сонячна енергетика</x:v>
      </x:c>
      <x:c r="AO302" s="15" t="str">
        <x:v>not_found_in_top_search</x:v>
      </x:c>
    </x:row>
    <x:row r="303">
      <x:c r="A303" s="14" t="str">
        <x:v>W3-031</x:v>
      </x:c>
      <x:c r="B303" s="14" t="str">
        <x:v>Prozorro winners — 24.08</x:v>
      </x:c>
      <x:c r="C303" s="14" t="str">
        <x:v>ПРИВАТНЕ АКЦІОНЕРНЕ ТОВАРИСТВО "КІРОВОГРАДОБЛЕНЕРГО"</x:v>
      </x:c>
      <x:c r="D303" s="14" t="str">
        <x:v>Електромонтаж</x:v>
      </x:c>
      <x:c r="E303" s="14" t="str">
        <x:v>Pilot now</x:v>
      </x:c>
      <x:c r="F303" s="17" t="str">
        <x:f>IF(E303="Pilot now",IF(P303&gt;=84,"P1",IF(P303&gt;=72,"P2","P3")),IF(E303="Expansion discovery",IF(Q303&gt;=88,"D1",IF(Q303&gt;=78,"D2","D3")),IF(E303="Later / requirements","L","Legacy")))</x:f>
        <x:v>P1</x:v>
      </x:c>
      <x:c r="G303" s="14" t="str"/>
      <x:c r="H303" s="14" t="str">
        <x:v>Пілот зараз — Н.15</x:v>
      </x:c>
      <x:c r="I303" s="16" t="n">
        <x:v>5</x:v>
      </x:c>
      <x:c r="J303" s="16" t="n">
        <x:v>5</x:v>
      </x:c>
      <x:c r="K303" s="16" t="n">
        <x:v>5</x:v>
      </x:c>
      <x:c r="L303" s="16" t="n">
        <x:v>1</x:v>
      </x:c>
      <x:c r="M303" s="16" t="n">
        <x:v>5</x:v>
      </x:c>
      <x:c r="N303" s="16" t="n">
        <x:v>5</x:v>
      </x:c>
      <x:c r="O303" s="16" t="n">
        <x:v>5</x:v>
      </x:c>
      <x:c r="P303" s="16" t="n">
        <x:f>IF(COUNT(I303:O303)&lt;7,"",I303*8+J303*3+K303*2+L303*2+M303*2+N303*2+O303)</x:f>
        <x:v>92</x:v>
      </x:c>
      <x:c r="Q303" s="16" t="n">
        <x:f>IF(COUNT(J303:O303)&lt;6,"",J303*5+K303*4+M303*4+L303*3+N303*2+O303*2)</x:f>
        <x:v>88</x:v>
      </x:c>
      <x:c r="R303" s="14" t="str">
        <x:v>high</x:v>
      </x:c>
      <x:c r="S303" s="14" t="str">
        <x:v>official_prozorro_award_2025_2026</x:v>
      </x:c>
      <x:c r="T303" s="14" t="str">
        <x:v>official_prozorro_api</x:v>
      </x:c>
      <x:c r="U303" s="14" t="str">
        <x:v>Не контактували</x:v>
      </x:c>
      <x:c r="V303" s="15" t="str">
        <x:v>Персоналізований free-pilot outreach по UA-2026-08-14-005083-a; попросити 1 пакет Н.14/Н.15</x:v>
      </x:c>
      <x:c r="W303" s="15" t="str">
        <x:v>Власник / директор; керівник ПТО; відповідальний за договори</x:v>
      </x:c>
      <x:c r="X303" s="15" t="str">
        <x:v>3 підтверджених перемог/договорів у Prozorro на 22 118 грн; 3 проєктів зі строком виконання не раніше 24.08.2026.</x:v>
      </x:c>
      <x:c r="Y303" s="15" t="str">
        <x:v>Електромонтажні роботи; строк до 2026-12-31. Попросити один знеособлений пакет здачі за цим workflow.</x:v>
      </x:c>
      <x:c r="Z303" s="15" t="str">
        <x:v>https://prozorro.gov.ua/tender/UA-2026-08-14-005083-a</x:v>
      </x:c>
      <x:c r="AA303" s="14" t="str">
        <x:v>23226362</x:v>
      </x:c>
      <x:c r="AB303" s="14" t="str">
        <x:v>2026-08-24</x:v>
      </x:c>
      <x:c r="AC303" s="14" t="str"/>
      <x:c r="AD303" s="20" t="str"/>
      <x:c r="AE303" s="14" t="str"/>
      <x:c r="AF303" s="14" t="n">
        <x:v>72</x:v>
      </x:c>
      <x:c r="AG303" s="14" t="str">
        <x:v>I2</x:v>
      </x:c>
      <x:c r="AH303" s="14" t="n">
        <x:v>3</x:v>
      </x:c>
      <x:c r="AI303" s="14" t="n">
        <x:v>3</x:v>
      </x:c>
      <x:c r="AJ303" s="18" t="n">
        <x:v>22117.97</x:v>
      </x:c>
      <x:c r="AK303" s="14" t="str">
        <x:v>https://prozorro.gov.ua/tender/UA-2026-08-14-005083-a</x:v>
      </x:c>
      <x:c r="AL303" s="19" t="n">
        <x:v>46248.38698859954</x:v>
      </x:c>
      <x:c r="AM303" s="19" t="n">
        <x:v>46387</x:v>
      </x:c>
      <x:c r="AN303" s="15" t="str">
        <x:v>Електромонтаж</x:v>
      </x:c>
      <x:c r="AO303" s="15" t="str">
        <x:v>not_found_in_top_search</x:v>
      </x:c>
    </x:row>
    <x:row r="304">
      <x:c r="A304" s="14" t="str">
        <x:v>W3-032</x:v>
      </x:c>
      <x:c r="B304" s="14" t="str">
        <x:v>Prozorro winners — 24.08</x:v>
      </x:c>
      <x:c r="C304" s="14" t="str">
        <x:v>ТОВАРИСТВО З ОБМЕЖЕНОЮ ВІДПОВІДАЛЬНІСТЮ "ОЛІР"</x:v>
      </x:c>
      <x:c r="D304" s="14" t="str">
        <x:v>Газопостачання / котельні</x:v>
      </x:c>
      <x:c r="E304" s="14" t="str">
        <x:v>Expansion discovery</x:v>
      </x:c>
      <x:c r="F304" s="17" t="str">
        <x:f>IF(E304="Pilot now",IF(P304&gt;=84,"P1",IF(P304&gt;=72,"P2","P3")),IF(E304="Expansion discovery",IF(Q304&gt;=88,"D1",IF(Q304&gt;=78,"D2","D3")),IF(E304="Later / requirements","L","Legacy")))</x:f>
        <x:v>D1</x:v>
      </x:c>
      <x:c r="G304" s="14" t="str"/>
      <x:c r="H304" s="14" t="str">
        <x:v>Discovery розширення — 2 тижні</x:v>
      </x:c>
      <x:c r="I304" s="16" t="n">
        <x:v>1</x:v>
      </x:c>
      <x:c r="J304" s="16" t="n">
        <x:v>5</x:v>
      </x:c>
      <x:c r="K304" s="16" t="n">
        <x:v>4</x:v>
      </x:c>
      <x:c r="L304" s="16" t="n">
        <x:v>5</x:v>
      </x:c>
      <x:c r="M304" s="16" t="n">
        <x:v>5</x:v>
      </x:c>
      <x:c r="N304" s="16" t="n">
        <x:v>5</x:v>
      </x:c>
      <x:c r="O304" s="16" t="n">
        <x:v>5</x:v>
      </x:c>
      <x:c r="P304" s="16" t="n">
        <x:f>IF(COUNT(I304:O304)&lt;7,"",I304*8+J304*3+K304*2+L304*2+M304*2+N304*2+O304)</x:f>
        <x:v>66</x:v>
      </x:c>
      <x:c r="Q304" s="16" t="n">
        <x:f>IF(COUNT(J304:O304)&lt;6,"",J304*5+K304*4+M304*4+L304*3+N304*2+O304*2)</x:f>
        <x:v>96</x:v>
      </x:c>
      <x:c r="R304" s="14" t="str">
        <x:v>high</x:v>
      </x:c>
      <x:c r="S304" s="14" t="str">
        <x:v>official_prozorro_award_2025_2026</x:v>
      </x:c>
      <x:c r="T304" s="14" t="str">
        <x:v>official_prozorro_api</x:v>
      </x:c>
      <x:c r="U304" s="14" t="str">
        <x:v>Не контактували</x:v>
      </x:c>
      <x:c r="V304" s="15" t="str">
        <x:v>Workflow-audit outreach по UA-2026-06-30-009204-a; попросити 1 пакет здачі та вимоги проєкту</x:v>
      </x:c>
      <x:c r="W304" s="15" t="str">
        <x:v>Власник / директор; керівник ПТО; відповідальний за договори</x:v>
      </x:c>
      <x:c r="X304" s="15" t="str">
        <x:v>2 підтверджених перемог/договорів у Prozorro на 47 369 224 грн; 1 проєктів зі строком виконання не раніше 24.08.2026.</x:v>
      </x:c>
      <x:c r="Y304" s="15" t="str">
        <x:v>Монтаж комплектного обладнання установки водопідготовки для підживлення водогрійних котлів та теплових мереж продуктивністю 100 м3/год для котельні КМК в приміщенні котельні по вулиці Криворіжсталі, 2м, з розробкою технічної документації, м. Кривий Ріг, Дніпропетровська область; строк до 2026-09-15. Попросити один знеособлений пакет здачі за цим workflow.</x:v>
      </x:c>
      <x:c r="Z304" s="15" t="str">
        <x:v>https://prozorro.gov.ua/tender/UA-2026-06-30-009204-a</x:v>
      </x:c>
      <x:c r="AA304" s="14" t="str">
        <x:v>32263898</x:v>
      </x:c>
      <x:c r="AB304" s="14" t="str">
        <x:v>2026-08-24</x:v>
      </x:c>
      <x:c r="AC304" s="14" t="str"/>
      <x:c r="AD304" s="20" t="str"/>
      <x:c r="AE304" s="14" t="str"/>
      <x:c r="AF304" s="14" t="n">
        <x:v>70</x:v>
      </x:c>
      <x:c r="AG304" s="14" t="str">
        <x:v>I2</x:v>
      </x:c>
      <x:c r="AH304" s="14" t="n">
        <x:v>2</x:v>
      </x:c>
      <x:c r="AI304" s="14" t="n">
        <x:v>1</x:v>
      </x:c>
      <x:c r="AJ304" s="18" t="n">
        <x:v>47369224.31</x:v>
      </x:c>
      <x:c r="AK304" s="14" t="str">
        <x:v>https://prozorro.gov.ua/tender/UA-2026-06-30-009204-a</x:v>
      </x:c>
      <x:c r="AL304" s="19" t="n">
        <x:v>46203.48953586806</x:v>
      </x:c>
      <x:c r="AM304" s="19" t="n">
        <x:v>46280</x:v>
      </x:c>
      <x:c r="AN304" s="15" t="str">
        <x:v>Газопостачання / котельні; Зовнішні мережі</x:v>
      </x:c>
      <x:c r="AO304" s="15" t="str">
        <x:v>not_found_in_top_search</x:v>
      </x:c>
    </x:row>
    <x:row r="305">
      <x:c r="A305" s="14" t="str">
        <x:v>W3-033</x:v>
      </x:c>
      <x:c r="B305" s="14" t="str">
        <x:v>Prozorro winners — 24.08</x:v>
      </x:c>
      <x:c r="C305" s="14" t="str">
        <x:v>ТОВАРИСТВО З ОБМЕЖЕНОЮ ВІДПОВІДАЛЬНІСТЮ "ДІВАЙС"</x:v>
      </x:c>
      <x:c r="D305" s="14" t="str">
        <x:v>Газопостачання / котельні</x:v>
      </x:c>
      <x:c r="E305" s="14" t="str">
        <x:v>Expansion discovery</x:v>
      </x:c>
      <x:c r="F305" s="17" t="str">
        <x:f>IF(E305="Pilot now",IF(P305&gt;=84,"P1",IF(P305&gt;=72,"P2","P3")),IF(E305="Expansion discovery",IF(Q305&gt;=88,"D1",IF(Q305&gt;=78,"D2","D3")),IF(E305="Later / requirements","L","Legacy")))</x:f>
        <x:v>D1</x:v>
      </x:c>
      <x:c r="G305" s="14" t="str"/>
      <x:c r="H305" s="14" t="str">
        <x:v>Discovery розширення — 2 тижні</x:v>
      </x:c>
      <x:c r="I305" s="16" t="n">
        <x:v>1</x:v>
      </x:c>
      <x:c r="J305" s="16" t="n">
        <x:v>5</x:v>
      </x:c>
      <x:c r="K305" s="16" t="n">
        <x:v>4</x:v>
      </x:c>
      <x:c r="L305" s="16" t="n">
        <x:v>5</x:v>
      </x:c>
      <x:c r="M305" s="16" t="n">
        <x:v>5</x:v>
      </x:c>
      <x:c r="N305" s="16" t="n">
        <x:v>5</x:v>
      </x:c>
      <x:c r="O305" s="16" t="n">
        <x:v>5</x:v>
      </x:c>
      <x:c r="P305" s="16" t="n">
        <x:f>IF(COUNT(I305:O305)&lt;7,"",I305*8+J305*3+K305*2+L305*2+M305*2+N305*2+O305)</x:f>
        <x:v>66</x:v>
      </x:c>
      <x:c r="Q305" s="16" t="n">
        <x:f>IF(COUNT(J305:O305)&lt;6,"",J305*5+K305*4+M305*4+L305*3+N305*2+O305*2)</x:f>
        <x:v>96</x:v>
      </x:c>
      <x:c r="R305" s="14" t="str">
        <x:v>high</x:v>
      </x:c>
      <x:c r="S305" s="14" t="str">
        <x:v>official_prozorro_award_2025_2026</x:v>
      </x:c>
      <x:c r="T305" s="14" t="str">
        <x:v>official_prozorro_api</x:v>
      </x:c>
      <x:c r="U305" s="14" t="str">
        <x:v>Не контактували</x:v>
      </x:c>
      <x:c r="V305" s="15" t="str">
        <x:v>Workflow-audit outreach по UA-2026-06-16-011498-a; попросити 1 пакет здачі та вимоги проєкту</x:v>
      </x:c>
      <x:c r="W305" s="15" t="str">
        <x:v>Власник / директор; керівник ПТО; відповідальний за договори</x:v>
      </x:c>
      <x:c r="X305" s="15" t="str">
        <x:v>2 підтверджених перемог/договорів у Prozorro на 23 635 290 грн; 1 проєктів зі строком виконання не раніше 24.08.2026.</x:v>
      </x:c>
      <x:c r="Y305" s="15" t="str">
        <x:v>Реконструкція (відновлення) теплових мереж на ділянці від ТЕЦ-3 до МК 9501ВСК1 по просп. Л.Ландау, 179 в м.Харкові. Ділянка від МК 9500СК1 до КП9 (код ДК: 021:2015-45454000-4-Реконструкція ); строк до 2026-11-30. Попросити один знеособлений пакет здачі за цим workflow.</x:v>
      </x:c>
      <x:c r="Z305" s="15" t="str">
        <x:v>https://prozorro.gov.ua/tender/UA-2026-06-16-011498-a</x:v>
      </x:c>
      <x:c r="AA305" s="14" t="str">
        <x:v>30357952</x:v>
      </x:c>
      <x:c r="AB305" s="14" t="str">
        <x:v>2026-08-24</x:v>
      </x:c>
      <x:c r="AC305" s="14" t="str"/>
      <x:c r="AD305" s="20" t="str"/>
      <x:c r="AE305" s="14" t="str"/>
      <x:c r="AF305" s="14" t="n">
        <x:v>70</x:v>
      </x:c>
      <x:c r="AG305" s="14" t="str">
        <x:v>I2</x:v>
      </x:c>
      <x:c r="AH305" s="14" t="n">
        <x:v>2</x:v>
      </x:c>
      <x:c r="AI305" s="14" t="n">
        <x:v>1</x:v>
      </x:c>
      <x:c r="AJ305" s="18" t="n">
        <x:v>23635290.35</x:v>
      </x:c>
      <x:c r="AK305" s="14" t="str">
        <x:v>https://prozorro.gov.ua/tender/UA-2026-06-16-011498-a</x:v>
      </x:c>
      <x:c r="AL305" s="19" t="n">
        <x:v>46205.37939574074</x:v>
      </x:c>
      <x:c r="AM305" s="19" t="n">
        <x:v>46356.916655092595</x:v>
      </x:c>
      <x:c r="AN305" s="15" t="str">
        <x:v>Газопостачання / котельні; Теплові мережі</x:v>
      </x:c>
      <x:c r="AO305" s="15" t="str">
        <x:v>not_found_in_top_search</x:v>
      </x:c>
    </x:row>
    <x:row r="306">
      <x:c r="A306" s="14" t="str">
        <x:v>W3-034</x:v>
      </x:c>
      <x:c r="B306" s="14" t="str">
        <x:v>Prozorro winners — 24.08</x:v>
      </x:c>
      <x:c r="C306" s="14" t="str">
        <x:v>ТОВАРИСТВО З ОБМЕЖЕНОЮ ВІДПОВІДАЛЬНІСТЮ "КОМФОРТ-ЕКО"</x:v>
      </x:c>
      <x:c r="D306" s="14" t="str">
        <x:v>Водоочищення / очисні споруди</x:v>
      </x:c>
      <x:c r="E306" s="14" t="str">
        <x:v>Expansion discovery</x:v>
      </x:c>
      <x:c r="F306" s="17" t="str">
        <x:f>IF(E306="Pilot now",IF(P306&gt;=84,"P1",IF(P306&gt;=72,"P2","P3")),IF(E306="Expansion discovery",IF(Q306&gt;=88,"D1",IF(Q306&gt;=78,"D2","D3")),IF(E306="Later / requirements","L","Legacy")))</x:f>
        <x:v>D1</x:v>
      </x:c>
      <x:c r="G306" s="14" t="str"/>
      <x:c r="H306" s="14" t="str">
        <x:v>Discovery розширення — 2 тижні</x:v>
      </x:c>
      <x:c r="I306" s="16" t="n">
        <x:v>1</x:v>
      </x:c>
      <x:c r="J306" s="16" t="n">
        <x:v>5</x:v>
      </x:c>
      <x:c r="K306" s="16" t="n">
        <x:v>4</x:v>
      </x:c>
      <x:c r="L306" s="16" t="n">
        <x:v>3</x:v>
      </x:c>
      <x:c r="M306" s="16" t="n">
        <x:v>5</x:v>
      </x:c>
      <x:c r="N306" s="16" t="n">
        <x:v>5</x:v>
      </x:c>
      <x:c r="O306" s="16" t="n">
        <x:v>5</x:v>
      </x:c>
      <x:c r="P306" s="16" t="n">
        <x:f>IF(COUNT(I306:O306)&lt;7,"",I306*8+J306*3+K306*2+L306*2+M306*2+N306*2+O306)</x:f>
        <x:v>62</x:v>
      </x:c>
      <x:c r="Q306" s="16" t="n">
        <x:f>IF(COUNT(J306:O306)&lt;6,"",J306*5+K306*4+M306*4+L306*3+N306*2+O306*2)</x:f>
        <x:v>90</x:v>
      </x:c>
      <x:c r="R306" s="14" t="str">
        <x:v>high</x:v>
      </x:c>
      <x:c r="S306" s="14" t="str">
        <x:v>official_prozorro_award_2025_2026</x:v>
      </x:c>
      <x:c r="T306" s="14" t="str">
        <x:v>official_prozorro_api</x:v>
      </x:c>
      <x:c r="U306" s="14" t="str">
        <x:v>Не контактували</x:v>
      </x:c>
      <x:c r="V306" s="15" t="str">
        <x:v>Workflow-audit outreach по UA-2026-07-21-001489-a; попросити 1 пакет здачі та вимоги проєкту</x:v>
      </x:c>
      <x:c r="W306" s="15" t="str">
        <x:v>Власник / директор; керівник ПТО; відповідальний за договори</x:v>
      </x:c>
      <x:c r="X306" s="15" t="str">
        <x:v>2 підтверджених перемог/договорів у Prozorro на 686 713 грн; 2 проєктів зі строком виконання не раніше 24.08.2026.</x:v>
      </x:c>
      <x:c r="Y306" s="15" t="str">
        <x:v>коригування робочого проекту "Реконструкція очисних каналізаційних споруд повної біологічної очистки м.Арциз Одеської області"; строк до 2026-12-31. Попросити один знеособлений пакет здачі за цим workflow.</x:v>
      </x:c>
      <x:c r="Z306" s="15" t="str">
        <x:v>https://prozorro.gov.ua/tender/UA-2026-07-21-001489-a</x:v>
      </x:c>
      <x:c r="AA306" s="14" t="str">
        <x:v>31830396</x:v>
      </x:c>
      <x:c r="AB306" s="14" t="str">
        <x:v>2026-08-24</x:v>
      </x:c>
      <x:c r="AC306" s="14" t="str"/>
      <x:c r="AD306" s="20" t="str"/>
      <x:c r="AE306" s="14" t="str"/>
      <x:c r="AF306" s="14" t="n">
        <x:v>70</x:v>
      </x:c>
      <x:c r="AG306" s="14" t="str">
        <x:v>I2</x:v>
      </x:c>
      <x:c r="AH306" s="14" t="n">
        <x:v>2</x:v>
      </x:c>
      <x:c r="AI306" s="14" t="n">
        <x:v>2</x:v>
      </x:c>
      <x:c r="AJ306" s="18" t="n">
        <x:v>686713.2</x:v>
      </x:c>
      <x:c r="AK306" s="14" t="str">
        <x:v>https://prozorro.gov.ua/tender/UA-2026-07-21-001489-a</x:v>
      </x:c>
      <x:c r="AL306" s="19" t="n">
        <x:v>46224.29342322917</x:v>
      </x:c>
      <x:c r="AM306" s="19" t="n">
        <x:v>46387</x:v>
      </x:c>
      <x:c r="AN306" s="15" t="str">
        <x:v>Водоочищення / очисні споруди</x:v>
      </x:c>
      <x:c r="AO306" s="15" t="str">
        <x:v>not_found_in_top_search</x:v>
      </x:c>
    </x:row>
    <x:row r="307">
      <x:c r="A307" s="14" t="str">
        <x:v>W3-035</x:v>
      </x:c>
      <x:c r="B307" s="14" t="str">
        <x:v>Prozorro winners — 24.08</x:v>
      </x:c>
      <x:c r="C307" s="14" t="str">
        <x:v>ПРИВАТНЕ ПІДПРИЄМСТВО «ЕЛЕ­КТРО­ПРОМ­ТЕХ»</x:v>
      </x:c>
      <x:c r="D307" s="14" t="str">
        <x:v>Електромонтаж</x:v>
      </x:c>
      <x:c r="E307" s="14" t="str">
        <x:v>Pilot now</x:v>
      </x:c>
      <x:c r="F307" s="17" t="str">
        <x:f>IF(E307="Pilot now",IF(P307&gt;=84,"P1",IF(P307&gt;=72,"P2","P3")),IF(E307="Expansion discovery",IF(Q307&gt;=88,"D1",IF(Q307&gt;=78,"D2","D3")),IF(E307="Later / requirements","L","Legacy")))</x:f>
        <x:v>P1</x:v>
      </x:c>
      <x:c r="G307" s="14" t="str"/>
      <x:c r="H307" s="14" t="str">
        <x:v>Пілот зараз — Н.15</x:v>
      </x:c>
      <x:c r="I307" s="16" t="n">
        <x:v>5</x:v>
      </x:c>
      <x:c r="J307" s="16" t="n">
        <x:v>5</x:v>
      </x:c>
      <x:c r="K307" s="16" t="n">
        <x:v>5</x:v>
      </x:c>
      <x:c r="L307" s="16" t="n">
        <x:v>2</x:v>
      </x:c>
      <x:c r="M307" s="16" t="n">
        <x:v>5</x:v>
      </x:c>
      <x:c r="N307" s="16" t="n">
        <x:v>5</x:v>
      </x:c>
      <x:c r="O307" s="16" t="n">
        <x:v>5</x:v>
      </x:c>
      <x:c r="P307" s="16" t="n">
        <x:f>IF(COUNT(I307:O307)&lt;7,"",I307*8+J307*3+K307*2+L307*2+M307*2+N307*2+O307)</x:f>
        <x:v>94</x:v>
      </x:c>
      <x:c r="Q307" s="16" t="n">
        <x:f>IF(COUNT(J307:O307)&lt;6,"",J307*5+K307*4+M307*4+L307*3+N307*2+O307*2)</x:f>
        <x:v>91</x:v>
      </x:c>
      <x:c r="R307" s="14" t="str">
        <x:v>high</x:v>
      </x:c>
      <x:c r="S307" s="14" t="str">
        <x:v>official_prozorro_award_2025_2026</x:v>
      </x:c>
      <x:c r="T307" s="14" t="str">
        <x:v>official_prozorro_api</x:v>
      </x:c>
      <x:c r="U307" s="14" t="str">
        <x:v>Не контактували</x:v>
      </x:c>
      <x:c r="V307" s="15" t="str">
        <x:v>Персоналізований free-pilot outreach по UA-2026-04-30-008926-a; попросити 1 пакет Н.14/Н.15</x:v>
      </x:c>
      <x:c r="W307" s="15" t="str">
        <x:v>Власник / директор; керівник ПТО; відповідальний за договори</x:v>
      </x:c>
      <x:c r="X307" s="15" t="str">
        <x:v>5 підтверджених перемог/договорів у Prozorro на 349 658 грн; 2 проєктів зі строком виконання не раніше 24.08.2026.</x:v>
      </x:c>
      <x:c r="Y307" s="15" t="str">
        <x:v>Послуги по монтажу та підключенню до електричної мережі світлодіодних світильників у школі І-ІІІ ступенів №282 Деснянського району міста Києва; строк до 2026-05-31. Попросити один знеособлений пакет здачі за цим workflow.</x:v>
      </x:c>
      <x:c r="Z307" s="15" t="str">
        <x:v>https://prozorro.gov.ua/tender/UA-2026-04-30-008926-a</x:v>
      </x:c>
      <x:c r="AA307" s="14" t="str">
        <x:v>32489197</x:v>
      </x:c>
      <x:c r="AB307" s="14" t="str">
        <x:v>2026-08-24</x:v>
      </x:c>
      <x:c r="AC307" s="14" t="str"/>
      <x:c r="AD307" s="20" t="str"/>
      <x:c r="AE307" s="14" t="str"/>
      <x:c r="AF307" s="14" t="n">
        <x:v>70</x:v>
      </x:c>
      <x:c r="AG307" s="14" t="str">
        <x:v>I2</x:v>
      </x:c>
      <x:c r="AH307" s="14" t="n">
        <x:v>5</x:v>
      </x:c>
      <x:c r="AI307" s="14" t="n">
        <x:v>2</x:v>
      </x:c>
      <x:c r="AJ307" s="18" t="n">
        <x:v>349658</x:v>
      </x:c>
      <x:c r="AK307" s="14" t="str">
        <x:v>https://prozorro.gov.ua/tender/UA-2026-04-30-008926-a</x:v>
      </x:c>
      <x:c r="AL307" s="19" t="n">
        <x:v>46142.528413622684</x:v>
      </x:c>
      <x:c r="AM307" s="19" t="n">
        <x:v>46173.530625</x:v>
      </x:c>
      <x:c r="AN307" s="15" t="str">
        <x:v>Електромонтаж</x:v>
      </x:c>
      <x:c r="AO307" s="15" t="str">
        <x:v>not_found_in_top_search</x:v>
      </x:c>
    </x:row>
    <x:row r="308">
      <x:c r="A308" s="14" t="str">
        <x:v>W3-036</x:v>
      </x:c>
      <x:c r="B308" s="14" t="str">
        <x:v>Prozorro winners — 24.08</x:v>
      </x:c>
      <x:c r="C308" s="14" t="str">
        <x:v>ТОВАРИСТВО З ОБМЕЖЕНОЮ ВІДПОВІДАЛЬНІСТЮ "НАГЛЯД ІНЖИНІРИНГ ПРОЕКТ"</x:v>
      </x:c>
      <x:c r="D308" s="14" t="str">
        <x:v>Теплові мережі</x:v>
      </x:c>
      <x:c r="E308" s="14" t="str">
        <x:v>Expansion discovery</x:v>
      </x:c>
      <x:c r="F308" s="17" t="str">
        <x:f>IF(E308="Pilot now",IF(P308&gt;=84,"P1",IF(P308&gt;=72,"P2","P3")),IF(E308="Expansion discovery",IF(Q308&gt;=88,"D1",IF(Q308&gt;=78,"D2","D3")),IF(E308="Later / requirements","L","Legacy")))</x:f>
        <x:v>D2</x:v>
      </x:c>
      <x:c r="G308" s="14" t="str"/>
      <x:c r="H308" s="14" t="str">
        <x:v>Discovery розширення — 2 тижні</x:v>
      </x:c>
      <x:c r="I308" s="16" t="n">
        <x:v>1</x:v>
      </x:c>
      <x:c r="J308" s="16" t="n">
        <x:v>5</x:v>
      </x:c>
      <x:c r="K308" s="16" t="n">
        <x:v>4</x:v>
      </x:c>
      <x:c r="L308" s="16" t="n">
        <x:v>2</x:v>
      </x:c>
      <x:c r="M308" s="16" t="n">
        <x:v>5</x:v>
      </x:c>
      <x:c r="N308" s="16" t="n">
        <x:v>5</x:v>
      </x:c>
      <x:c r="O308" s="16" t="n">
        <x:v>5</x:v>
      </x:c>
      <x:c r="P308" s="16" t="n">
        <x:f>IF(COUNT(I308:O308)&lt;7,"",I308*8+J308*3+K308*2+L308*2+M308*2+N308*2+O308)</x:f>
        <x:v>60</x:v>
      </x:c>
      <x:c r="Q308" s="16" t="n">
        <x:f>IF(COUNT(J308:O308)&lt;6,"",J308*5+K308*4+M308*4+L308*3+N308*2+O308*2)</x:f>
        <x:v>87</x:v>
      </x:c>
      <x:c r="R308" s="14" t="str">
        <x:v>high</x:v>
      </x:c>
      <x:c r="S308" s="14" t="str">
        <x:v>official_prozorro_award_2025_2026</x:v>
      </x:c>
      <x:c r="T308" s="14" t="str">
        <x:v>official_prozorro_api</x:v>
      </x:c>
      <x:c r="U308" s="14" t="str">
        <x:v>Не контактували</x:v>
      </x:c>
      <x:c r="V308" s="15" t="str">
        <x:v>Workflow-audit outreach по UA-2026-06-26-001164-a; попросити 1 пакет здачі та вимоги проєкту</x:v>
      </x:c>
      <x:c r="W308" s="15" t="str">
        <x:v>Власник / директор; керівник ПТО; відповідальний за договори</x:v>
      </x:c>
      <x:c r="X308" s="15" t="str">
        <x:v>3 підтверджених перемог/договорів у Prozorro на 198 419 грн; 3 проєктів зі строком виконання не раніше 24.08.2026.</x:v>
      </x:c>
      <x:c r="Y308" s="15" t="str">
        <x:v>Технічний нагляд по об'єкту: Реконструкція теплових мереж зі встановленням резервного теплогенеруючого обладнання (блочно-модульної котельні) біля існуючого центрального теплового пункту у місті Суми по вул. *****; строк до 2026-08-31. Попросити один знеособлений пакет здачі за цим workflow.</x:v>
      </x:c>
      <x:c r="Z308" s="15" t="str">
        <x:v>https://prozorro.gov.ua/tender/UA-2026-06-26-001164-a</x:v>
      </x:c>
      <x:c r="AA308" s="14" t="str">
        <x:v>45394450</x:v>
      </x:c>
      <x:c r="AB308" s="14" t="str">
        <x:v>2026-08-24</x:v>
      </x:c>
      <x:c r="AC308" s="14" t="str"/>
      <x:c r="AD308" s="20" t="str"/>
      <x:c r="AE308" s="14" t="str"/>
      <x:c r="AF308" s="14" t="n">
        <x:v>70</x:v>
      </x:c>
      <x:c r="AG308" s="14" t="str">
        <x:v>I2</x:v>
      </x:c>
      <x:c r="AH308" s="14" t="n">
        <x:v>3</x:v>
      </x:c>
      <x:c r="AI308" s="14" t="n">
        <x:v>3</x:v>
      </x:c>
      <x:c r="AJ308" s="18" t="n">
        <x:v>198418.8</x:v>
      </x:c>
      <x:c r="AK308" s="14" t="str">
        <x:v>https://prozorro.gov.ua/tender/UA-2026-06-26-001164-a</x:v>
      </x:c>
      <x:c r="AL308" s="19" t="n">
        <x:v>46199.27758047454</x:v>
      </x:c>
      <x:c r="AM308" s="19" t="n">
        <x:v>46265</x:v>
      </x:c>
      <x:c r="AN308" s="15" t="str">
        <x:v>Теплові мережі</x:v>
      </x:c>
      <x:c r="AO308" s="15" t="str">
        <x:v>not_found_in_top_search</x:v>
      </x:c>
    </x:row>
    <x:row r="309">
      <x:c r="A309" s="14" t="str">
        <x:v>W3-037</x:v>
      </x:c>
      <x:c r="B309" s="14" t="str">
        <x:v>Prozorro winners — 24.08</x:v>
      </x:c>
      <x:c r="C309" s="14" t="str">
        <x:v>ТОВАРИСТВО З ОБМЕЖЕНОЮ ВІДПОВІДАЛЬНІСТЮ "ТДС БУД ІНВЕСТ"</x:v>
      </x:c>
      <x:c r="D309" s="14" t="str">
        <x:v>ГНБ / безтраншейні роботи</x:v>
      </x:c>
      <x:c r="E309" s="14" t="str">
        <x:v>Expansion discovery</x:v>
      </x:c>
      <x:c r="F309" s="17" t="str">
        <x:f>IF(E309="Pilot now",IF(P309&gt;=84,"P1",IF(P309&gt;=72,"P2","P3")),IF(E309="Expansion discovery",IF(Q309&gt;=88,"D1",IF(Q309&gt;=78,"D2","D3")),IF(E309="Later / requirements","L","Legacy")))</x:f>
        <x:v>D1</x:v>
      </x:c>
      <x:c r="G309" s="14" t="str"/>
      <x:c r="H309" s="14" t="str">
        <x:v>Discovery розширення — 2 тижні</x:v>
      </x:c>
      <x:c r="I309" s="16" t="n">
        <x:v>1</x:v>
      </x:c>
      <x:c r="J309" s="16" t="n">
        <x:v>5</x:v>
      </x:c>
      <x:c r="K309" s="16" t="n">
        <x:v>4</x:v>
      </x:c>
      <x:c r="L309" s="16" t="n">
        <x:v>4</x:v>
      </x:c>
      <x:c r="M309" s="16" t="n">
        <x:v>5</x:v>
      </x:c>
      <x:c r="N309" s="16" t="n">
        <x:v>5</x:v>
      </x:c>
      <x:c r="O309" s="16" t="n">
        <x:v>5</x:v>
      </x:c>
      <x:c r="P309" s="16" t="n">
        <x:f>IF(COUNT(I309:O309)&lt;7,"",I309*8+J309*3+K309*2+L309*2+M309*2+N309*2+O309)</x:f>
        <x:v>64</x:v>
      </x:c>
      <x:c r="Q309" s="16" t="n">
        <x:f>IF(COUNT(J309:O309)&lt;6,"",J309*5+K309*4+M309*4+L309*3+N309*2+O309*2)</x:f>
        <x:v>93</x:v>
      </x:c>
      <x:c r="R309" s="14" t="str">
        <x:v>high</x:v>
      </x:c>
      <x:c r="S309" s="14" t="str">
        <x:v>official_prozorro_award_2025_2026</x:v>
      </x:c>
      <x:c r="T309" s="14" t="str">
        <x:v>official_prozorro_api</x:v>
      </x:c>
      <x:c r="U309" s="14" t="str">
        <x:v>Не контактували</x:v>
      </x:c>
      <x:c r="V309" s="15" t="str">
        <x:v>Workflow-audit outreach по UA-2026-08-11-007150-a; попросити 1 пакет здачі та вимоги проєкту</x:v>
      </x:c>
      <x:c r="W309" s="15" t="str">
        <x:v>Власник / директор; керівник ПТО; відповідальний за договори</x:v>
      </x:c>
      <x:c r="X309" s="15" t="str">
        <x:v>2 підтверджених перемог/договорів у Prozorro на 4 895 068 грн; 1 проєктів зі строком виконання не раніше 24.08.2026.</x:v>
      </x:c>
      <x:c r="Y309" s="15" t="str">
        <x:v>Реконструкція аварійної ділянки напірного колектора (2 нитки) методом горизонтально-направленого буріння по вул. Гостомельське шосе в м. Ірпінь, Київської області.; строк до 2026-10-30. Попросити один знеособлений пакет здачі за цим workflow.</x:v>
      </x:c>
      <x:c r="Z309" s="15" t="str">
        <x:v>https://prozorro.gov.ua/tender/UA-2026-08-11-007150-a</x:v>
      </x:c>
      <x:c r="AA309" s="14" t="str">
        <x:v>37432564</x:v>
      </x:c>
      <x:c r="AB309" s="14" t="str">
        <x:v>2026-08-24</x:v>
      </x:c>
      <x:c r="AC309" s="14" t="str"/>
      <x:c r="AD309" s="20" t="str"/>
      <x:c r="AE309" s="14" t="str"/>
      <x:c r="AF309" s="14" t="n">
        <x:v>69</x:v>
      </x:c>
      <x:c r="AG309" s="14" t="str">
        <x:v>I2</x:v>
      </x:c>
      <x:c r="AH309" s="14" t="n">
        <x:v>2</x:v>
      </x:c>
      <x:c r="AI309" s="14" t="n">
        <x:v>1</x:v>
      </x:c>
      <x:c r="AJ309" s="18" t="n">
        <x:v>4895068.13</x:v>
      </x:c>
      <x:c r="AK309" s="14" t="str">
        <x:v>https://prozorro.gov.ua/tender/UA-2026-08-11-007150-a</x:v>
      </x:c>
      <x:c r="AL309" s="19" t="n">
        <x:v>46245.45911127315</x:v>
      </x:c>
      <x:c r="AM309" s="19" t="n">
        <x:v>46325</x:v>
      </x:c>
      <x:c r="AN309" s="15" t="str">
        <x:v>ГНБ / безтраншейні роботи</x:v>
      </x:c>
      <x:c r="AO309" s="15" t="str">
        <x:v>not_found_in_top_search</x:v>
      </x:c>
    </x:row>
    <x:row r="310">
      <x:c r="A310" s="14" t="str">
        <x:v>W3-038</x:v>
      </x:c>
      <x:c r="B310" s="14" t="str">
        <x:v>Prozorro winners — 24.08</x:v>
      </x:c>
      <x:c r="C310" s="14" t="str">
        <x:v>ФОП Струк Сергій Васильович</x:v>
      </x:c>
      <x:c r="D310" s="14" t="str">
        <x:v>HVAC / ОВіК</x:v>
      </x:c>
      <x:c r="E310" s="14" t="str">
        <x:v>Pilot now</x:v>
      </x:c>
      <x:c r="F310" s="17" t="str">
        <x:f>IF(E310="Pilot now",IF(P310&gt;=84,"P1",IF(P310&gt;=72,"P2","P3")),IF(E310="Expansion discovery",IF(Q310&gt;=88,"D1",IF(Q310&gt;=78,"D2","D3")),IF(E310="Later / requirements","L","Legacy")))</x:f>
        <x:v>P1</x:v>
      </x:c>
      <x:c r="G310" s="14" t="str"/>
      <x:c r="H310" s="14" t="str">
        <x:v>Пілот зараз — Н.14</x:v>
      </x:c>
      <x:c r="I310" s="16" t="n">
        <x:v>5</x:v>
      </x:c>
      <x:c r="J310" s="16" t="n">
        <x:v>5</x:v>
      </x:c>
      <x:c r="K310" s="16" t="n">
        <x:v>5</x:v>
      </x:c>
      <x:c r="L310" s="16" t="n">
        <x:v>1</x:v>
      </x:c>
      <x:c r="M310" s="16" t="n">
        <x:v>5</x:v>
      </x:c>
      <x:c r="N310" s="16" t="n">
        <x:v>3</x:v>
      </x:c>
      <x:c r="O310" s="16" t="n">
        <x:v>5</x:v>
      </x:c>
      <x:c r="P310" s="16" t="n">
        <x:f>IF(COUNT(I310:O310)&lt;7,"",I310*8+J310*3+K310*2+L310*2+M310*2+N310*2+O310)</x:f>
        <x:v>88</x:v>
      </x:c>
      <x:c r="Q310" s="16" t="n">
        <x:f>IF(COUNT(J310:O310)&lt;6,"",J310*5+K310*4+M310*4+L310*3+N310*2+O310*2)</x:f>
        <x:v>84</x:v>
      </x:c>
      <x:c r="R310" s="14" t="str">
        <x:v>high</x:v>
      </x:c>
      <x:c r="S310" s="14" t="str">
        <x:v>official_prozorro_award_2025_2026</x:v>
      </x:c>
      <x:c r="T310" s="14" t="str">
        <x:v>official_prozorro_api</x:v>
      </x:c>
      <x:c r="U310" s="14" t="str">
        <x:v>Не контактували</x:v>
      </x:c>
      <x:c r="V310" s="15" t="str">
        <x:v>Персоналізований free-pilot outreach по UA-2026-07-21-008345-a; попросити 1 пакет Н.14/Н.15</x:v>
      </x:c>
      <x:c r="W310" s="15" t="str">
        <x:v>Власник / виконавець; відповідальний за договір</x:v>
      </x:c>
      <x:c r="X310" s="15" t="str">
        <x:v>3 підтверджених перемог/договорів у Prozorro на 44 060 грн; 3 проєктів зі строком виконання не раніше 24.08.2026.</x:v>
      </x:c>
      <x:c r="Y310" s="15" t="str">
        <x:v>Послуги монтажу систем кондиціювання та вентиляції; строк до 2026-12-31. Попросити один знеособлений пакет здачі за цим workflow.</x:v>
      </x:c>
      <x:c r="Z310" s="15" t="str">
        <x:v>https://prozorro.gov.ua/tender/UA-2026-07-21-008345-a</x:v>
      </x:c>
      <x:c r="AA310" s="14" t="str">
        <x:v>2984501813</x:v>
      </x:c>
      <x:c r="AB310" s="14" t="str">
        <x:v>2026-08-24</x:v>
      </x:c>
      <x:c r="AC310" s="14" t="str"/>
      <x:c r="AD310" s="20" t="str"/>
      <x:c r="AE310" s="14" t="str"/>
      <x:c r="AF310" s="14" t="n">
        <x:v>69</x:v>
      </x:c>
      <x:c r="AG310" s="14" t="str">
        <x:v>I2</x:v>
      </x:c>
      <x:c r="AH310" s="14" t="n">
        <x:v>3</x:v>
      </x:c>
      <x:c r="AI310" s="14" t="n">
        <x:v>3</x:v>
      </x:c>
      <x:c r="AJ310" s="18" t="n">
        <x:v>44060</x:v>
      </x:c>
      <x:c r="AK310" s="14" t="str">
        <x:v>https://prozorro.gov.ua/tender/UA-2026-07-21-008345-a</x:v>
      </x:c>
      <x:c r="AL310" s="19" t="n">
        <x:v>46224.505549525464</x:v>
      </x:c>
      <x:c r="AM310" s="19" t="n">
        <x:v>46387</x:v>
      </x:c>
      <x:c r="AN310" s="15" t="str">
        <x:v>HVAC / ОВіК</x:v>
      </x:c>
      <x:c r="AO310" s="15" t="str">
        <x:v>not_found_in_top_search</x:v>
      </x:c>
    </x:row>
    <x:row r="311">
      <x:c r="A311" s="14" t="str">
        <x:v>W3-039</x:v>
      </x:c>
      <x:c r="B311" s="14" t="str">
        <x:v>Prozorro winners — 24.08</x:v>
      </x:c>
      <x:c r="C311" s="14" t="str">
        <x:v>ПРИВАТНЕ АКЦІОНЕРНЕ ТОВАРИСТВО "БРОВАРСЬКЕ ШЛЯХОВО-БУДІВЕЛЬНЕ УПРАВЛІННЯ № 50"</x:v>
      </x:c>
      <x:c r="D311" s="14" t="str">
        <x:v>Мости / інфраструктура</x:v>
      </x:c>
      <x:c r="E311" s="14" t="str">
        <x:v>Expansion discovery</x:v>
      </x:c>
      <x:c r="F311" s="17" t="str">
        <x:f>IF(E311="Pilot now",IF(P311&gt;=84,"P1",IF(P311&gt;=72,"P2","P3")),IF(E311="Expansion discovery",IF(Q311&gt;=88,"D1",IF(Q311&gt;=78,"D2","D3")),IF(E311="Later / requirements","L","Legacy")))</x:f>
        <x:v>D1</x:v>
      </x:c>
      <x:c r="G311" s="14" t="str">
        <x:v>dsu50.com.ua</x:v>
      </x:c>
      <x:c r="H311" s="14" t="str">
        <x:v>Discovery розширення — 2 тижні</x:v>
      </x:c>
      <x:c r="I311" s="16" t="n">
        <x:v>1</x:v>
      </x:c>
      <x:c r="J311" s="16" t="n">
        <x:v>5</x:v>
      </x:c>
      <x:c r="K311" s="16" t="n">
        <x:v>4</x:v>
      </x:c>
      <x:c r="L311" s="16" t="n">
        <x:v>5</x:v>
      </x:c>
      <x:c r="M311" s="16" t="n">
        <x:v>5</x:v>
      </x:c>
      <x:c r="N311" s="16" t="n">
        <x:v>5</x:v>
      </x:c>
      <x:c r="O311" s="16" t="n">
        <x:v>5</x:v>
      </x:c>
      <x:c r="P311" s="16" t="n">
        <x:f>IF(COUNT(I311:O311)&lt;7,"",I311*8+J311*3+K311*2+L311*2+M311*2+N311*2+O311)</x:f>
        <x:v>66</x:v>
      </x:c>
      <x:c r="Q311" s="16" t="n">
        <x:f>IF(COUNT(J311:O311)&lt;6,"",J311*5+K311*4+M311*4+L311*3+N311*2+O311*2)</x:f>
        <x:v>96</x:v>
      </x:c>
      <x:c r="R311" s="14" t="str">
        <x:v>high</x:v>
      </x:c>
      <x:c r="S311" s="14" t="str">
        <x:v>official_prozorro_award_2025_2026</x:v>
      </x:c>
      <x:c r="T311" s="14" t="str">
        <x:v>official_prozorro_api</x:v>
      </x:c>
      <x:c r="U311" s="14" t="str">
        <x:v>Не контактували</x:v>
      </x:c>
      <x:c r="V311" s="15" t="str">
        <x:v>Workflow-audit outreach по UA-2026-06-11-013816-a; попросити 1 пакет здачі та вимоги проєкту</x:v>
      </x:c>
      <x:c r="W311" s="15" t="str">
        <x:v>Власник / директор; керівник ПТО; відповідальний за договори</x:v>
      </x:c>
      <x:c r="X311" s="15" t="str">
        <x:v>1 підтверджених перемог/договорів у Prozorro на 135 000 000 грн; 1 проєктів зі строком виконання не раніше 24.08.2026.</x:v>
      </x:c>
      <x:c r="Y311" s="15" t="str">
        <x:v>Капітальний ремонт мосту на автомобільній дорозі загального користування місцевого значення О100720 Васильків - Княжичі - Лука - Гореничі - /М06/ км 20+119; строк до 2027-12-31. Попросити один знеособлений пакет здачі за цим workflow.</x:v>
      </x:c>
      <x:c r="Z311" s="15" t="str">
        <x:v>https://prozorro.gov.ua/tender/UA-2026-06-11-013816-a</x:v>
      </x:c>
      <x:c r="AA311" s="14" t="str">
        <x:v>05408668</x:v>
      </x:c>
      <x:c r="AB311" s="14" t="str">
        <x:v>2026-08-24</x:v>
      </x:c>
      <x:c r="AC311" s="14" t="str"/>
      <x:c r="AD311" s="20" t="str"/>
      <x:c r="AE311" s="14" t="str"/>
      <x:c r="AF311" s="14" t="n">
        <x:v>68</x:v>
      </x:c>
      <x:c r="AG311" s="14" t="str">
        <x:v>I2</x:v>
      </x:c>
      <x:c r="AH311" s="14" t="n">
        <x:v>1</x:v>
      </x:c>
      <x:c r="AI311" s="14" t="n">
        <x:v>1</x:v>
      </x:c>
      <x:c r="AJ311" s="18" t="n">
        <x:v>135000000</x:v>
      </x:c>
      <x:c r="AK311" s="14" t="str">
        <x:v>https://prozorro.gov.ua/tender/UA-2026-06-11-013816-a</x:v>
      </x:c>
      <x:c r="AL311" s="19" t="n">
        <x:v>46216.335399791664</x:v>
      </x:c>
      <x:c r="AM311" s="19" t="n">
        <x:v>46752</x:v>
      </x:c>
      <x:c r="AN311" s="15" t="str">
        <x:v>Мости / інфраструктура</x:v>
      </x:c>
      <x:c r="AO311" s="15" t="str">
        <x:v>supplier_provided_url</x:v>
      </x:c>
    </x:row>
    <x:row r="312">
      <x:c r="A312" s="14" t="str">
        <x:v>W3-040</x:v>
      </x:c>
      <x:c r="B312" s="14" t="str">
        <x:v>Prozorro winners — 24.08</x:v>
      </x:c>
      <x:c r="C312" s="14" t="str">
        <x:v>Дочірнє підприємство «УкрСіверБуд» закритого акціонерного товариства «ДСК»</x:v>
      </x:c>
      <x:c r="D312" s="14" t="str">
        <x:v>Насосні станції</x:v>
      </x:c>
      <x:c r="E312" s="14" t="str">
        <x:v>Expansion discovery</x:v>
      </x:c>
      <x:c r="F312" s="17" t="str">
        <x:f>IF(E312="Pilot now",IF(P312&gt;=84,"P1",IF(P312&gt;=72,"P2","P3")),IF(E312="Expansion discovery",IF(Q312&gt;=88,"D1",IF(Q312&gt;=78,"D2","D3")),IF(E312="Later / requirements","L","Legacy")))</x:f>
        <x:v>D1</x:v>
      </x:c>
      <x:c r="G312" s="14" t="str"/>
      <x:c r="H312" s="14" t="str">
        <x:v>Discovery розширення — 2 тижні</x:v>
      </x:c>
      <x:c r="I312" s="16" t="n">
        <x:v>1</x:v>
      </x:c>
      <x:c r="J312" s="16" t="n">
        <x:v>5</x:v>
      </x:c>
      <x:c r="K312" s="16" t="n">
        <x:v>4</x:v>
      </x:c>
      <x:c r="L312" s="16" t="n">
        <x:v>5</x:v>
      </x:c>
      <x:c r="M312" s="16" t="n">
        <x:v>5</x:v>
      </x:c>
      <x:c r="N312" s="16" t="n">
        <x:v>5</x:v>
      </x:c>
      <x:c r="O312" s="16" t="n">
        <x:v>5</x:v>
      </x:c>
      <x:c r="P312" s="16" t="n">
        <x:f>IF(COUNT(I312:O312)&lt;7,"",I312*8+J312*3+K312*2+L312*2+M312*2+N312*2+O312)</x:f>
        <x:v>66</x:v>
      </x:c>
      <x:c r="Q312" s="16" t="n">
        <x:f>IF(COUNT(J312:O312)&lt;6,"",J312*5+K312*4+M312*4+L312*3+N312*2+O312*2)</x:f>
        <x:v>96</x:v>
      </x:c>
      <x:c r="R312" s="14" t="str">
        <x:v>high</x:v>
      </x:c>
      <x:c r="S312" s="14" t="str">
        <x:v>official_prozorro_award_2025_2026</x:v>
      </x:c>
      <x:c r="T312" s="14" t="str">
        <x:v>official_prozorro_api</x:v>
      </x:c>
      <x:c r="U312" s="14" t="str">
        <x:v>Не контактували</x:v>
      </x:c>
      <x:c r="V312" s="15" t="str">
        <x:v>Workflow-audit outreach по UA-2026-07-24-006850-a; попросити 1 пакет здачі та вимоги проєкту</x:v>
      </x:c>
      <x:c r="W312" s="15" t="str">
        <x:v>Власник / директор; керівник ПТО; відповідальний за договори</x:v>
      </x:c>
      <x:c r="X312" s="15" t="str">
        <x:v>1 підтверджених перемог/договорів у Prozorro на 120 011 041 грн; 1 проєктів зі строком виконання не раніше 24.08.2026.</x:v>
      </x:c>
      <x:c r="Y312" s="15" t="str">
        <x:v>Виконання робіт по об’єкту: «Реконструкція водопровідної насосної станції «Подусівка» КП «Чернігівводоканал», розташованої на землях Новобілоуської ОТГ Чернігівської області Чернігівського району» 1 черга будівництва» (код ДК 021:2015 – 45000000-7 Будівельні роботи та поточний ремонт); строк до 2026-12-15. Попросити один знеособлений пакет здачі за цим workflow.</x:v>
      </x:c>
      <x:c r="Z312" s="15" t="str">
        <x:v>https://prozorro.gov.ua/tender/UA-2026-07-24-006850-a</x:v>
      </x:c>
      <x:c r="AA312" s="14" t="str">
        <x:v>30042170</x:v>
      </x:c>
      <x:c r="AB312" s="14" t="str">
        <x:v>2026-08-24</x:v>
      </x:c>
      <x:c r="AC312" s="14" t="str"/>
      <x:c r="AD312" s="20" t="str"/>
      <x:c r="AE312" s="14" t="str"/>
      <x:c r="AF312" s="14" t="n">
        <x:v>68</x:v>
      </x:c>
      <x:c r="AG312" s="14" t="str">
        <x:v>I2</x:v>
      </x:c>
      <x:c r="AH312" s="14" t="n">
        <x:v>1</x:v>
      </x:c>
      <x:c r="AI312" s="14" t="n">
        <x:v>1</x:v>
      </x:c>
      <x:c r="AJ312" s="18" t="n">
        <x:v>120011040.84</x:v>
      </x:c>
      <x:c r="AK312" s="14" t="str">
        <x:v>https://prozorro.gov.ua/tender/UA-2026-07-24-006850-a</x:v>
      </x:c>
      <x:c r="AL312" s="19" t="n">
        <x:v>46227.46661451389</x:v>
      </x:c>
      <x:c r="AM312" s="19" t="n">
        <x:v>46371.51025462963</x:v>
      </x:c>
      <x:c r="AN312" s="15" t="str">
        <x:v>Насосні станції</x:v>
      </x:c>
      <x:c r="AO312" s="15" t="str">
        <x:v>not_found_in_top_search</x:v>
      </x:c>
    </x:row>
    <x:row r="313">
      <x:c r="A313" s="14" t="str">
        <x:v>W3-041</x:v>
      </x:c>
      <x:c r="B313" s="14" t="str">
        <x:v>Prozorro winners — 24.08</x:v>
      </x:c>
      <x:c r="C313" s="14" t="str">
        <x:v>ПРИВАТНЕ ПІДПРИЄМСТВО "СІНТА - СЕРВІС"</x:v>
      </x:c>
      <x:c r="D313" s="14" t="str">
        <x:v>Зовнішні мережі</x:v>
      </x:c>
      <x:c r="E313" s="14" t="str">
        <x:v>Expansion discovery</x:v>
      </x:c>
      <x:c r="F313" s="17" t="str">
        <x:f>IF(E313="Pilot now",IF(P313&gt;=84,"P1",IF(P313&gt;=72,"P2","P3")),IF(E313="Expansion discovery",IF(Q313&gt;=88,"D1",IF(Q313&gt;=78,"D2","D3")),IF(E313="Later / requirements","L","Legacy")))</x:f>
        <x:v>D1</x:v>
      </x:c>
      <x:c r="G313" s="14" t="str"/>
      <x:c r="H313" s="14" t="str">
        <x:v>Discovery розширення — 2 тижні</x:v>
      </x:c>
      <x:c r="I313" s="16" t="n">
        <x:v>1</x:v>
      </x:c>
      <x:c r="J313" s="16" t="n">
        <x:v>5</x:v>
      </x:c>
      <x:c r="K313" s="16" t="n">
        <x:v>4</x:v>
      </x:c>
      <x:c r="L313" s="16" t="n">
        <x:v>5</x:v>
      </x:c>
      <x:c r="M313" s="16" t="n">
        <x:v>5</x:v>
      </x:c>
      <x:c r="N313" s="16" t="n">
        <x:v>5</x:v>
      </x:c>
      <x:c r="O313" s="16" t="n">
        <x:v>5</x:v>
      </x:c>
      <x:c r="P313" s="16" t="n">
        <x:f>IF(COUNT(I313:O313)&lt;7,"",I313*8+J313*3+K313*2+L313*2+M313*2+N313*2+O313)</x:f>
        <x:v>66</x:v>
      </x:c>
      <x:c r="Q313" s="16" t="n">
        <x:f>IF(COUNT(J313:O313)&lt;6,"",J313*5+K313*4+M313*4+L313*3+N313*2+O313*2)</x:f>
        <x:v>96</x:v>
      </x:c>
      <x:c r="R313" s="14" t="str">
        <x:v>high</x:v>
      </x:c>
      <x:c r="S313" s="14" t="str">
        <x:v>official_prozorro_award_2025_2026</x:v>
      </x:c>
      <x:c r="T313" s="14" t="str">
        <x:v>official_prozorro_api</x:v>
      </x:c>
      <x:c r="U313" s="14" t="str">
        <x:v>Не контактували</x:v>
      </x:c>
      <x:c r="V313" s="15" t="str">
        <x:v>Workflow-audit outreach по UA-2026-07-14-000809-a; попросити 1 пакет здачі та вимоги проєкту</x:v>
      </x:c>
      <x:c r="W313" s="15" t="str">
        <x:v>Власник / директор; керівник ПТО; відповідальний за договори</x:v>
      </x:c>
      <x:c r="X313" s="15" t="str">
        <x:v>1 підтверджених перемог/договорів у Prozorro на 76 970 000 грн; 1 проєктів зі строком виконання не раніше 24.08.2026.</x:v>
      </x:c>
      <x:c r="Y313" s="15" t="str">
        <x:v>Нове будівництво зовнішніх інженерних мереж з підключенням до збірно-розбірних комплексних споруд Закарпатської області; строк до 2027-12-25. Попросити один знеособлений пакет здачі за цим workflow.</x:v>
      </x:c>
      <x:c r="Z313" s="15" t="str">
        <x:v>https://prozorro.gov.ua/tender/UA-2026-07-14-000809-a</x:v>
      </x:c>
      <x:c r="AA313" s="14" t="str">
        <x:v>33542869</x:v>
      </x:c>
      <x:c r="AB313" s="14" t="str">
        <x:v>2026-08-24</x:v>
      </x:c>
      <x:c r="AC313" s="14" t="str"/>
      <x:c r="AD313" s="20" t="str"/>
      <x:c r="AE313" s="14" t="str"/>
      <x:c r="AF313" s="14" t="n">
        <x:v>68</x:v>
      </x:c>
      <x:c r="AG313" s="14" t="str">
        <x:v>I2</x:v>
      </x:c>
      <x:c r="AH313" s="14" t="n">
        <x:v>1</x:v>
      </x:c>
      <x:c r="AI313" s="14" t="n">
        <x:v>1</x:v>
      </x:c>
      <x:c r="AJ313" s="18" t="n">
        <x:v>76970000</x:v>
      </x:c>
      <x:c r="AK313" s="14" t="str">
        <x:v>https://prozorro.gov.ua/tender/UA-2026-07-14-000809-a</x:v>
      </x:c>
      <x:c r="AL313" s="19" t="n">
        <x:v>46231.56358947916</x:v>
      </x:c>
      <x:c r="AM313" s="19" t="n">
        <x:v>46746</x:v>
      </x:c>
      <x:c r="AN313" s="15" t="str">
        <x:v>Зовнішні мережі</x:v>
      </x:c>
      <x:c r="AO313" s="15" t="str">
        <x:v>not_found_in_top_search</x:v>
      </x:c>
    </x:row>
    <x:row r="314">
      <x:c r="A314" s="14" t="str">
        <x:v>W3-042</x:v>
      </x:c>
      <x:c r="B314" s="14" t="str">
        <x:v>Prozorro winners — 24.08</x:v>
      </x:c>
      <x:c r="C314" s="14" t="str">
        <x:v>ТОВАРИСТВО З ОБМЕЖЕНОЮ ВІДПОВІДАЛЬНІСТЮ "Б.С.ГРУП"</x:v>
      </x:c>
      <x:c r="D314" s="14" t="str">
        <x:v>Мости / інфраструктура</x:v>
      </x:c>
      <x:c r="E314" s="14" t="str">
        <x:v>Expansion discovery</x:v>
      </x:c>
      <x:c r="F314" s="17" t="str">
        <x:f>IF(E314="Pilot now",IF(P314&gt;=84,"P1",IF(P314&gt;=72,"P2","P3")),IF(E314="Expansion discovery",IF(Q314&gt;=88,"D1",IF(Q314&gt;=78,"D2","D3")),IF(E314="Later / requirements","L","Legacy")))</x:f>
        <x:v>D1</x:v>
      </x:c>
      <x:c r="G314" s="14" t="str"/>
      <x:c r="H314" s="14" t="str">
        <x:v>Discovery розширення — 2 тижні</x:v>
      </x:c>
      <x:c r="I314" s="16" t="n">
        <x:v>1</x:v>
      </x:c>
      <x:c r="J314" s="16" t="n">
        <x:v>5</x:v>
      </x:c>
      <x:c r="K314" s="16" t="n">
        <x:v>4</x:v>
      </x:c>
      <x:c r="L314" s="16" t="n">
        <x:v>5</x:v>
      </x:c>
      <x:c r="M314" s="16" t="n">
        <x:v>5</x:v>
      </x:c>
      <x:c r="N314" s="16" t="n">
        <x:v>5</x:v>
      </x:c>
      <x:c r="O314" s="16" t="n">
        <x:v>5</x:v>
      </x:c>
      <x:c r="P314" s="16" t="n">
        <x:f>IF(COUNT(I314:O314)&lt;7,"",I314*8+J314*3+K314*2+L314*2+M314*2+N314*2+O314)</x:f>
        <x:v>66</x:v>
      </x:c>
      <x:c r="Q314" s="16" t="n">
        <x:f>IF(COUNT(J314:O314)&lt;6,"",J314*5+K314*4+M314*4+L314*3+N314*2+O314*2)</x:f>
        <x:v>96</x:v>
      </x:c>
      <x:c r="R314" s="14" t="str">
        <x:v>high</x:v>
      </x:c>
      <x:c r="S314" s="14" t="str">
        <x:v>official_prozorro_award_2025_2026</x:v>
      </x:c>
      <x:c r="T314" s="14" t="str">
        <x:v>official_prozorro_api</x:v>
      </x:c>
      <x:c r="U314" s="14" t="str">
        <x:v>Не контактували</x:v>
      </x:c>
      <x:c r="V314" s="15" t="str">
        <x:v>Workflow-audit outreach по UA-2026-08-06-011717-a; попросити 1 пакет здачі та вимоги проєкту</x:v>
      </x:c>
      <x:c r="W314" s="15" t="str">
        <x:v>Власник / директор; керівник ПТО; відповідальний за договори</x:v>
      </x:c>
      <x:c r="X314" s="15" t="str">
        <x:v>1 підтверджених перемог/договорів у Prozorro на 43 825 745 грн; 1 проєктів зі строком виконання не раніше 24.08.2026.</x:v>
      </x:c>
      <x:c r="Y314" s="15" t="str">
        <x:v>Будівництво трубопроводів, ліній зв’язку та електропередач, шосе, доріг, аеродромів і залізничних доріг; вирівнювання поверхонь за кодом ДК 021:2015 - 45230000-8 (послуги з поточного ремонту Південного мосту через р. Дніпро, правобережної естакади “В” Південного мостового переходу (з боку мосту ім. Є. О. Патона) та правобережної естакади “Н” Південного мостового переходу (з боку с. Корчувате), а саме на Південному мосту через р. Дніпро»); строк до 2027-12-31. Попросити один знеособлений пакет здачі за цим workflow.</x:v>
      </x:c>
      <x:c r="Z314" s="15" t="str">
        <x:v>https://prozorro.gov.ua/tender/UA-2026-08-06-011717-a</x:v>
      </x:c>
      <x:c r="AA314" s="14" t="str">
        <x:v>41348332</x:v>
      </x:c>
      <x:c r="AB314" s="14" t="str">
        <x:v>2026-08-24</x:v>
      </x:c>
      <x:c r="AC314" s="14" t="str"/>
      <x:c r="AD314" s="20" t="str"/>
      <x:c r="AE314" s="14" t="str"/>
      <x:c r="AF314" s="14" t="n">
        <x:v>68</x:v>
      </x:c>
      <x:c r="AG314" s="14" t="str">
        <x:v>I2</x:v>
      </x:c>
      <x:c r="AH314" s="14" t="n">
        <x:v>1</x:v>
      </x:c>
      <x:c r="AI314" s="14" t="n">
        <x:v>1</x:v>
      </x:c>
      <x:c r="AJ314" s="18" t="n">
        <x:v>43825744.84</x:v>
      </x:c>
      <x:c r="AK314" s="14" t="str">
        <x:v>https://prozorro.gov.ua/tender/UA-2026-08-06-011717-a</x:v>
      </x:c>
      <x:c r="AL314" s="19" t="n">
        <x:v>46253.45469856481</x:v>
      </x:c>
      <x:c r="AM314" s="19" t="n">
        <x:v>46752</x:v>
      </x:c>
      <x:c r="AN314" s="15" t="str">
        <x:v>Мости / інфраструктура</x:v>
      </x:c>
      <x:c r="AO314" s="15" t="str">
        <x:v>not_found_in_top_search</x:v>
      </x:c>
    </x:row>
    <x:row r="315">
      <x:c r="A315" s="14" t="str">
        <x:v>W3-043</x:v>
      </x:c>
      <x:c r="B315" s="14" t="str">
        <x:v>Prozorro winners — 24.08</x:v>
      </x:c>
      <x:c r="C315" s="14" t="str">
        <x:v>ТОВАРИСТВО З ОБМЕЖЕНОЮ ВІДПОВІДАЛЬНІСТЮ "СТАЛЬКОНСТРУКЦІЯ ЛТД"</x:v>
      </x:c>
      <x:c r="D315" s="14" t="str">
        <x:v>Теплові мережі</x:v>
      </x:c>
      <x:c r="E315" s="14" t="str">
        <x:v>Expansion discovery</x:v>
      </x:c>
      <x:c r="F315" s="17" t="str">
        <x:f>IF(E315="Pilot now",IF(P315&gt;=84,"P1",IF(P315&gt;=72,"P2","P3")),IF(E315="Expansion discovery",IF(Q315&gt;=88,"D1",IF(Q315&gt;=78,"D2","D3")),IF(E315="Later / requirements","L","Legacy")))</x:f>
        <x:v>D1</x:v>
      </x:c>
      <x:c r="G315" s="14" t="str"/>
      <x:c r="H315" s="14" t="str">
        <x:v>Discovery розширення — 2 тижні</x:v>
      </x:c>
      <x:c r="I315" s="16" t="n">
        <x:v>1</x:v>
      </x:c>
      <x:c r="J315" s="16" t="n">
        <x:v>5</x:v>
      </x:c>
      <x:c r="K315" s="16" t="n">
        <x:v>4</x:v>
      </x:c>
      <x:c r="L315" s="16" t="n">
        <x:v>5</x:v>
      </x:c>
      <x:c r="M315" s="16" t="n">
        <x:v>5</x:v>
      </x:c>
      <x:c r="N315" s="16" t="n">
        <x:v>5</x:v>
      </x:c>
      <x:c r="O315" s="16" t="n">
        <x:v>5</x:v>
      </x:c>
      <x:c r="P315" s="16" t="n">
        <x:f>IF(COUNT(I315:O315)&lt;7,"",I315*8+J315*3+K315*2+L315*2+M315*2+N315*2+O315)</x:f>
        <x:v>66</x:v>
      </x:c>
      <x:c r="Q315" s="16" t="n">
        <x:f>IF(COUNT(J315:O315)&lt;6,"",J315*5+K315*4+M315*4+L315*3+N315*2+O315*2)</x:f>
        <x:v>96</x:v>
      </x:c>
      <x:c r="R315" s="14" t="str">
        <x:v>high</x:v>
      </x:c>
      <x:c r="S315" s="14" t="str">
        <x:v>official_prozorro_award_2025_2026</x:v>
      </x:c>
      <x:c r="T315" s="14" t="str">
        <x:v>official_prozorro_api</x:v>
      </x:c>
      <x:c r="U315" s="14" t="str">
        <x:v>Не контактували</x:v>
      </x:c>
      <x:c r="V315" s="15" t="str">
        <x:v>Workflow-audit outreach по UA-2026-08-12-009355-a; попросити 1 пакет здачі та вимоги проєкту</x:v>
      </x:c>
      <x:c r="W315" s="15" t="str">
        <x:v>Власник / директор; керівник ПТО; відповідальний за договори</x:v>
      </x:c>
      <x:c r="X315" s="15" t="str">
        <x:v>1 підтверджених перемог/договорів у Prozorro на 31 769 069 грн; 1 проєктів зі строком виконання не раніше 24.08.2026.</x:v>
      </x:c>
      <x:c r="Y315" s="15" t="str">
        <x:v>Реконструкція будівлі котло-турбінної **** комунального підприємства «Харківські теплові мережі» після ракетного обстрілу (інв. № 010088) за адресою: м. Харків, вул. ********** (код ДК 021:2015 – 45453000-4 "Реконструкція"). ; строк до 2026-10-31. Попросити один знеособлений пакет здачі за цим workflow.</x:v>
      </x:c>
      <x:c r="Z315" s="15" t="str">
        <x:v>https://prozorro.gov.ua/tender/UA-2026-08-12-009355-a</x:v>
      </x:c>
      <x:c r="AA315" s="14" t="str">
        <x:v>38158090</x:v>
      </x:c>
      <x:c r="AB315" s="14" t="str">
        <x:v>2026-08-24</x:v>
      </x:c>
      <x:c r="AC315" s="14" t="str"/>
      <x:c r="AD315" s="20" t="str"/>
      <x:c r="AE315" s="14" t="str"/>
      <x:c r="AF315" s="14" t="n">
        <x:v>68</x:v>
      </x:c>
      <x:c r="AG315" s="14" t="str">
        <x:v>I2</x:v>
      </x:c>
      <x:c r="AH315" s="14" t="n">
        <x:v>1</x:v>
      </x:c>
      <x:c r="AI315" s="14" t="n">
        <x:v>1</x:v>
      </x:c>
      <x:c r="AJ315" s="18" t="n">
        <x:v>31769068.55</x:v>
      </x:c>
      <x:c r="AK315" s="14" t="str">
        <x:v>https://prozorro.gov.ua/tender/UA-2026-08-12-009355-a</x:v>
      </x:c>
      <x:c r="AL315" s="19" t="n">
        <x:v>46246.52815922454</x:v>
      </x:c>
      <x:c r="AM315" s="19" t="n">
        <x:v>46326</x:v>
      </x:c>
      <x:c r="AN315" s="15" t="str">
        <x:v>Теплові мережі</x:v>
      </x:c>
      <x:c r="AO315" s="15" t="str">
        <x:v>not_found_in_top_search</x:v>
      </x:c>
    </x:row>
    <x:row r="316">
      <x:c r="A316" s="14" t="str">
        <x:v>W3-044</x:v>
      </x:c>
      <x:c r="B316" s="14" t="str">
        <x:v>Prozorro winners — 24.08</x:v>
      </x:c>
      <x:c r="C316" s="14" t="str">
        <x:v>ТОВ "ВАЛЕОБУД"</x:v>
      </x:c>
      <x:c r="D316" s="14" t="str">
        <x:v>Зовнішні мережі</x:v>
      </x:c>
      <x:c r="E316" s="14" t="str">
        <x:v>Expansion discovery</x:v>
      </x:c>
      <x:c r="F316" s="17" t="str">
        <x:f>IF(E316="Pilot now",IF(P316&gt;=84,"P1",IF(P316&gt;=72,"P2","P3")),IF(E316="Expansion discovery",IF(Q316&gt;=88,"D1",IF(Q316&gt;=78,"D2","D3")),IF(E316="Later / requirements","L","Legacy")))</x:f>
        <x:v>D1</x:v>
      </x:c>
      <x:c r="G316" s="14" t="str"/>
      <x:c r="H316" s="14" t="str">
        <x:v>Discovery розширення — 2 тижні</x:v>
      </x:c>
      <x:c r="I316" s="16" t="n">
        <x:v>1</x:v>
      </x:c>
      <x:c r="J316" s="16" t="n">
        <x:v>5</x:v>
      </x:c>
      <x:c r="K316" s="16" t="n">
        <x:v>4</x:v>
      </x:c>
      <x:c r="L316" s="16" t="n">
        <x:v>5</x:v>
      </x:c>
      <x:c r="M316" s="16" t="n">
        <x:v>5</x:v>
      </x:c>
      <x:c r="N316" s="16" t="n">
        <x:v>5</x:v>
      </x:c>
      <x:c r="O316" s="16" t="n">
        <x:v>5</x:v>
      </x:c>
      <x:c r="P316" s="16" t="n">
        <x:f>IF(COUNT(I316:O316)&lt;7,"",I316*8+J316*3+K316*2+L316*2+M316*2+N316*2+O316)</x:f>
        <x:v>66</x:v>
      </x:c>
      <x:c r="Q316" s="16" t="n">
        <x:f>IF(COUNT(J316:O316)&lt;6,"",J316*5+K316*4+M316*4+L316*3+N316*2+O316*2)</x:f>
        <x:v>96</x:v>
      </x:c>
      <x:c r="R316" s="14" t="str">
        <x:v>high</x:v>
      </x:c>
      <x:c r="S316" s="14" t="str">
        <x:v>official_prozorro_award_2025_2026</x:v>
      </x:c>
      <x:c r="T316" s="14" t="str">
        <x:v>official_prozorro_api</x:v>
      </x:c>
      <x:c r="U316" s="14" t="str">
        <x:v>Не контактували</x:v>
      </x:c>
      <x:c r="V316" s="15" t="str">
        <x:v>Workflow-audit outreach по UA-2026-07-07-006705-a; попросити 1 пакет здачі та вимоги проєкту</x:v>
      </x:c>
      <x:c r="W316" s="15" t="str">
        <x:v>Власник / директор; керівник ПТО; відповідальний за договори</x:v>
      </x:c>
      <x:c r="X316" s="15" t="str">
        <x:v>1 підтверджених перемог/договорів у Prozorro на 30 262 321 грн; 1 проєктів зі строком виконання не раніше 24.08.2026.</x:v>
      </x:c>
      <x:c r="Y316" s="15" t="str">
        <x:v>Будівництво багатоквартирних житлових будинків соціального призначення та дошкільного навчального закладу в другому мікрорайоні житлового району «Масани» у м. Чернігів на земельних ділянках, які перебувають в постійному користуванні: зовнішні інженерні мережі електропостачання; строк до 2026-12-31. Попросити один знеособлений пакет здачі за цим workflow.</x:v>
      </x:c>
      <x:c r="Z316" s="15" t="str">
        <x:v>https://prozorro.gov.ua/tender/UA-2026-07-07-006705-a</x:v>
      </x:c>
      <x:c r="AA316" s="14" t="str">
        <x:v>42591801</x:v>
      </x:c>
      <x:c r="AB316" s="14" t="str">
        <x:v>2026-08-24</x:v>
      </x:c>
      <x:c r="AC316" s="14" t="str"/>
      <x:c r="AD316" s="20" t="str"/>
      <x:c r="AE316" s="14" t="str"/>
      <x:c r="AF316" s="14" t="n">
        <x:v>68</x:v>
      </x:c>
      <x:c r="AG316" s="14" t="str">
        <x:v>I2</x:v>
      </x:c>
      <x:c r="AH316" s="14" t="n">
        <x:v>1</x:v>
      </x:c>
      <x:c r="AI316" s="14" t="n">
        <x:v>1</x:v>
      </x:c>
      <x:c r="AJ316" s="18" t="n">
        <x:v>30262320.8</x:v>
      </x:c>
      <x:c r="AK316" s="14" t="str">
        <x:v>https://prozorro.gov.ua/tender/UA-2026-07-07-006705-a</x:v>
      </x:c>
      <x:c r="AL316" s="19" t="n">
        <x:v>46225.34587831019</x:v>
      </x:c>
      <x:c r="AM316" s="19" t="n">
        <x:v>46387</x:v>
      </x:c>
      <x:c r="AN316" s="15" t="str">
        <x:v>Зовнішні мережі</x:v>
      </x:c>
      <x:c r="AO316" s="15" t="str">
        <x:v>not_found_in_top_search</x:v>
      </x:c>
    </x:row>
    <x:row r="317">
      <x:c r="A317" s="14" t="str">
        <x:v>W3-045</x:v>
      </x:c>
      <x:c r="B317" s="14" t="str">
        <x:v>Prozorro winners — 24.08</x:v>
      </x:c>
      <x:c r="C317" s="14" t="str">
        <x:v>ТОВАРИСТВО З ОБМЕЖЕНОЮ ВІДПОВІДАЛЬНІСТЮ "ДВА Т ГРУП"</x:v>
      </x:c>
      <x:c r="D317" s="14" t="str">
        <x:v>Зовнішні мережі</x:v>
      </x:c>
      <x:c r="E317" s="14" t="str">
        <x:v>Expansion discovery</x:v>
      </x:c>
      <x:c r="F317" s="17" t="str">
        <x:f>IF(E317="Pilot now",IF(P317&gt;=84,"P1",IF(P317&gt;=72,"P2","P3")),IF(E317="Expansion discovery",IF(Q317&gt;=88,"D1",IF(Q317&gt;=78,"D2","D3")),IF(E317="Later / requirements","L","Legacy")))</x:f>
        <x:v>D1</x:v>
      </x:c>
      <x:c r="G317" s="14" t="str"/>
      <x:c r="H317" s="14" t="str">
        <x:v>Discovery розширення — 2 тижні</x:v>
      </x:c>
      <x:c r="I317" s="16" t="n">
        <x:v>1</x:v>
      </x:c>
      <x:c r="J317" s="16" t="n">
        <x:v>5</x:v>
      </x:c>
      <x:c r="K317" s="16" t="n">
        <x:v>4</x:v>
      </x:c>
      <x:c r="L317" s="16" t="n">
        <x:v>5</x:v>
      </x:c>
      <x:c r="M317" s="16" t="n">
        <x:v>5</x:v>
      </x:c>
      <x:c r="N317" s="16" t="n">
        <x:v>5</x:v>
      </x:c>
      <x:c r="O317" s="16" t="n">
        <x:v>5</x:v>
      </x:c>
      <x:c r="P317" s="16" t="n">
        <x:f>IF(COUNT(I317:O317)&lt;7,"",I317*8+J317*3+K317*2+L317*2+M317*2+N317*2+O317)</x:f>
        <x:v>66</x:v>
      </x:c>
      <x:c r="Q317" s="16" t="n">
        <x:f>IF(COUNT(J317:O317)&lt;6,"",J317*5+K317*4+M317*4+L317*3+N317*2+O317*2)</x:f>
        <x:v>96</x:v>
      </x:c>
      <x:c r="R317" s="14" t="str">
        <x:v>high</x:v>
      </x:c>
      <x:c r="S317" s="14" t="str">
        <x:v>official_prozorro_award_2025_2026</x:v>
      </x:c>
      <x:c r="T317" s="14" t="str">
        <x:v>official_prozorro_api</x:v>
      </x:c>
      <x:c r="U317" s="14" t="str">
        <x:v>Не контактували</x:v>
      </x:c>
      <x:c r="V317" s="15" t="str">
        <x:v>Workflow-audit outreach по UA-2026-06-30-003598-a; попросити 1 пакет здачі та вимоги проєкту</x:v>
      </x:c>
      <x:c r="W317" s="15" t="str">
        <x:v>Власник / директор; керівник ПТО; відповідальний за договори</x:v>
      </x:c>
      <x:c r="X317" s="15" t="str">
        <x:v>1 підтверджених перемог/договорів у Prozorro на 26 495 194 грн; 1 проєктів зі строком виконання не раніше 24.08.2026.</x:v>
      </x:c>
      <x:c r="Y317" s="15" t="str">
        <x:v>Виконання будівельних робіт по об’єкту: «Нове будівництво зовнішніх інженерних мереж водовідведення, військове містечко № 20, с. Немирів, Львівська обл.» ; строк до 2027-02-16. Попросити один знеособлений пакет здачі за цим workflow.</x:v>
      </x:c>
      <x:c r="Z317" s="15" t="str">
        <x:v>https://prozorro.gov.ua/tender/UA-2026-06-30-003598-a</x:v>
      </x:c>
      <x:c r="AA317" s="14" t="str">
        <x:v>43280292</x:v>
      </x:c>
      <x:c r="AB317" s="14" t="str">
        <x:v>2026-08-24</x:v>
      </x:c>
      <x:c r="AC317" s="14" t="str"/>
      <x:c r="AD317" s="20" t="str"/>
      <x:c r="AE317" s="14" t="str"/>
      <x:c r="AF317" s="14" t="n">
        <x:v>68</x:v>
      </x:c>
      <x:c r="AG317" s="14" t="str">
        <x:v>I2</x:v>
      </x:c>
      <x:c r="AH317" s="14" t="n">
        <x:v>1</x:v>
      </x:c>
      <x:c r="AI317" s="14" t="n">
        <x:v>1</x:v>
      </x:c>
      <x:c r="AJ317" s="18" t="n">
        <x:v>26495193.6</x:v>
      </x:c>
      <x:c r="AK317" s="14" t="str">
        <x:v>https://prozorro.gov.ua/tender/UA-2026-06-30-003598-a</x:v>
      </x:c>
      <x:c r="AL317" s="19" t="n">
        <x:v>46216.38532724537</x:v>
      </x:c>
      <x:c r="AM317" s="19" t="n">
        <x:v>46434</x:v>
      </x:c>
      <x:c r="AN317" s="15" t="str">
        <x:v>Зовнішні мережі</x:v>
      </x:c>
      <x:c r="AO317" s="15" t="str">
        <x:v>not_found_in_top_search</x:v>
      </x:c>
    </x:row>
    <x:row r="318">
      <x:c r="A318" s="14" t="str">
        <x:v>W3-046</x:v>
      </x:c>
      <x:c r="B318" s="14" t="str">
        <x:v>Prozorro winners — 24.08</x:v>
      </x:c>
      <x:c r="C318" s="14" t="str">
        <x:v>ТОВ Брот</x:v>
      </x:c>
      <x:c r="D318" s="14" t="str">
        <x:v>Зовнішні мережі</x:v>
      </x:c>
      <x:c r="E318" s="14" t="str">
        <x:v>Expansion discovery</x:v>
      </x:c>
      <x:c r="F318" s="17" t="str">
        <x:f>IF(E318="Pilot now",IF(P318&gt;=84,"P1",IF(P318&gt;=72,"P2","P3")),IF(E318="Expansion discovery",IF(Q318&gt;=88,"D1",IF(Q318&gt;=78,"D2","D3")),IF(E318="Later / requirements","L","Legacy")))</x:f>
        <x:v>D1</x:v>
      </x:c>
      <x:c r="G318" s="14" t="str"/>
      <x:c r="H318" s="14" t="str">
        <x:v>Discovery розширення — 2 тижні</x:v>
      </x:c>
      <x:c r="I318" s="16" t="n">
        <x:v>1</x:v>
      </x:c>
      <x:c r="J318" s="16" t="n">
        <x:v>5</x:v>
      </x:c>
      <x:c r="K318" s="16" t="n">
        <x:v>4</x:v>
      </x:c>
      <x:c r="L318" s="16" t="n">
        <x:v>5</x:v>
      </x:c>
      <x:c r="M318" s="16" t="n">
        <x:v>5</x:v>
      </x:c>
      <x:c r="N318" s="16" t="n">
        <x:v>5</x:v>
      </x:c>
      <x:c r="O318" s="16" t="n">
        <x:v>5</x:v>
      </x:c>
      <x:c r="P318" s="16" t="n">
        <x:f>IF(COUNT(I318:O318)&lt;7,"",I318*8+J318*3+K318*2+L318*2+M318*2+N318*2+O318)</x:f>
        <x:v>66</x:v>
      </x:c>
      <x:c r="Q318" s="16" t="n">
        <x:f>IF(COUNT(J318:O318)&lt;6,"",J318*5+K318*4+M318*4+L318*3+N318*2+O318*2)</x:f>
        <x:v>96</x:v>
      </x:c>
      <x:c r="R318" s="14" t="str">
        <x:v>high</x:v>
      </x:c>
      <x:c r="S318" s="14" t="str">
        <x:v>official_prozorro_award_2025_2026</x:v>
      </x:c>
      <x:c r="T318" s="14" t="str">
        <x:v>official_prozorro_api</x:v>
      </x:c>
      <x:c r="U318" s="14" t="str">
        <x:v>Не контактували</x:v>
      </x:c>
      <x:c r="V318" s="15" t="str">
        <x:v>Workflow-audit outreach по UA-2026-07-01-008648-a; попросити 1 пакет здачі та вимоги проєкту</x:v>
      </x:c>
      <x:c r="W318" s="15" t="str">
        <x:v>Власник / директор; керівник ПТО; відповідальний за договори</x:v>
      </x:c>
      <x:c r="X318" s="15" t="str">
        <x:v>1 підтверджених перемог/договорів у Prozorro на 14 307 849 грн; 1 проєктів зі строком виконання не раніше 24.08.2026.</x:v>
      </x:c>
      <x:c r="Y318" s="15" t="str">
        <x:v>Нове будівництво котельні та зовнішніх інженерних мереж для дитячого садка в мікрорайоні «Каскад» у м. Івано-Франківську; строк до 2026-12-31. Попросити один знеособлений пакет здачі за цим workflow.</x:v>
      </x:c>
      <x:c r="Z318" s="15" t="str">
        <x:v>https://prozorro.gov.ua/tender/UA-2026-07-01-008648-a</x:v>
      </x:c>
      <x:c r="AA318" s="14" t="str">
        <x:v>38712319</x:v>
      </x:c>
      <x:c r="AB318" s="14" t="str">
        <x:v>2026-08-24</x:v>
      </x:c>
      <x:c r="AC318" s="14" t="str"/>
      <x:c r="AD318" s="20" t="str"/>
      <x:c r="AE318" s="14" t="str"/>
      <x:c r="AF318" s="14" t="n">
        <x:v>68</x:v>
      </x:c>
      <x:c r="AG318" s="14" t="str">
        <x:v>I2</x:v>
      </x:c>
      <x:c r="AH318" s="14" t="n">
        <x:v>1</x:v>
      </x:c>
      <x:c r="AI318" s="14" t="n">
        <x:v>1</x:v>
      </x:c>
      <x:c r="AJ318" s="18" t="n">
        <x:v>14307849</x:v>
      </x:c>
      <x:c r="AK318" s="14" t="str">
        <x:v>https://prozorro.gov.ua/tender/UA-2026-07-01-008648-a</x:v>
      </x:c>
      <x:c r="AL318" s="19" t="n">
        <x:v>46230.5999233912</x:v>
      </x:c>
      <x:c r="AM318" s="19" t="n">
        <x:v>46387</x:v>
      </x:c>
      <x:c r="AN318" s="15" t="str">
        <x:v>Зовнішні мережі</x:v>
      </x:c>
      <x:c r="AO318" s="15" t="str">
        <x:v>not_found_in_top_search</x:v>
      </x:c>
    </x:row>
    <x:row r="319">
      <x:c r="A319" s="14" t="str">
        <x:v>W3-047</x:v>
      </x:c>
      <x:c r="B319" s="14" t="str">
        <x:v>Prozorro winners — 24.08</x:v>
      </x:c>
      <x:c r="C319" s="14" t="str">
        <x:v>Товариство з обмеженою відповідальністю "Еверест-С"</x:v>
      </x:c>
      <x:c r="D319" s="14" t="str">
        <x:v>Насосні станції</x:v>
      </x:c>
      <x:c r="E319" s="14" t="str">
        <x:v>Expansion discovery</x:v>
      </x:c>
      <x:c r="F319" s="17" t="str">
        <x:f>IF(E319="Pilot now",IF(P319&gt;=84,"P1",IF(P319&gt;=72,"P2","P3")),IF(E319="Expansion discovery",IF(Q319&gt;=88,"D1",IF(Q319&gt;=78,"D2","D3")),IF(E319="Later / requirements","L","Legacy")))</x:f>
        <x:v>D1</x:v>
      </x:c>
      <x:c r="G319" s="14" t="str">
        <x:v>everest-s.uaprom.net</x:v>
      </x:c>
      <x:c r="H319" s="14" t="str">
        <x:v>Discovery розширення — 2 тижні</x:v>
      </x:c>
      <x:c r="I319" s="16" t="n">
        <x:v>1</x:v>
      </x:c>
      <x:c r="J319" s="16" t="n">
        <x:v>5</x:v>
      </x:c>
      <x:c r="K319" s="16" t="n">
        <x:v>4</x:v>
      </x:c>
      <x:c r="L319" s="16" t="n">
        <x:v>5</x:v>
      </x:c>
      <x:c r="M319" s="16" t="n">
        <x:v>5</x:v>
      </x:c>
      <x:c r="N319" s="16" t="n">
        <x:v>5</x:v>
      </x:c>
      <x:c r="O319" s="16" t="n">
        <x:v>5</x:v>
      </x:c>
      <x:c r="P319" s="16" t="n">
        <x:f>IF(COUNT(I319:O319)&lt;7,"",I319*8+J319*3+K319*2+L319*2+M319*2+N319*2+O319)</x:f>
        <x:v>66</x:v>
      </x:c>
      <x:c r="Q319" s="16" t="n">
        <x:f>IF(COUNT(J319:O319)&lt;6,"",J319*5+K319*4+M319*4+L319*3+N319*2+O319*2)</x:f>
        <x:v>96</x:v>
      </x:c>
      <x:c r="R319" s="14" t="str">
        <x:v>high</x:v>
      </x:c>
      <x:c r="S319" s="14" t="str">
        <x:v>official_prozorro_award_2025_2026</x:v>
      </x:c>
      <x:c r="T319" s="14" t="str">
        <x:v>official_prozorro_api</x:v>
      </x:c>
      <x:c r="U319" s="14" t="str">
        <x:v>Не контактували</x:v>
      </x:c>
      <x:c r="V319" s="15" t="str">
        <x:v>Workflow-audit outreach по UA-2026-06-26-010661-a; попросити 1 пакет здачі та вимоги проєкту</x:v>
      </x:c>
      <x:c r="W319" s="15" t="str">
        <x:v>Власник / директор; керівник ПТО; відповідальний за договори</x:v>
      </x:c>
      <x:c r="X319" s="15" t="str">
        <x:v>1 підтверджених перемог/договорів у Prozorro на 12 049 878 грн; 1 проєктів зі строком виконання не раніше 24.08.2026.</x:v>
      </x:c>
      <x:c r="Y319" s="15" t="str">
        <x:v>за кодом ДК 021:2015 (CPV): 45450000-6 - Інші завершальні будівельні роботи («Реконструкція каналізаційної насосної станції КНС-2 по вул. Романа Шухевича, 1а в м. Конотоп Сумської області (Коригування)"); строк до 2026-11-30. Попросити один знеособлений пакет здачі за цим workflow.</x:v>
      </x:c>
      <x:c r="Z319" s="15" t="str">
        <x:v>https://prozorro.gov.ua/tender/UA-2026-06-26-010661-a</x:v>
      </x:c>
      <x:c r="AA319" s="14" t="str">
        <x:v>33526166</x:v>
      </x:c>
      <x:c r="AB319" s="14" t="str">
        <x:v>2026-08-24</x:v>
      </x:c>
      <x:c r="AC319" s="14" t="str"/>
      <x:c r="AD319" s="20" t="str"/>
      <x:c r="AE319" s="14" t="str"/>
      <x:c r="AF319" s="14" t="n">
        <x:v>68</x:v>
      </x:c>
      <x:c r="AG319" s="14" t="str">
        <x:v>I2</x:v>
      </x:c>
      <x:c r="AH319" s="14" t="n">
        <x:v>1</x:v>
      </x:c>
      <x:c r="AI319" s="14" t="n">
        <x:v>1</x:v>
      </x:c>
      <x:c r="AJ319" s="18" t="n">
        <x:v>12049878</x:v>
      </x:c>
      <x:c r="AK319" s="14" t="str">
        <x:v>https://prozorro.gov.ua/tender/UA-2026-06-26-010661-a</x:v>
      </x:c>
      <x:c r="AL319" s="19" t="n">
        <x:v>46217.39329100694</x:v>
      </x:c>
      <x:c r="AM319" s="19" t="n">
        <x:v>46356.60386574074</x:v>
      </x:c>
      <x:c r="AN319" s="15" t="str">
        <x:v>Насосні станції</x:v>
      </x:c>
      <x:c r="AO319" s="15" t="str">
        <x:v>supplier_provided_url</x:v>
      </x:c>
    </x:row>
    <x:row r="320">
      <x:c r="A320" s="14" t="str">
        <x:v>W3-048</x:v>
      </x:c>
      <x:c r="B320" s="14" t="str">
        <x:v>Prozorro winners — 24.08</x:v>
      </x:c>
      <x:c r="C320" s="14" t="str">
        <x:v>ТОВ "ЮІСіЕй"</x:v>
      </x:c>
      <x:c r="D320" s="14" t="str">
        <x:v>Насосні станції</x:v>
      </x:c>
      <x:c r="E320" s="14" t="str">
        <x:v>Expansion discovery</x:v>
      </x:c>
      <x:c r="F320" s="17" t="str">
        <x:f>IF(E320="Pilot now",IF(P320&gt;=84,"P1",IF(P320&gt;=72,"P2","P3")),IF(E320="Expansion discovery",IF(Q320&gt;=88,"D1",IF(Q320&gt;=78,"D2","D3")),IF(E320="Later / requirements","L","Legacy")))</x:f>
        <x:v>D1</x:v>
      </x:c>
      <x:c r="G320" s="14" t="str"/>
      <x:c r="H320" s="14" t="str">
        <x:v>Discovery розширення — 2 тижні</x:v>
      </x:c>
      <x:c r="I320" s="16" t="n">
        <x:v>1</x:v>
      </x:c>
      <x:c r="J320" s="16" t="n">
        <x:v>5</x:v>
      </x:c>
      <x:c r="K320" s="16" t="n">
        <x:v>4</x:v>
      </x:c>
      <x:c r="L320" s="16" t="n">
        <x:v>5</x:v>
      </x:c>
      <x:c r="M320" s="16" t="n">
        <x:v>5</x:v>
      </x:c>
      <x:c r="N320" s="16" t="n">
        <x:v>5</x:v>
      </x:c>
      <x:c r="O320" s="16" t="n">
        <x:v>5</x:v>
      </x:c>
      <x:c r="P320" s="16" t="n">
        <x:f>IF(COUNT(I320:O320)&lt;7,"",I320*8+J320*3+K320*2+L320*2+M320*2+N320*2+O320)</x:f>
        <x:v>66</x:v>
      </x:c>
      <x:c r="Q320" s="16" t="n">
        <x:f>IF(COUNT(J320:O320)&lt;6,"",J320*5+K320*4+M320*4+L320*3+N320*2+O320*2)</x:f>
        <x:v>96</x:v>
      </x:c>
      <x:c r="R320" s="14" t="str">
        <x:v>high</x:v>
      </x:c>
      <x:c r="S320" s="14" t="str">
        <x:v>official_prozorro_award_2025_2026</x:v>
      </x:c>
      <x:c r="T320" s="14" t="str">
        <x:v>official_prozorro_api</x:v>
      </x:c>
      <x:c r="U320" s="14" t="str">
        <x:v>Не контактували</x:v>
      </x:c>
      <x:c r="V320" s="15" t="str">
        <x:v>Workflow-audit outreach по UA-2026-08-18-010447-a; попросити 1 пакет здачі та вимоги проєкту</x:v>
      </x:c>
      <x:c r="W320" s="15" t="str">
        <x:v>Власник / директор; керівник ПТО; відповідальний за договори</x:v>
      </x:c>
      <x:c r="X320" s="15" t="str">
        <x:v>1 підтверджених перемог/договорів у Prozorro на 11 184 066 грн; 1 проєктів зі строком виконання не раніше 24.08.2026.</x:v>
      </x:c>
      <x:c r="Y320" s="15" t="str">
        <x:v>Виконання проектно - вишукувальних робіт по об'єкту: "Реконструкція каналізаційної насосної станції №1 в частині влаштування інженерного захисту технологічного обладнання" (ДК 021:2015: 71250000-5 - Архітектурні, інженерні та геодезичні послуги); строк до 2026-12-15. Попросити один знеособлений пакет здачі за цим workflow.</x:v>
      </x:c>
      <x:c r="Z320" s="15" t="str">
        <x:v>https://prozorro.gov.ua/tender/UA-2026-08-18-010447-a</x:v>
      </x:c>
      <x:c r="AA320" s="14" t="str">
        <x:v>37139449</x:v>
      </x:c>
      <x:c r="AB320" s="14" t="str">
        <x:v>2026-08-24</x:v>
      </x:c>
      <x:c r="AC320" s="14" t="str"/>
      <x:c r="AD320" s="20" t="str"/>
      <x:c r="AE320" s="14" t="str"/>
      <x:c r="AF320" s="14" t="n">
        <x:v>68</x:v>
      </x:c>
      <x:c r="AG320" s="14" t="str">
        <x:v>I2</x:v>
      </x:c>
      <x:c r="AH320" s="14" t="n">
        <x:v>1</x:v>
      </x:c>
      <x:c r="AI320" s="14" t="n">
        <x:v>1</x:v>
      </x:c>
      <x:c r="AJ320" s="18" t="n">
        <x:v>11184065.74</x:v>
      </x:c>
      <x:c r="AK320" s="14" t="str">
        <x:v>https://prozorro.gov.ua/tender/UA-2026-08-18-010447-a</x:v>
      </x:c>
      <x:c r="AL320" s="19" t="n">
        <x:v>46252.53412481482</x:v>
      </x:c>
      <x:c r="AM320" s="19" t="n">
        <x:v>46371.57699074074</x:v>
      </x:c>
      <x:c r="AN320" s="15" t="str">
        <x:v>Насосні станції</x:v>
      </x:c>
      <x:c r="AO320" s="15" t="str">
        <x:v>not_found_in_top_search</x:v>
      </x:c>
    </x:row>
    <x:row r="321">
      <x:c r="A321" s="14" t="str">
        <x:v>W3-049</x:v>
      </x:c>
      <x:c r="B321" s="14" t="str">
        <x:v>Prozorro winners — 24.08</x:v>
      </x:c>
      <x:c r="C321" s="14" t="str">
        <x:v>ТОВ "ОДЕСАГРОГАЗ"</x:v>
      </x:c>
      <x:c r="D321" s="14" t="str">
        <x:v>Теплові мережі</x:v>
      </x:c>
      <x:c r="E321" s="14" t="str">
        <x:v>Expansion discovery</x:v>
      </x:c>
      <x:c r="F321" s="17" t="str">
        <x:f>IF(E321="Pilot now",IF(P321&gt;=84,"P1",IF(P321&gt;=72,"P2","P3")),IF(E321="Expansion discovery",IF(Q321&gt;=88,"D1",IF(Q321&gt;=78,"D2","D3")),IF(E321="Later / requirements","L","Legacy")))</x:f>
        <x:v>D1</x:v>
      </x:c>
      <x:c r="G321" s="14" t="str"/>
      <x:c r="H321" s="14" t="str">
        <x:v>Discovery розширення — 2 тижні</x:v>
      </x:c>
      <x:c r="I321" s="16" t="n">
        <x:v>1</x:v>
      </x:c>
      <x:c r="J321" s="16" t="n">
        <x:v>5</x:v>
      </x:c>
      <x:c r="K321" s="16" t="n">
        <x:v>4</x:v>
      </x:c>
      <x:c r="L321" s="16" t="n">
        <x:v>5</x:v>
      </x:c>
      <x:c r="M321" s="16" t="n">
        <x:v>5</x:v>
      </x:c>
      <x:c r="N321" s="16" t="n">
        <x:v>5</x:v>
      </x:c>
      <x:c r="O321" s="16" t="n">
        <x:v>5</x:v>
      </x:c>
      <x:c r="P321" s="16" t="n">
        <x:f>IF(COUNT(I321:O321)&lt;7,"",I321*8+J321*3+K321*2+L321*2+M321*2+N321*2+O321)</x:f>
        <x:v>66</x:v>
      </x:c>
      <x:c r="Q321" s="16" t="n">
        <x:f>IF(COUNT(J321:O321)&lt;6,"",J321*5+K321*4+M321*4+L321*3+N321*2+O321*2)</x:f>
        <x:v>96</x:v>
      </x:c>
      <x:c r="R321" s="14" t="str">
        <x:v>high</x:v>
      </x:c>
      <x:c r="S321" s="14" t="str">
        <x:v>official_prozorro_award_2025_2026</x:v>
      </x:c>
      <x:c r="T321" s="14" t="str">
        <x:v>official_prozorro_api</x:v>
      </x:c>
      <x:c r="U321" s="14" t="str">
        <x:v>Не контактували</x:v>
      </x:c>
      <x:c r="V321" s="15" t="str">
        <x:v>Workflow-audit outreach по UA-2026-06-22-007158-a; попросити 1 пакет здачі та вимоги проєкту</x:v>
      </x:c>
      <x:c r="W321" s="15" t="str">
        <x:v>Власник / директор; керівник ПТО; відповідальний за договори</x:v>
      </x:c>
      <x:c r="X321" s="15" t="str">
        <x:v>1 підтверджених перемог/договорів у Prozorro на 10 977 744 грн; 1 проєктів зі строком виконання не раніше 24.08.2026.</x:v>
      </x:c>
      <x:c r="Y321" s="15" t="str">
        <x:v>Реконструкція теплової мережі на ділянці від камери К1 (вул.Торгова, 2А) до камери К-9 (вул.Шевченка, 10)  в м.Чорноморськ Одеського району Одеської області. Коригування.; строк до 2026-10-31. Попросити один знеособлений пакет здачі за цим workflow.</x:v>
      </x:c>
      <x:c r="Z321" s="15" t="str">
        <x:v>https://prozorro.gov.ua/tender/UA-2026-06-22-007158-a</x:v>
      </x:c>
      <x:c r="AA321" s="14" t="str">
        <x:v>35205975</x:v>
      </x:c>
      <x:c r="AB321" s="14" t="str">
        <x:v>2026-08-24</x:v>
      </x:c>
      <x:c r="AC321" s="14" t="str"/>
      <x:c r="AD321" s="20" t="str"/>
      <x:c r="AE321" s="14" t="str"/>
      <x:c r="AF321" s="14" t="n">
        <x:v>68</x:v>
      </x:c>
      <x:c r="AG321" s="14" t="str">
        <x:v>I2</x:v>
      </x:c>
      <x:c r="AH321" s="14" t="n">
        <x:v>1</x:v>
      </x:c>
      <x:c r="AI321" s="14" t="n">
        <x:v>1</x:v>
      </x:c>
      <x:c r="AJ321" s="18" t="n">
        <x:v>10977744</x:v>
      </x:c>
      <x:c r="AK321" s="14" t="str">
        <x:v>https://prozorro.gov.ua/tender/UA-2026-06-22-007158-a</x:v>
      </x:c>
      <x:c r="AL321" s="19" t="n">
        <x:v>46216.2145549537</x:v>
      </x:c>
      <x:c r="AM321" s="19" t="n">
        <x:v>46326</x:v>
      </x:c>
      <x:c r="AN321" s="15" t="str">
        <x:v>Теплові мережі</x:v>
      </x:c>
      <x:c r="AO321" s="15" t="str">
        <x:v>not_found_in_top_search</x:v>
      </x:c>
    </x:row>
    <x:row r="322">
      <x:c r="A322" s="14" t="str">
        <x:v>W3-050</x:v>
      </x:c>
      <x:c r="B322" s="14" t="str">
        <x:v>Prozorro winners — 24.08</x:v>
      </x:c>
      <x:c r="C322" s="14" t="str">
        <x:v>ПП Полтава Будкомплекс</x:v>
      </x:c>
      <x:c r="D322" s="14" t="str">
        <x:v>Теплові мережі</x:v>
      </x:c>
      <x:c r="E322" s="14" t="str">
        <x:v>Expansion discovery</x:v>
      </x:c>
      <x:c r="F322" s="17" t="str">
        <x:f>IF(E322="Pilot now",IF(P322&gt;=84,"P1",IF(P322&gt;=72,"P2","P3")),IF(E322="Expansion discovery",IF(Q322&gt;=88,"D1",IF(Q322&gt;=78,"D2","D3")),IF(E322="Later / requirements","L","Legacy")))</x:f>
        <x:v>D1</x:v>
      </x:c>
      <x:c r="G322" s="14" t="str"/>
      <x:c r="H322" s="14" t="str">
        <x:v>Discovery розширення — 2 тижні</x:v>
      </x:c>
      <x:c r="I322" s="16" t="n">
        <x:v>1</x:v>
      </x:c>
      <x:c r="J322" s="16" t="n">
        <x:v>5</x:v>
      </x:c>
      <x:c r="K322" s="16" t="n">
        <x:v>4</x:v>
      </x:c>
      <x:c r="L322" s="16" t="n">
        <x:v>5</x:v>
      </x:c>
      <x:c r="M322" s="16" t="n">
        <x:v>5</x:v>
      </x:c>
      <x:c r="N322" s="16" t="n">
        <x:v>5</x:v>
      </x:c>
      <x:c r="O322" s="16" t="n">
        <x:v>5</x:v>
      </x:c>
      <x:c r="P322" s="16" t="n">
        <x:f>IF(COUNT(I322:O322)&lt;7,"",I322*8+J322*3+K322*2+L322*2+M322*2+N322*2+O322)</x:f>
        <x:v>66</x:v>
      </x:c>
      <x:c r="Q322" s="16" t="n">
        <x:f>IF(COUNT(J322:O322)&lt;6,"",J322*5+K322*4+M322*4+L322*3+N322*2+O322*2)</x:f>
        <x:v>96</x:v>
      </x:c>
      <x:c r="R322" s="14" t="str">
        <x:v>high</x:v>
      </x:c>
      <x:c r="S322" s="14" t="str">
        <x:v>official_prozorro_award_2025_2026</x:v>
      </x:c>
      <x:c r="T322" s="14" t="str">
        <x:v>official_prozorro_api</x:v>
      </x:c>
      <x:c r="U322" s="14" t="str">
        <x:v>Не контактували</x:v>
      </x:c>
      <x:c r="V322" s="15" t="str">
        <x:v>Workflow-audit outreach по UA-2026-07-09-008782-a; попросити 1 пакет здачі та вимоги проєкту</x:v>
      </x:c>
      <x:c r="W322" s="15" t="str">
        <x:v>Власник / директор; керівник ПТО; відповідальний за договори</x:v>
      </x:c>
      <x:c r="X322" s="15" t="str">
        <x:v>1 підтверджених перемог/договорів у Prozorro на 10 943 185 грн; 1 проєктів зі строком виконання не раніше 24.08.2026.</x:v>
      </x:c>
      <x:c r="Y322" s="15" t="str">
        <x:v>Реконструкція з’єднувальної ділянки теплової мережі ТК4-ТК5-ТК6-ТК8-ТК13 між котельнями по  вул. Покровська, 2-А та вул. Покровська, 37 в м. Решетилівка Полтавської області.; строк до 2026-11-01. Попросити один знеособлений пакет здачі за цим workflow.</x:v>
      </x:c>
      <x:c r="Z322" s="15" t="str">
        <x:v>https://prozorro.gov.ua/tender/UA-2026-07-09-008782-a</x:v>
      </x:c>
      <x:c r="AA322" s="14" t="str">
        <x:v>40154823</x:v>
      </x:c>
      <x:c r="AB322" s="14" t="str">
        <x:v>2026-08-24</x:v>
      </x:c>
      <x:c r="AC322" s="14" t="str"/>
      <x:c r="AD322" s="20" t="str"/>
      <x:c r="AE322" s="14" t="str"/>
      <x:c r="AF322" s="14" t="n">
        <x:v>68</x:v>
      </x:c>
      <x:c r="AG322" s="14" t="str">
        <x:v>I2</x:v>
      </x:c>
      <x:c r="AH322" s="14" t="n">
        <x:v>1</x:v>
      </x:c>
      <x:c r="AI322" s="14" t="n">
        <x:v>1</x:v>
      </x:c>
      <x:c r="AJ322" s="18" t="n">
        <x:v>10943185</x:v>
      </x:c>
      <x:c r="AK322" s="14" t="str">
        <x:v>https://prozorro.gov.ua/tender/UA-2026-07-09-008782-a</x:v>
      </x:c>
      <x:c r="AL322" s="19" t="n">
        <x:v>46231.50997222222</x:v>
      </x:c>
      <x:c r="AM322" s="19" t="n">
        <x:v>46327.56765046297</x:v>
      </x:c>
      <x:c r="AN322" s="15" t="str">
        <x:v>Теплові мережі</x:v>
      </x:c>
      <x:c r="AO322" s="15" t="str">
        <x:v>not_found_in_top_search</x:v>
      </x:c>
    </x:row>
    <x:row r="323">
      <x:c r="A323" s="14" t="str">
        <x:v>W3-051</x:v>
      </x:c>
      <x:c r="B323" s="14" t="str">
        <x:v>Prozorro winners — 24.08</x:v>
      </x:c>
      <x:c r="C323" s="14" t="str">
        <x:v>КОМУНАЛЬНЕ ПІДПРИЄМСТВО "ІРПІНЬЖИТЛОІНВЕСТБУД"</x:v>
      </x:c>
      <x:c r="D323" s="14" t="str">
        <x:v>ГНБ / безтраншейні роботи</x:v>
      </x:c>
      <x:c r="E323" s="14" t="str">
        <x:v>Expansion discovery</x:v>
      </x:c>
      <x:c r="F323" s="17" t="str">
        <x:f>IF(E323="Pilot now",IF(P323&gt;=84,"P1",IF(P323&gt;=72,"P2","P3")),IF(E323="Expansion discovery",IF(Q323&gt;=88,"D1",IF(Q323&gt;=78,"D2","D3")),IF(E323="Later / requirements","L","Legacy")))</x:f>
        <x:v>D2</x:v>
      </x:c>
      <x:c r="G323" s="14" t="str"/>
      <x:c r="H323" s="14" t="str">
        <x:v>Discovery розширення — 2 тижні</x:v>
      </x:c>
      <x:c r="I323" s="16" t="n">
        <x:v>1</x:v>
      </x:c>
      <x:c r="J323" s="16" t="n">
        <x:v>5</x:v>
      </x:c>
      <x:c r="K323" s="16" t="n">
        <x:v>4</x:v>
      </x:c>
      <x:c r="L323" s="16" t="n">
        <x:v>2</x:v>
      </x:c>
      <x:c r="M323" s="16" t="n">
        <x:v>5</x:v>
      </x:c>
      <x:c r="N323" s="16" t="n">
        <x:v>5</x:v>
      </x:c>
      <x:c r="O323" s="16" t="n">
        <x:v>5</x:v>
      </x:c>
      <x:c r="P323" s="16" t="n">
        <x:f>IF(COUNT(I323:O323)&lt;7,"",I323*8+J323*3+K323*2+L323*2+M323*2+N323*2+O323)</x:f>
        <x:v>60</x:v>
      </x:c>
      <x:c r="Q323" s="16" t="n">
        <x:f>IF(COUNT(J323:O323)&lt;6,"",J323*5+K323*4+M323*4+L323*3+N323*2+O323*2)</x:f>
        <x:v>87</x:v>
      </x:c>
      <x:c r="R323" s="14" t="str">
        <x:v>high</x:v>
      </x:c>
      <x:c r="S323" s="14" t="str">
        <x:v>official_prozorro_award_2025_2026</x:v>
      </x:c>
      <x:c r="T323" s="14" t="str">
        <x:v>official_prozorro_api</x:v>
      </x:c>
      <x:c r="U323" s="14" t="str">
        <x:v>Не контактували</x:v>
      </x:c>
      <x:c r="V323" s="15" t="str">
        <x:v>Workflow-audit outreach по UA-2026-07-09-007496-a; попросити 1 пакет здачі та вимоги проєкту</x:v>
      </x:c>
      <x:c r="W323" s="15" t="str">
        <x:v>Власник / директор; керівник ПТО; відповідальний за договори</x:v>
      </x:c>
      <x:c r="X323" s="15" t="str">
        <x:v>3 підтверджених перемог/договорів у Prozorro на 296 466 грн; 2 проєктів зі строком виконання не раніше 24.08.2026.</x:v>
      </x:c>
      <x:c r="Y323" s="15" t="str">
        <x:v> Технічний нагляд  по об'єкту: "Реконструкція із заміною теплової мережі по вул.Привокзальна площа,5,м.Ірпінь" (частина робіт); строк до 2026-09-30. Попросити один знеособлений пакет здачі за цим workflow.</x:v>
      </x:c>
      <x:c r="Z323" s="15" t="str">
        <x:v>https://prozorro.gov.ua/tender/UA-2026-07-09-007496-a</x:v>
      </x:c>
      <x:c r="AA323" s="14" t="str">
        <x:v>35023634</x:v>
      </x:c>
      <x:c r="AB323" s="14" t="str">
        <x:v>2026-08-24</x:v>
      </x:c>
      <x:c r="AC323" s="14" t="str"/>
      <x:c r="AD323" s="20" t="str"/>
      <x:c r="AE323" s="14" t="str"/>
      <x:c r="AF323" s="14" t="n">
        <x:v>68</x:v>
      </x:c>
      <x:c r="AG323" s="14" t="str">
        <x:v>I2</x:v>
      </x:c>
      <x:c r="AH323" s="14" t="n">
        <x:v>3</x:v>
      </x:c>
      <x:c r="AI323" s="14" t="n">
        <x:v>2</x:v>
      </x:c>
      <x:c r="AJ323" s="18" t="n">
        <x:v>296465.88</x:v>
      </x:c>
      <x:c r="AK323" s="14" t="str">
        <x:v>https://prozorro.gov.ua/tender/UA-2026-07-09-007496-a</x:v>
      </x:c>
      <x:c r="AL323" s="19" t="n">
        <x:v>46212.49047722222</x:v>
      </x:c>
      <x:c r="AM323" s="19" t="n">
        <x:v>46295</x:v>
      </x:c>
      <x:c r="AN323" s="15" t="str">
        <x:v>ГНБ / безтраншейні роботи; Теплові мережі</x:v>
      </x:c>
      <x:c r="AO323" s="15" t="str">
        <x:v>not_found_in_top_search</x:v>
      </x:c>
    </x:row>
    <x:row r="324">
      <x:c r="A324" s="14" t="str">
        <x:v>W3-052</x:v>
      </x:c>
      <x:c r="B324" s="14" t="str">
        <x:v>Prozorro winners — 24.08</x:v>
      </x:c>
      <x:c r="C324" s="14" t="str">
        <x:v>ТОВ "Техенергохім"</x:v>
      </x:c>
      <x:c r="D324" s="14" t="str">
        <x:v>Водоочищення / очисні споруди</x:v>
      </x:c>
      <x:c r="E324" s="14" t="str">
        <x:v>Expansion discovery</x:v>
      </x:c>
      <x:c r="F324" s="17" t="str">
        <x:f>IF(E324="Pilot now",IF(P324&gt;=84,"P1",IF(P324&gt;=72,"P2","P3")),IF(E324="Expansion discovery",IF(Q324&gt;=88,"D1",IF(Q324&gt;=78,"D2","D3")),IF(E324="Later / requirements","L","Legacy")))</x:f>
        <x:v>D1</x:v>
      </x:c>
      <x:c r="G324" s="14" t="str">
        <x:v>techenergochim.com</x:v>
      </x:c>
      <x:c r="H324" s="14" t="str">
        <x:v>Discovery розширення — 2 тижні</x:v>
      </x:c>
      <x:c r="I324" s="16" t="n">
        <x:v>1</x:v>
      </x:c>
      <x:c r="J324" s="16" t="n">
        <x:v>5</x:v>
      </x:c>
      <x:c r="K324" s="16" t="n">
        <x:v>4</x:v>
      </x:c>
      <x:c r="L324" s="16" t="n">
        <x:v>3</x:v>
      </x:c>
      <x:c r="M324" s="16" t="n">
        <x:v>5</x:v>
      </x:c>
      <x:c r="N324" s="16" t="n">
        <x:v>5</x:v>
      </x:c>
      <x:c r="O324" s="16" t="n">
        <x:v>5</x:v>
      </x:c>
      <x:c r="P324" s="16" t="n">
        <x:f>IF(COUNT(I324:O324)&lt;7,"",I324*8+J324*3+K324*2+L324*2+M324*2+N324*2+O324)</x:f>
        <x:v>62</x:v>
      </x:c>
      <x:c r="Q324" s="16" t="n">
        <x:f>IF(COUNT(J324:O324)&lt;6,"",J324*5+K324*4+M324*4+L324*3+N324*2+O324*2)</x:f>
        <x:v>90</x:v>
      </x:c>
      <x:c r="R324" s="14" t="str">
        <x:v>high</x:v>
      </x:c>
      <x:c r="S324" s="14" t="str">
        <x:v>official_prozorro_award_2025_2026</x:v>
      </x:c>
      <x:c r="T324" s="14" t="str">
        <x:v>official_prozorro_api</x:v>
      </x:c>
      <x:c r="U324" s="14" t="str">
        <x:v>Не контактували</x:v>
      </x:c>
      <x:c r="V324" s="15" t="str">
        <x:v>Workflow-audit outreach по UA-2026-05-21-003112-a; попросити 1 пакет здачі та вимоги проєкту</x:v>
      </x:c>
      <x:c r="W324" s="15" t="str">
        <x:v>Власник / директор; керівник ПТО; відповідальний за договори</x:v>
      </x:c>
      <x:c r="X324" s="15" t="str">
        <x:v>2 підтверджених перемог/договорів у Prozorro на 1 865 665 грн; 2 проєктів зі строком виконання не раніше 24.08.2026.</x:v>
      </x:c>
      <x:c r="Y324" s="15" t="str">
        <x:v>ДК 021:2015- 71320000– 7  Послуги  з  розробки проєктно — кошторисної документації  а  саме :   «Реконструкція насосної станції водопостачання мкрн. «Північний» за адресою: м. Миколаїв, вул. Архітектора Старова, 3/1»; строк до 2027-02-01. Попросити один знеособлений пакет здачі за цим workflow.</x:v>
      </x:c>
      <x:c r="Z324" s="15" t="str">
        <x:v>https://prozorro.gov.ua/tender/UA-2026-05-21-003112-a</x:v>
      </x:c>
      <x:c r="AA324" s="14" t="str">
        <x:v>22161169</x:v>
      </x:c>
      <x:c r="AB324" s="14" t="str">
        <x:v>2026-08-24</x:v>
      </x:c>
      <x:c r="AC324" s="14" t="str"/>
      <x:c r="AD324" s="20" t="str"/>
      <x:c r="AE324" s="14" t="str"/>
      <x:c r="AF324" s="14" t="n">
        <x:v>67</x:v>
      </x:c>
      <x:c r="AG324" s="14" t="str">
        <x:v>I2</x:v>
      </x:c>
      <x:c r="AH324" s="14" t="n">
        <x:v>2</x:v>
      </x:c>
      <x:c r="AI324" s="14" t="n">
        <x:v>2</x:v>
      </x:c>
      <x:c r="AJ324" s="18" t="n">
        <x:v>1865665</x:v>
      </x:c>
      <x:c r="AK324" s="14" t="str">
        <x:v>https://prozorro.gov.ua/tender/UA-2026-05-21-003112-a</x:v>
      </x:c>
      <x:c r="AL324" s="19" t="n">
        <x:v>46182.49519430556</x:v>
      </x:c>
      <x:c r="AM324" s="19" t="n">
        <x:v>46419</x:v>
      </x:c>
      <x:c r="AN324" s="15" t="str">
        <x:v>Водоочищення / очисні споруди; Насосні станції</x:v>
      </x:c>
      <x:c r="AO324" s="15" t="str">
        <x:v>supplier_provided_url</x:v>
      </x:c>
    </x:row>
    <x:row r="325">
      <x:c r="A325" s="14" t="str">
        <x:v>W3-053</x:v>
      </x:c>
      <x:c r="B325" s="14" t="str">
        <x:v>Prozorro winners — 24.08</x:v>
      </x:c>
      <x:c r="C325" s="14" t="str">
        <x:v>КАПАРНИК АНДРІЙ ІГОРОВИЧ</x:v>
      </x:c>
      <x:c r="D325" s="14" t="str">
        <x:v>Водоочищення / очисні споруди</x:v>
      </x:c>
      <x:c r="E325" s="14" t="str">
        <x:v>Expansion discovery</x:v>
      </x:c>
      <x:c r="F325" s="17" t="str">
        <x:f>IF(E325="Pilot now",IF(P325&gt;=84,"P1",IF(P325&gt;=72,"P2","P3")),IF(E325="Expansion discovery",IF(Q325&gt;=88,"D1",IF(Q325&gt;=78,"D2","D3")),IF(E325="Later / requirements","L","Legacy")))</x:f>
        <x:v>D2</x:v>
      </x:c>
      <x:c r="G325" s="14" t="str"/>
      <x:c r="H325" s="14" t="str">
        <x:v>Discovery розширення — 2 тижні</x:v>
      </x:c>
      <x:c r="I325" s="16" t="n">
        <x:v>1</x:v>
      </x:c>
      <x:c r="J325" s="16" t="n">
        <x:v>5</x:v>
      </x:c>
      <x:c r="K325" s="16" t="n">
        <x:v>4</x:v>
      </x:c>
      <x:c r="L325" s="16" t="n">
        <x:v>3</x:v>
      </x:c>
      <x:c r="M325" s="16" t="n">
        <x:v>5</x:v>
      </x:c>
      <x:c r="N325" s="16" t="n">
        <x:v>3</x:v>
      </x:c>
      <x:c r="O325" s="16" t="n">
        <x:v>5</x:v>
      </x:c>
      <x:c r="P325" s="16" t="n">
        <x:f>IF(COUNT(I325:O325)&lt;7,"",I325*8+J325*3+K325*2+L325*2+M325*2+N325*2+O325)</x:f>
        <x:v>58</x:v>
      </x:c>
      <x:c r="Q325" s="16" t="n">
        <x:f>IF(COUNT(J325:O325)&lt;6,"",J325*5+K325*4+M325*4+L325*3+N325*2+O325*2)</x:f>
        <x:v>86</x:v>
      </x:c>
      <x:c r="R325" s="14" t="str">
        <x:v>high</x:v>
      </x:c>
      <x:c r="S325" s="14" t="str">
        <x:v>official_prozorro_award_2025_2026</x:v>
      </x:c>
      <x:c r="T325" s="14" t="str">
        <x:v>official_prozorro_api</x:v>
      </x:c>
      <x:c r="U325" s="14" t="str">
        <x:v>Не контактували</x:v>
      </x:c>
      <x:c r="V325" s="15" t="str">
        <x:v>Workflow-audit outreach по UA-2026-07-14-009316-a; попросити 1 пакет здачі та вимоги проєкту</x:v>
      </x:c>
      <x:c r="W325" s="15" t="str">
        <x:v>Власник / виконавець; відповідальний за договір</x:v>
      </x:c>
      <x:c r="X325" s="15" t="str">
        <x:v>2 підтверджених перемог/договорів у Prozorro на 1 480 097 грн; 2 проєктів зі строком виконання не раніше 24.08.2026.</x:v>
      </x:c>
      <x:c r="Y325" s="15" t="str">
        <x:v>Послуги з інженерного проектування, роботи по виготовленню проектно-кошторисної документації по об’єкту «Реконструкція очисних споруд продуктивність 300 м3/добу в м. Монастириська, вул. Грушевського, 8-Д, Чортківського району Тернопільської області»; строк до 2026-12-31. Попросити один знеособлений пакет здачі за цим workflow.</x:v>
      </x:c>
      <x:c r="Z325" s="15" t="str">
        <x:v>https://prozorro.gov.ua/tender/UA-2026-07-14-009316-a</x:v>
      </x:c>
      <x:c r="AA325" s="14" t="str">
        <x:v>2257106876</x:v>
      </x:c>
      <x:c r="AB325" s="14" t="str">
        <x:v>2026-08-24</x:v>
      </x:c>
      <x:c r="AC325" s="14" t="str"/>
      <x:c r="AD325" s="20" t="str"/>
      <x:c r="AE325" s="14" t="str"/>
      <x:c r="AF325" s="14" t="n">
        <x:v>67</x:v>
      </x:c>
      <x:c r="AG325" s="14" t="str">
        <x:v>I2</x:v>
      </x:c>
      <x:c r="AH325" s="14" t="n">
        <x:v>2</x:v>
      </x:c>
      <x:c r="AI325" s="14" t="n">
        <x:v>2</x:v>
      </x:c>
      <x:c r="AJ325" s="18" t="n">
        <x:v>1480096.54</x:v>
      </x:c>
      <x:c r="AK325" s="14" t="str">
        <x:v>https://prozorro.gov.ua/tender/UA-2026-07-14-009316-a</x:v>
      </x:c>
      <x:c r="AL325" s="19" t="n">
        <x:v>46217.52279150463</x:v>
      </x:c>
      <x:c r="AM325" s="19" t="n">
        <x:v>46387</x:v>
      </x:c>
      <x:c r="AN325" s="15" t="str">
        <x:v>Водоочищення / очисні споруди</x:v>
      </x:c>
      <x:c r="AO325" s="15" t="str">
        <x:v>not_found_in_top_search</x:v>
      </x:c>
    </x:row>
    <x:row r="326">
      <x:c r="A326" s="14" t="str">
        <x:v>W3-054</x:v>
      </x:c>
      <x:c r="B326" s="14" t="str">
        <x:v>Prozorro winners — 24.08</x:v>
      </x:c>
      <x:c r="C326" s="14" t="str">
        <x:v>Фізична особа- підприємець Лукащук Роман Віталійович</x:v>
      </x:c>
      <x:c r="D326" s="14" t="str">
        <x:v>Сонячна енергетика</x:v>
      </x:c>
      <x:c r="E326" s="14" t="str">
        <x:v>Expansion discovery</x:v>
      </x:c>
      <x:c r="F326" s="17" t="str">
        <x:f>IF(E326="Pilot now",IF(P326&gt;=84,"P1",IF(P326&gt;=72,"P2","P3")),IF(E326="Expansion discovery",IF(Q326&gt;=88,"D1",IF(Q326&gt;=78,"D2","D3")),IF(E326="Later / requirements","L","Legacy")))</x:f>
        <x:v>D2</x:v>
      </x:c>
      <x:c r="G326" s="14" t="str"/>
      <x:c r="H326" s="14" t="str">
        <x:v>Discovery розширення — 2 тижні</x:v>
      </x:c>
      <x:c r="I326" s="16" t="n">
        <x:v>1</x:v>
      </x:c>
      <x:c r="J326" s="16" t="n">
        <x:v>5</x:v>
      </x:c>
      <x:c r="K326" s="16" t="n">
        <x:v>4</x:v>
      </x:c>
      <x:c r="L326" s="16" t="n">
        <x:v>3</x:v>
      </x:c>
      <x:c r="M326" s="16" t="n">
        <x:v>5</x:v>
      </x:c>
      <x:c r="N326" s="16" t="n">
        <x:v>3</x:v>
      </x:c>
      <x:c r="O326" s="16" t="n">
        <x:v>5</x:v>
      </x:c>
      <x:c r="P326" s="16" t="n">
        <x:f>IF(COUNT(I326:O326)&lt;7,"",I326*8+J326*3+K326*2+L326*2+M326*2+N326*2+O326)</x:f>
        <x:v>58</x:v>
      </x:c>
      <x:c r="Q326" s="16" t="n">
        <x:f>IF(COUNT(J326:O326)&lt;6,"",J326*5+K326*4+M326*4+L326*3+N326*2+O326*2)</x:f>
        <x:v>86</x:v>
      </x:c>
      <x:c r="R326" s="14" t="str">
        <x:v>high</x:v>
      </x:c>
      <x:c r="S326" s="14" t="str">
        <x:v>official_prozorro_award_2025_2026</x:v>
      </x:c>
      <x:c r="T326" s="14" t="str">
        <x:v>official_prozorro_api</x:v>
      </x:c>
      <x:c r="U326" s="14" t="str">
        <x:v>Не контактували</x:v>
      </x:c>
      <x:c r="V326" s="15" t="str">
        <x:v>Workflow-audit outreach по UA-2026-07-27-004982-a; попросити 1 пакет здачі та вимоги проєкту</x:v>
      </x:c>
      <x:c r="W326" s="15" t="str">
        <x:v>Власник / виконавець; відповідальний за договір</x:v>
      </x:c>
      <x:c r="X326" s="15" t="str">
        <x:v>2 підтверджених перемог/договорів у Prozorro на 680 000 грн; 2 проєктів зі строком виконання не раніше 24.08.2026.</x:v>
      </x:c>
      <x:c r="Y326" s="15" t="str">
        <x:v>Роботи з виготовлення проектно-кошторисної документації на: Капітальний ремонт будівлі навчального корпусу № 1, на вул. Соборна, 11 у м. Рівне (Монтаж сонячної електростанції); строк до 2026-09-15. Попросити один знеособлений пакет здачі за цим workflow.</x:v>
      </x:c>
      <x:c r="Z326" s="15" t="str">
        <x:v>https://prozorro.gov.ua/tender/UA-2026-07-27-004982-a</x:v>
      </x:c>
      <x:c r="AA326" s="14" t="str">
        <x:v>3003213534</x:v>
      </x:c>
      <x:c r="AB326" s="14" t="str">
        <x:v>2026-08-24</x:v>
      </x:c>
      <x:c r="AC326" s="14" t="str"/>
      <x:c r="AD326" s="20" t="str"/>
      <x:c r="AE326" s="14" t="str"/>
      <x:c r="AF326" s="14" t="n">
        <x:v>67</x:v>
      </x:c>
      <x:c r="AG326" s="14" t="str">
        <x:v>I2</x:v>
      </x:c>
      <x:c r="AH326" s="14" t="n">
        <x:v>2</x:v>
      </x:c>
      <x:c r="AI326" s="14" t="n">
        <x:v>2</x:v>
      </x:c>
      <x:c r="AJ326" s="18" t="n">
        <x:v>680000</x:v>
      </x:c>
      <x:c r="AK326" s="14" t="str">
        <x:v>https://prozorro.gov.ua/tender/UA-2026-07-27-004982-a</x:v>
      </x:c>
      <x:c r="AL326" s="19" t="n">
        <x:v>46230.407862685184</x:v>
      </x:c>
      <x:c r="AM326" s="19" t="n">
        <x:v>46280</x:v>
      </x:c>
      <x:c r="AN326" s="15" t="str">
        <x:v>Сонячна енергетика</x:v>
      </x:c>
      <x:c r="AO326" s="15" t="str">
        <x:v>not_found_in_top_search</x:v>
      </x:c>
    </x:row>
    <x:row r="327">
      <x:c r="A327" s="14" t="str">
        <x:v>W3-055</x:v>
      </x:c>
      <x:c r="B327" s="14" t="str">
        <x:v>Prozorro winners — 24.08</x:v>
      </x:c>
      <x:c r="C327" s="14" t="str">
        <x:v>ТОМАКОВА НАТАЛІЯ ОЛЕКСАНДРІВНА</x:v>
      </x:c>
      <x:c r="D327" s="14" t="str">
        <x:v>Теплові мережі</x:v>
      </x:c>
      <x:c r="E327" s="14" t="str">
        <x:v>Expansion discovery</x:v>
      </x:c>
      <x:c r="F327" s="17" t="str">
        <x:f>IF(E327="Pilot now",IF(P327&gt;=84,"P1",IF(P327&gt;=72,"P2","P3")),IF(E327="Expansion discovery",IF(Q327&gt;=88,"D1",IF(Q327&gt;=78,"D2","D3")),IF(E327="Later / requirements","L","Legacy")))</x:f>
        <x:v>D2</x:v>
      </x:c>
      <x:c r="G327" s="14" t="str"/>
      <x:c r="H327" s="14" t="str">
        <x:v>Discovery розширення — 2 тижні</x:v>
      </x:c>
      <x:c r="I327" s="16" t="n">
        <x:v>1</x:v>
      </x:c>
      <x:c r="J327" s="16" t="n">
        <x:v>5</x:v>
      </x:c>
      <x:c r="K327" s="16" t="n">
        <x:v>4</x:v>
      </x:c>
      <x:c r="L327" s="16" t="n">
        <x:v>2</x:v>
      </x:c>
      <x:c r="M327" s="16" t="n">
        <x:v>5</x:v>
      </x:c>
      <x:c r="N327" s="16" t="n">
        <x:v>3</x:v>
      </x:c>
      <x:c r="O327" s="16" t="n">
        <x:v>5</x:v>
      </x:c>
      <x:c r="P327" s="16" t="n">
        <x:f>IF(COUNT(I327:O327)&lt;7,"",I327*8+J327*3+K327*2+L327*2+M327*2+N327*2+O327)</x:f>
        <x:v>56</x:v>
      </x:c>
      <x:c r="Q327" s="16" t="n">
        <x:f>IF(COUNT(J327:O327)&lt;6,"",J327*5+K327*4+M327*4+L327*3+N327*2+O327*2)</x:f>
        <x:v>83</x:v>
      </x:c>
      <x:c r="R327" s="14" t="str">
        <x:v>high</x:v>
      </x:c>
      <x:c r="S327" s="14" t="str">
        <x:v>official_prozorro_award_2025_2026</x:v>
      </x:c>
      <x:c r="T327" s="14" t="str">
        <x:v>official_prozorro_api</x:v>
      </x:c>
      <x:c r="U327" s="14" t="str">
        <x:v>Не контактували</x:v>
      </x:c>
      <x:c r="V327" s="15" t="str">
        <x:v>Workflow-audit outreach по UA-2026-06-30-003014-a; попросити 1 пакет здачі та вимоги проєкту</x:v>
      </x:c>
      <x:c r="W327" s="15" t="str">
        <x:v>Власник / виконавець; відповідальний за договір</x:v>
      </x:c>
      <x:c r="X327" s="15" t="str">
        <x:v>3 підтверджених перемог/договорів у Prozorro на 165 540 грн; 3 проєктів зі строком виконання не раніше 24.08.2026.</x:v>
      </x:c>
      <x:c r="Y327" s="15" t="str">
        <x:v>Роботи по розробці проектно-коштторисної документації  по обєкту "Реконструкція ділянки теплової мережі аварійного теплопостачання  споживачів шляхом кільцевого зєднання  між тепловими мережами котельні інв. № 26 та котельні інв № 19м.Біла Церква Київської області ; строк до 2026-12-31. Попросити один знеособлений пакет здачі за цим workflow.</x:v>
      </x:c>
      <x:c r="Z327" s="15" t="str">
        <x:v>https://prozorro.gov.ua/tender/UA-2026-06-30-003014-a</x:v>
      </x:c>
      <x:c r="AA327" s="14" t="str">
        <x:v>2702929704</x:v>
      </x:c>
      <x:c r="AB327" s="14" t="str">
        <x:v>2026-08-24</x:v>
      </x:c>
      <x:c r="AC327" s="14" t="str"/>
      <x:c r="AD327" s="20" t="str"/>
      <x:c r="AE327" s="14" t="str"/>
      <x:c r="AF327" s="14" t="n">
        <x:v>67</x:v>
      </x:c>
      <x:c r="AG327" s="14" t="str">
        <x:v>I2</x:v>
      </x:c>
      <x:c r="AH327" s="14" t="n">
        <x:v>3</x:v>
      </x:c>
      <x:c r="AI327" s="14" t="n">
        <x:v>3</x:v>
      </x:c>
      <x:c r="AJ327" s="18" t="n">
        <x:v>165540</x:v>
      </x:c>
      <x:c r="AK327" s="14" t="str">
        <x:v>https://prozorro.gov.ua/tender/UA-2026-06-30-003014-a</x:v>
      </x:c>
      <x:c r="AL327" s="19" t="n">
        <x:v>46203.33054814815</x:v>
      </x:c>
      <x:c r="AM327" s="19" t="n">
        <x:v>46387</x:v>
      </x:c>
      <x:c r="AN327" s="15" t="str">
        <x:v>Теплові мережі</x:v>
      </x:c>
      <x:c r="AO327" s="15" t="str">
        <x:v>not_found_in_top_search</x:v>
      </x:c>
    </x:row>
    <x:row r="328">
      <x:c r="A328" s="14" t="str">
        <x:v>W3-056</x:v>
      </x:c>
      <x:c r="B328" s="14" t="str">
        <x:v>Prozorro winners — 24.08</x:v>
      </x:c>
      <x:c r="C328" s="14" t="str">
        <x:v>ТОВАРИСТВО З ОБМЕЖЕНОЮ ВІДПОВІДАЛЬНІСТЮ "ЕНЕРГОЕКСПЛУАТАЦІЯ"</x:v>
      </x:c>
      <x:c r="D328" s="14" t="str">
        <x:v>Електромонтаж</x:v>
      </x:c>
      <x:c r="E328" s="14" t="str">
        <x:v>Pilot now</x:v>
      </x:c>
      <x:c r="F328" s="17" t="str">
        <x:f>IF(E328="Pilot now",IF(P328&gt;=84,"P1",IF(P328&gt;=72,"P2","P3")),IF(E328="Expansion discovery",IF(Q328&gt;=88,"D1",IF(Q328&gt;=78,"D2","D3")),IF(E328="Later / requirements","L","Legacy")))</x:f>
        <x:v>P1</x:v>
      </x:c>
      <x:c r="G328" s="14" t="str"/>
      <x:c r="H328" s="14" t="str">
        <x:v>Пілот зараз — Н.15</x:v>
      </x:c>
      <x:c r="I328" s="16" t="n">
        <x:v>5</x:v>
      </x:c>
      <x:c r="J328" s="16" t="n">
        <x:v>5</x:v>
      </x:c>
      <x:c r="K328" s="16" t="n">
        <x:v>5</x:v>
      </x:c>
      <x:c r="L328" s="16" t="n">
        <x:v>1</x:v>
      </x:c>
      <x:c r="M328" s="16" t="n">
        <x:v>5</x:v>
      </x:c>
      <x:c r="N328" s="16" t="n">
        <x:v>5</x:v>
      </x:c>
      <x:c r="O328" s="16" t="n">
        <x:v>5</x:v>
      </x:c>
      <x:c r="P328" s="16" t="n">
        <x:f>IF(COUNT(I328:O328)&lt;7,"",I328*8+J328*3+K328*2+L328*2+M328*2+N328*2+O328)</x:f>
        <x:v>92</x:v>
      </x:c>
      <x:c r="Q328" s="16" t="n">
        <x:f>IF(COUNT(J328:O328)&lt;6,"",J328*5+K328*4+M328*4+L328*3+N328*2+O328*2)</x:f>
        <x:v>88</x:v>
      </x:c>
      <x:c r="R328" s="14" t="str">
        <x:v>high</x:v>
      </x:c>
      <x:c r="S328" s="14" t="str">
        <x:v>official_prozorro_award_2025_2026</x:v>
      </x:c>
      <x:c r="T328" s="14" t="str">
        <x:v>official_prozorro_api</x:v>
      </x:c>
      <x:c r="U328" s="14" t="str">
        <x:v>Не контактували</x:v>
      </x:c>
      <x:c r="V328" s="15" t="str">
        <x:v>Персоналізований free-pilot outreach по UA-2026-07-30-009341-a; попросити 1 пакет Н.14/Н.15</x:v>
      </x:c>
      <x:c r="W328" s="15" t="str">
        <x:v>Власник / директор; керівник ПТО; відповідальний за договори</x:v>
      </x:c>
      <x:c r="X328" s="15" t="str">
        <x:v>3 підтверджених перемог/договорів у Prozorro на 74 550 грн; 2 проєктів зі строком виконання не раніше 24.08.2026.</x:v>
      </x:c>
      <x:c r="Y328" s="15" t="str">
        <x:v>ДК 021:2015: 653200002 - Експлуатація електричних установок
(Електровимірювальні роботи 0,4 кВ: замір опору контуру заземлення, заміри перехідного опору заземлення обладнання, заміри опору ізоляції електропроводки, заміри петлі фаза-нуль електрообладнання Замовника)
; строк до 2026-09-30. Попросити один знеособлений пакет здачі за цим workflow.</x:v>
      </x:c>
      <x:c r="Z328" s="15" t="str">
        <x:v>https://prozorro.gov.ua/tender/UA-2026-07-30-009341-a</x:v>
      </x:c>
      <x:c r="AA328" s="14" t="str">
        <x:v>39090788</x:v>
      </x:c>
      <x:c r="AB328" s="14" t="str">
        <x:v>2026-08-24</x:v>
      </x:c>
      <x:c r="AC328" s="14" t="str"/>
      <x:c r="AD328" s="20" t="str"/>
      <x:c r="AE328" s="14" t="str"/>
      <x:c r="AF328" s="14" t="n">
        <x:v>67</x:v>
      </x:c>
      <x:c r="AG328" s="14" t="str">
        <x:v>I2</x:v>
      </x:c>
      <x:c r="AH328" s="14" t="n">
        <x:v>3</x:v>
      </x:c>
      <x:c r="AI328" s="14" t="n">
        <x:v>2</x:v>
      </x:c>
      <x:c r="AJ328" s="18" t="n">
        <x:v>74550</x:v>
      </x:c>
      <x:c r="AK328" s="14" t="str">
        <x:v>https://prozorro.gov.ua/tender/UA-2026-07-30-009341-a</x:v>
      </x:c>
      <x:c r="AL328" s="19" t="n">
        <x:v>46244.53717113426</x:v>
      </x:c>
      <x:c r="AM328" s="19" t="n">
        <x:v>46295</x:v>
      </x:c>
      <x:c r="AN328" s="15" t="str">
        <x:v>Електромонтаж</x:v>
      </x:c>
      <x:c r="AO328" s="15" t="str">
        <x:v>not_found_in_top_search</x:v>
      </x:c>
    </x:row>
    <x:row r="329">
      <x:c r="A329" s="14" t="str">
        <x:v>W3-057</x:v>
      </x:c>
      <x:c r="B329" s="14" t="str">
        <x:v>Prozorro winners — 24.08</x:v>
      </x:c>
      <x:c r="C329" s="14" t="str">
        <x:v>МАЛЕ ПРИВАТНЕ ПІДПРИЄМСТВО "ЕЛЕКТРОСЕРВІС"</x:v>
      </x:c>
      <x:c r="D329" s="14" t="str">
        <x:v>Електромонтаж</x:v>
      </x:c>
      <x:c r="E329" s="14" t="str">
        <x:v>Pilot now</x:v>
      </x:c>
      <x:c r="F329" s="17" t="str">
        <x:f>IF(E329="Pilot now",IF(P329&gt;=84,"P1",IF(P329&gt;=72,"P2","P3")),IF(E329="Expansion discovery",IF(Q329&gt;=88,"D1",IF(Q329&gt;=78,"D2","D3")),IF(E329="Later / requirements","L","Legacy")))</x:f>
        <x:v>P1</x:v>
      </x:c>
      <x:c r="G329" s="14" t="str"/>
      <x:c r="H329" s="14" t="str">
        <x:v>Пілот зараз — Н.15</x:v>
      </x:c>
      <x:c r="I329" s="16" t="n">
        <x:v>5</x:v>
      </x:c>
      <x:c r="J329" s="16" t="n">
        <x:v>5</x:v>
      </x:c>
      <x:c r="K329" s="16" t="n">
        <x:v>5</x:v>
      </x:c>
      <x:c r="L329" s="16" t="n">
        <x:v>1</x:v>
      </x:c>
      <x:c r="M329" s="16" t="n">
        <x:v>5</x:v>
      </x:c>
      <x:c r="N329" s="16" t="n">
        <x:v>5</x:v>
      </x:c>
      <x:c r="O329" s="16" t="n">
        <x:v>5</x:v>
      </x:c>
      <x:c r="P329" s="16" t="n">
        <x:f>IF(COUNT(I329:O329)&lt;7,"",I329*8+J329*3+K329*2+L329*2+M329*2+N329*2+O329)</x:f>
        <x:v>92</x:v>
      </x:c>
      <x:c r="Q329" s="16" t="n">
        <x:f>IF(COUNT(J329:O329)&lt;6,"",J329*5+K329*4+M329*4+L329*3+N329*2+O329*2)</x:f>
        <x:v>88</x:v>
      </x:c>
      <x:c r="R329" s="14" t="str">
        <x:v>high</x:v>
      </x:c>
      <x:c r="S329" s="14" t="str">
        <x:v>official_prozorro_award_2025_2026</x:v>
      </x:c>
      <x:c r="T329" s="14" t="str">
        <x:v>official_prozorro_api</x:v>
      </x:c>
      <x:c r="U329" s="14" t="str">
        <x:v>Не контактували</x:v>
      </x:c>
      <x:c r="V329" s="15" t="str">
        <x:v>Персоналізований free-pilot outreach по UA-2026-07-28-010186-a; попросити 1 пакет Н.14/Н.15</x:v>
      </x:c>
      <x:c r="W329" s="15" t="str">
        <x:v>Власник / директор; керівник ПТО; відповідальний за договори</x:v>
      </x:c>
      <x:c r="X329" s="15" t="str">
        <x:v>5 підтверджених перемог/договорів у Prozorro на 69 846 грн; 1 проєктів зі строком виконання не раніше 24.08.2026.</x:v>
      </x:c>
      <x:c r="Y329" s="15" t="str">
        <x:v>Послуги з технічного огляду та випробувань - електровимірювальних робіт - вимірювання опору заземлюючих пристроїв, вимірювання перехідного опору між заземлюючим пристроєм та заземленими елементами, вимірювання повного опору ланцюга петлі "фаза-нуль", вимірювання опору ізоляції кабелів, проводів, силової та освітлювальної електропроводки, ізоляції електрообладнання до 1 кВ приміщень: Ліцею №1 імені Лесі Українки Звягельської міської ради; строк до 2026-08-31. Попросити один знеособлений пакет здачі за цим workflow.</x:v>
      </x:c>
      <x:c r="Z329" s="15" t="str">
        <x:v>https://prozorro.gov.ua/tender/UA-2026-07-28-010186-a</x:v>
      </x:c>
      <x:c r="AA329" s="14" t="str">
        <x:v>22051653</x:v>
      </x:c>
      <x:c r="AB329" s="14" t="str">
        <x:v>2026-08-24</x:v>
      </x:c>
      <x:c r="AC329" s="14" t="str"/>
      <x:c r="AD329" s="20" t="str"/>
      <x:c r="AE329" s="14" t="str"/>
      <x:c r="AF329" s="14" t="n">
        <x:v>67</x:v>
      </x:c>
      <x:c r="AG329" s="14" t="str">
        <x:v>I2</x:v>
      </x:c>
      <x:c r="AH329" s="14" t="n">
        <x:v>5</x:v>
      </x:c>
      <x:c r="AI329" s="14" t="n">
        <x:v>1</x:v>
      </x:c>
      <x:c r="AJ329" s="18" t="n">
        <x:v>69846</x:v>
      </x:c>
      <x:c r="AK329" s="14" t="str">
        <x:v>https://prozorro.gov.ua/tender/UA-2026-07-28-010186-a</x:v>
      </x:c>
      <x:c r="AL329" s="19" t="n">
        <x:v>46231.54679755787</x:v>
      </x:c>
      <x:c r="AM329" s="19" t="n">
        <x:v>46265</x:v>
      </x:c>
      <x:c r="AN329" s="15" t="str">
        <x:v>Електромонтаж</x:v>
      </x:c>
      <x:c r="AO329" s="15" t="str">
        <x:v>not_found_in_top_search</x:v>
      </x:c>
    </x:row>
    <x:row r="330">
      <x:c r="A330" s="14" t="str">
        <x:v>W3-058</x:v>
      </x:c>
      <x:c r="B330" s="14" t="str">
        <x:v>Prozorro winners — 24.08</x:v>
      </x:c>
      <x:c r="C330" s="14" t="str">
        <x:v>ПРИВАТНЕ ПІДПРИЄМСТВО "ЕНЕРГО-СЕРВІС ПРОЕКТ"</x:v>
      </x:c>
      <x:c r="D330" s="14" t="str">
        <x:v>Електромонтаж</x:v>
      </x:c>
      <x:c r="E330" s="14" t="str">
        <x:v>Pilot now</x:v>
      </x:c>
      <x:c r="F330" s="17" t="str">
        <x:f>IF(E330="Pilot now",IF(P330&gt;=84,"P1",IF(P330&gt;=72,"P2","P3")),IF(E330="Expansion discovery",IF(Q330&gt;=88,"D1",IF(Q330&gt;=78,"D2","D3")),IF(E330="Later / requirements","L","Legacy")))</x:f>
        <x:v>P1</x:v>
      </x:c>
      <x:c r="G330" s="14" t="str"/>
      <x:c r="H330" s="14" t="str">
        <x:v>Пілот зараз — Н.15</x:v>
      </x:c>
      <x:c r="I330" s="16" t="n">
        <x:v>5</x:v>
      </x:c>
      <x:c r="J330" s="16" t="n">
        <x:v>5</x:v>
      </x:c>
      <x:c r="K330" s="16" t="n">
        <x:v>5</x:v>
      </x:c>
      <x:c r="L330" s="16" t="n">
        <x:v>1</x:v>
      </x:c>
      <x:c r="M330" s="16" t="n">
        <x:v>5</x:v>
      </x:c>
      <x:c r="N330" s="16" t="n">
        <x:v>5</x:v>
      </x:c>
      <x:c r="O330" s="16" t="n">
        <x:v>5</x:v>
      </x:c>
      <x:c r="P330" s="16" t="n">
        <x:f>IF(COUNT(I330:O330)&lt;7,"",I330*8+J330*3+K330*2+L330*2+M330*2+N330*2+O330)</x:f>
        <x:v>92</x:v>
      </x:c>
      <x:c r="Q330" s="16" t="n">
        <x:f>IF(COUNT(J330:O330)&lt;6,"",J330*5+K330*4+M330*4+L330*3+N330*2+O330*2)</x:f>
        <x:v>88</x:v>
      </x:c>
      <x:c r="R330" s="14" t="str">
        <x:v>high</x:v>
      </x:c>
      <x:c r="S330" s="14" t="str">
        <x:v>official_prozorro_award_2025_2026</x:v>
      </x:c>
      <x:c r="T330" s="14" t="str">
        <x:v>official_prozorro_api</x:v>
      </x:c>
      <x:c r="U330" s="14" t="str">
        <x:v>Не контактували</x:v>
      </x:c>
      <x:c r="V330" s="15" t="str">
        <x:v>Персоналізований free-pilot outreach по UA-2026-08-24-000441-a; попросити 1 пакет Н.14/Н.15</x:v>
      </x:c>
      <x:c r="W330" s="15" t="str">
        <x:v>Власник / директор; керівник ПТО; відповідальний за договори</x:v>
      </x:c>
      <x:c r="X330" s="15" t="str">
        <x:v>4 підтверджених перемог/договорів у Prozorro на 32 466 грн; 1 проєктів зі строком виконання не раніше 24.08.2026.</x:v>
      </x:c>
      <x:c r="Y330" s="15" t="str">
        <x:v>Вимірювання опору розтікання струму заземлюючих пристроїв (блискавкозахистів), вимір опору розтікання струму основних заземлювачів (контур заземлення), перевірка наявності металічного зв'язку між заземлювачами та заземлюючими елементами (опір перехідних контактів, мережі, захисних пристроїв), вимір опору ізоляції кабелів, електричних проводок і ізоляції апаратів, занесення даних по результатам проведення електровимірювальних та випробувальних робіт на об’єкти до “Технічного звіту» з відповідними висновками в протоколах, передбачених правилами «ПБЕЕС»; строк до 2026-09-30. Попросити один знеособлений пакет здачі за цим workflow.</x:v>
      </x:c>
      <x:c r="Z330" s="15" t="str">
        <x:v>https://prozorro.gov.ua/tender/UA-2026-08-24-000441-a</x:v>
      </x:c>
      <x:c r="AA330" s="14" t="str">
        <x:v>34417433</x:v>
      </x:c>
      <x:c r="AB330" s="14" t="str">
        <x:v>2026-08-24</x:v>
      </x:c>
      <x:c r="AC330" s="14" t="str"/>
      <x:c r="AD330" s="20" t="str"/>
      <x:c r="AE330" s="14" t="str"/>
      <x:c r="AF330" s="14" t="n">
        <x:v>67</x:v>
      </x:c>
      <x:c r="AG330" s="14" t="str">
        <x:v>I2</x:v>
      </x:c>
      <x:c r="AH330" s="14" t="n">
        <x:v>4</x:v>
      </x:c>
      <x:c r="AI330" s="14" t="n">
        <x:v>1</x:v>
      </x:c>
      <x:c r="AJ330" s="18" t="n">
        <x:v>32465.5</x:v>
      </x:c>
      <x:c r="AK330" s="14" t="str">
        <x:v>https://prozorro.gov.ua/tender/UA-2026-08-24-000441-a</x:v>
      </x:c>
      <x:c r="AL330" s="19" t="n">
        <x:v>46258.25709982639</x:v>
      </x:c>
      <x:c r="AM330" s="19" t="n">
        <x:v>46295</x:v>
      </x:c>
      <x:c r="AN330" s="15" t="str">
        <x:v>Електромонтаж</x:v>
      </x:c>
      <x:c r="AO330" s="15" t="str">
        <x:v>not_found_in_top_search</x:v>
      </x:c>
    </x:row>
    <x:row r="331">
      <x:c r="A331" s="14" t="str">
        <x:v>W3-059</x:v>
      </x:c>
      <x:c r="B331" s="14" t="str">
        <x:v>Prozorro winners — 24.08</x:v>
      </x:c>
      <x:c r="C331" s="14" t="str">
        <x:v>ПРИВАТНЕ ПІДПРИЄМСТВО "СПЕЦСЕРВІС"</x:v>
      </x:c>
      <x:c r="D331" s="14" t="str">
        <x:v>HVAC / ОВіК</x:v>
      </x:c>
      <x:c r="E331" s="14" t="str">
        <x:v>Pilot now</x:v>
      </x:c>
      <x:c r="F331" s="17" t="str">
        <x:f>IF(E331="Pilot now",IF(P331&gt;=84,"P1",IF(P331&gt;=72,"P2","P3")),IF(E331="Expansion discovery",IF(Q331&gt;=88,"D1",IF(Q331&gt;=78,"D2","D3")),IF(E331="Later / requirements","L","Legacy")))</x:f>
        <x:v>P1</x:v>
      </x:c>
      <x:c r="G331" s="14" t="str">
        <x:v>spec-servis.com.ua</x:v>
      </x:c>
      <x:c r="H331" s="14" t="str">
        <x:v>Пілот зараз — Н.14</x:v>
      </x:c>
      <x:c r="I331" s="16" t="n">
        <x:v>5</x:v>
      </x:c>
      <x:c r="J331" s="16" t="n">
        <x:v>5</x:v>
      </x:c>
      <x:c r="K331" s="16" t="n">
        <x:v>5</x:v>
      </x:c>
      <x:c r="L331" s="16" t="n">
        <x:v>4</x:v>
      </x:c>
      <x:c r="M331" s="16" t="n">
        <x:v>5</x:v>
      </x:c>
      <x:c r="N331" s="16" t="n">
        <x:v>5</x:v>
      </x:c>
      <x:c r="O331" s="16" t="n">
        <x:v>5</x:v>
      </x:c>
      <x:c r="P331" s="16" t="n">
        <x:f>IF(COUNT(I331:O331)&lt;7,"",I331*8+J331*3+K331*2+L331*2+M331*2+N331*2+O331)</x:f>
        <x:v>98</x:v>
      </x:c>
      <x:c r="Q331" s="16" t="n">
        <x:f>IF(COUNT(J331:O331)&lt;6,"",J331*5+K331*4+M331*4+L331*3+N331*2+O331*2)</x:f>
        <x:v>97</x:v>
      </x:c>
      <x:c r="R331" s="14" t="str">
        <x:v>high</x:v>
      </x:c>
      <x:c r="S331" s="14" t="str">
        <x:v>official_prozorro_award_2025_2026</x:v>
      </x:c>
      <x:c r="T331" s="14" t="str">
        <x:v>official_prozorro_api</x:v>
      </x:c>
      <x:c r="U331" s="14" t="str">
        <x:v>Не контактували</x:v>
      </x:c>
      <x:c r="V331" s="15" t="str">
        <x:v>Персоналізований free-pilot outreach по UA-2026-05-06-008852-a; попросити 1 пакет Н.14/Н.15</x:v>
      </x:c>
      <x:c r="W331" s="15" t="str">
        <x:v>Власник / директор; керівник ПТО; відповідальний за договори</x:v>
      </x:c>
      <x:c r="X331" s="15" t="str">
        <x:v>2 підтверджених перемог/договорів у Prozorro на 2 386 825 грн; 1 проєктів зі строком виконання не раніше 24.08.2026.</x:v>
      </x:c>
      <x:c r="Y331" s="15" t="str">
        <x:v>Послуги з технічного обслуговування систем вентиляції (технічне обслуговування, демонтаж, переміщення, монтаж та пусконалагодження кондиціонерів) для забезпечення належних умов функціонування об’єктів Головного управління ДПС у Запорізькій області; строк до 2026-12-11. Попросити один знеособлений пакет здачі за цим workflow.</x:v>
      </x:c>
      <x:c r="Z331" s="15" t="str">
        <x:v>https://prozorro.gov.ua/tender/UA-2026-05-06-008852-a</x:v>
      </x:c>
      <x:c r="AA331" s="14" t="str">
        <x:v>30518990</x:v>
      </x:c>
      <x:c r="AB331" s="14" t="str">
        <x:v>2026-08-24</x:v>
      </x:c>
      <x:c r="AC331" s="14" t="str"/>
      <x:c r="AD331" s="20" t="str"/>
      <x:c r="AE331" s="14" t="str"/>
      <x:c r="AF331" s="14" t="n">
        <x:v>66</x:v>
      </x:c>
      <x:c r="AG331" s="14" t="str">
        <x:v>I2</x:v>
      </x:c>
      <x:c r="AH331" s="14" t="n">
        <x:v>2</x:v>
      </x:c>
      <x:c r="AI331" s="14" t="n">
        <x:v>1</x:v>
      </x:c>
      <x:c r="AJ331" s="18" t="n">
        <x:v>2386825</x:v>
      </x:c>
      <x:c r="AK331" s="14" t="str">
        <x:v>https://prozorro.gov.ua/tender/UA-2026-05-06-008852-a</x:v>
      </x:c>
      <x:c r="AL331" s="19" t="n">
        <x:v>46163.54218483796</x:v>
      </x:c>
      <x:c r="AM331" s="19" t="n">
        <x:v>46367.51802083333</x:v>
      </x:c>
      <x:c r="AN331" s="15" t="str">
        <x:v>HVAC / ОВіК; Промисловий холод</x:v>
      </x:c>
      <x:c r="AO331" s="15" t="str">
        <x:v>supplier_provided_url</x:v>
      </x:c>
    </x:row>
    <x:row r="332">
      <x:c r="A332" s="14" t="str">
        <x:v>W3-060</x:v>
      </x:c>
      <x:c r="B332" s="14" t="str">
        <x:v>Prozorro winners — 24.08</x:v>
      </x:c>
      <x:c r="C332" s="14" t="str">
        <x:v>Фізична особа-підприємець Кремінський Владислав Олександрович</x:v>
      </x:c>
      <x:c r="D332" s="14" t="str">
        <x:v>Водоочищення / очисні споруди</x:v>
      </x:c>
      <x:c r="E332" s="14" t="str">
        <x:v>Expansion discovery</x:v>
      </x:c>
      <x:c r="F332" s="17" t="str">
        <x:f>IF(E332="Pilot now",IF(P332&gt;=84,"P1",IF(P332&gt;=72,"P2","P3")),IF(E332="Expansion discovery",IF(Q332&gt;=88,"D1",IF(Q332&gt;=78,"D2","D3")),IF(E332="Later / requirements","L","Legacy")))</x:f>
        <x:v>D2</x:v>
      </x:c>
      <x:c r="G332" s="14" t="str"/>
      <x:c r="H332" s="14" t="str">
        <x:v>Discovery розширення — 2 тижні</x:v>
      </x:c>
      <x:c r="I332" s="16" t="n">
        <x:v>1</x:v>
      </x:c>
      <x:c r="J332" s="16" t="n">
        <x:v>5</x:v>
      </x:c>
      <x:c r="K332" s="16" t="n">
        <x:v>4</x:v>
      </x:c>
      <x:c r="L332" s="16" t="n">
        <x:v>2</x:v>
      </x:c>
      <x:c r="M332" s="16" t="n">
        <x:v>5</x:v>
      </x:c>
      <x:c r="N332" s="16" t="n">
        <x:v>3</x:v>
      </x:c>
      <x:c r="O332" s="16" t="n">
        <x:v>5</x:v>
      </x:c>
      <x:c r="P332" s="16" t="n">
        <x:f>IF(COUNT(I332:O332)&lt;7,"",I332*8+J332*3+K332*2+L332*2+M332*2+N332*2+O332)</x:f>
        <x:v>56</x:v>
      </x:c>
      <x:c r="Q332" s="16" t="n">
        <x:f>IF(COUNT(J332:O332)&lt;6,"",J332*5+K332*4+M332*4+L332*3+N332*2+O332*2)</x:f>
        <x:v>83</x:v>
      </x:c>
      <x:c r="R332" s="14" t="str">
        <x:v>high</x:v>
      </x:c>
      <x:c r="S332" s="14" t="str">
        <x:v>official_prozorro_award_2025_2026</x:v>
      </x:c>
      <x:c r="T332" s="14" t="str">
        <x:v>official_prozorro_api</x:v>
      </x:c>
      <x:c r="U332" s="14" t="str">
        <x:v>Не контактували</x:v>
      </x:c>
      <x:c r="V332" s="15" t="str">
        <x:v>Workflow-audit outreach по UA-2026-08-11-012301-a; попросити 1 пакет здачі та вимоги проєкту</x:v>
      </x:c>
      <x:c r="W332" s="15" t="str">
        <x:v>Власник / виконавець; відповідальний за договір</x:v>
      </x:c>
      <x:c r="X332" s="15" t="str">
        <x:v>2 підтверджених перемог/договорів у Prozorro на 499 262 грн; 2 проєктів зі строком виконання не раніше 24.08.2026.</x:v>
      </x:c>
      <x:c r="Y332" s="15" t="str">
        <x:v>Роботи з коригування проектно-кошторисної документації по об’єкту: «Реконструкція КНС на території очисних споруд, розташованих за адресою: Одеська обл., Одеський район, Таїровська територіальна громада, смт. Таїрове, вулиця Набережна, б.16. Коригування» (згідно з показником четвертого знаку національного класифікатора України ДК 021:2015: 71320000-7 Послуги з інженерного проектування)  ; строк до 2026-08-31. Попросити один знеособлений пакет здачі за цим workflow.</x:v>
      </x:c>
      <x:c r="Z332" s="15" t="str">
        <x:v>https://prozorro.gov.ua/tender/UA-2026-08-11-012301-a</x:v>
      </x:c>
      <x:c r="AA332" s="14" t="str">
        <x:v>3164514254</x:v>
      </x:c>
      <x:c r="AB332" s="14" t="str">
        <x:v>2026-08-24</x:v>
      </x:c>
      <x:c r="AC332" s="14" t="str"/>
      <x:c r="AD332" s="20" t="str"/>
      <x:c r="AE332" s="14" t="str"/>
      <x:c r="AF332" s="14" t="n">
        <x:v>66</x:v>
      </x:c>
      <x:c r="AG332" s="14" t="str">
        <x:v>I2</x:v>
      </x:c>
      <x:c r="AH332" s="14" t="n">
        <x:v>2</x:v>
      </x:c>
      <x:c r="AI332" s="14" t="n">
        <x:v>2</x:v>
      </x:c>
      <x:c r="AJ332" s="18" t="n">
        <x:v>499262.47</x:v>
      </x:c>
      <x:c r="AK332" s="14" t="str">
        <x:v>https://prozorro.gov.ua/tender/UA-2026-08-11-012301-a</x:v>
      </x:c>
      <x:c r="AL332" s="19" t="n">
        <x:v>46245.59813092592</x:v>
      </x:c>
      <x:c r="AM332" s="19" t="n">
        <x:v>46265</x:v>
      </x:c>
      <x:c r="AN332" s="15" t="str">
        <x:v>Водоочищення / очисні споруди; Сонячна енергетика</x:v>
      </x:c>
      <x:c r="AO332" s="15" t="str">
        <x:v>not_found_in_top_search</x:v>
      </x:c>
    </x:row>
    <x:row r="333">
      <x:c r="A333" s="14" t="str">
        <x:v>W3-061</x:v>
      </x:c>
      <x:c r="B333" s="14" t="str">
        <x:v>Prozorro winners — 24.08</x:v>
      </x:c>
      <x:c r="C333" s="14" t="str">
        <x:v>Управління капітального будівництва Чернігівської міської ради</x:v>
      </x:c>
      <x:c r="D333" s="14" t="str">
        <x:v>Насосні станції</x:v>
      </x:c>
      <x:c r="E333" s="14" t="str">
        <x:v>Expansion discovery</x:v>
      </x:c>
      <x:c r="F333" s="17" t="str">
        <x:f>IF(E333="Pilot now",IF(P333&gt;=84,"P1",IF(P333&gt;=72,"P2","P3")),IF(E333="Expansion discovery",IF(Q333&gt;=88,"D1",IF(Q333&gt;=78,"D2","D3")),IF(E333="Later / requirements","L","Legacy")))</x:f>
        <x:v>D2</x:v>
      </x:c>
      <x:c r="G333" s="14" t="str"/>
      <x:c r="H333" s="14" t="str">
        <x:v>Discovery розширення — 2 тижні</x:v>
      </x:c>
      <x:c r="I333" s="16" t="n">
        <x:v>1</x:v>
      </x:c>
      <x:c r="J333" s="16" t="n">
        <x:v>5</x:v>
      </x:c>
      <x:c r="K333" s="16" t="n">
        <x:v>4</x:v>
      </x:c>
      <x:c r="L333" s="16" t="n">
        <x:v>2</x:v>
      </x:c>
      <x:c r="M333" s="16" t="n">
        <x:v>5</x:v>
      </x:c>
      <x:c r="N333" s="16" t="n">
        <x:v>5</x:v>
      </x:c>
      <x:c r="O333" s="16" t="n">
        <x:v>5</x:v>
      </x:c>
      <x:c r="P333" s="16" t="n">
        <x:f>IF(COUNT(I333:O333)&lt;7,"",I333*8+J333*3+K333*2+L333*2+M333*2+N333*2+O333)</x:f>
        <x:v>60</x:v>
      </x:c>
      <x:c r="Q333" s="16" t="n">
        <x:f>IF(COUNT(J333:O333)&lt;6,"",J333*5+K333*4+M333*4+L333*3+N333*2+O333*2)</x:f>
        <x:v>87</x:v>
      </x:c>
      <x:c r="R333" s="14" t="str">
        <x:v>high</x:v>
      </x:c>
      <x:c r="S333" s="14" t="str">
        <x:v>official_prozorro_award_2025_2026</x:v>
      </x:c>
      <x:c r="T333" s="14" t="str">
        <x:v>official_prozorro_api</x:v>
      </x:c>
      <x:c r="U333" s="14" t="str">
        <x:v>Не контактували</x:v>
      </x:c>
      <x:c r="V333" s="15" t="str">
        <x:v>Workflow-audit outreach по UA-2026-08-06-004070-a; попросити 1 пакет здачі та вимоги проєкту</x:v>
      </x:c>
      <x:c r="W333" s="15" t="str">
        <x:v>Власник / директор; керівник ПТО; відповідальний за договори</x:v>
      </x:c>
      <x:c r="X333" s="15" t="str">
        <x:v>2 підтверджених перемог/договорів у Prozorro на 485 745 грн; 2 проєктів зі строком виконання не раніше 24.08.2026.</x:v>
      </x:c>
      <x:c r="Y333" s="15" t="str">
        <x:v>Здійснення технічного нагляду за виконанням будівельних робіт на об"єкті будівництва: "Реконструкція електричної мережі водопровідної насосної станції №3 "Бобровиця", розташованої на землях Киселівської ТГ Чернігівського р-ну комплекс будівель та споруд №1 з встановленням когенераційної установки як альтернативного джерела електроживлення"; строк до 2027-12-31. Попросити один знеособлений пакет здачі за цим workflow.</x:v>
      </x:c>
      <x:c r="Z333" s="15" t="str">
        <x:v>https://prozorro.gov.ua/tender/UA-2026-08-06-004070-a</x:v>
      </x:c>
      <x:c r="AA333" s="14" t="str">
        <x:v>05517729</x:v>
      </x:c>
      <x:c r="AB333" s="14" t="str">
        <x:v>2026-08-24</x:v>
      </x:c>
      <x:c r="AC333" s="14" t="str"/>
      <x:c r="AD333" s="20" t="str"/>
      <x:c r="AE333" s="14" t="str"/>
      <x:c r="AF333" s="14" t="n">
        <x:v>66</x:v>
      </x:c>
      <x:c r="AG333" s="14" t="str">
        <x:v>I2</x:v>
      </x:c>
      <x:c r="AH333" s="14" t="n">
        <x:v>2</x:v>
      </x:c>
      <x:c r="AI333" s="14" t="n">
        <x:v>2</x:v>
      </x:c>
      <x:c r="AJ333" s="18" t="n">
        <x:v>485745.09</x:v>
      </x:c>
      <x:c r="AK333" s="14" t="str">
        <x:v>https://prozorro.gov.ua/tender/UA-2026-08-06-004070-a</x:v>
      </x:c>
      <x:c r="AL333" s="19" t="n">
        <x:v>46240.36500672454</x:v>
      </x:c>
      <x:c r="AM333" s="19" t="n">
        <x:v>46752.40704861111</x:v>
      </x:c>
      <x:c r="AN333" s="15" t="str">
        <x:v>Насосні станції</x:v>
      </x:c>
      <x:c r="AO333" s="15" t="str">
        <x:v>not_found_in_top_search</x:v>
      </x:c>
    </x:row>
    <x:row r="334">
      <x:c r="A334" s="14" t="str">
        <x:v>W3-062</x:v>
      </x:c>
      <x:c r="B334" s="14" t="str">
        <x:v>Prozorro winners — 24.08</x:v>
      </x:c>
      <x:c r="C334" s="14" t="str">
        <x:v>ТОВАРИСТВО З ОБМЕЖЕНОЮ ВІДПОВІДАЛЬНІСТЮ "ОХТИРКАПРОМЕНЕРГО"</x:v>
      </x:c>
      <x:c r="D334" s="14" t="str">
        <x:v>Сонячна енергетика</x:v>
      </x:c>
      <x:c r="E334" s="14" t="str">
        <x:v>Expansion discovery</x:v>
      </x:c>
      <x:c r="F334" s="17" t="str">
        <x:f>IF(E334="Pilot now",IF(P334&gt;=84,"P1",IF(P334&gt;=72,"P2","P3")),IF(E334="Expansion discovery",IF(Q334&gt;=88,"D1",IF(Q334&gt;=78,"D2","D3")),IF(E334="Later / requirements","L","Legacy")))</x:f>
        <x:v>D2</x:v>
      </x:c>
      <x:c r="G334" s="14" t="str"/>
      <x:c r="H334" s="14" t="str">
        <x:v>Discovery розширення — 2 тижні</x:v>
      </x:c>
      <x:c r="I334" s="16" t="n">
        <x:v>1</x:v>
      </x:c>
      <x:c r="J334" s="16" t="n">
        <x:v>5</x:v>
      </x:c>
      <x:c r="K334" s="16" t="n">
        <x:v>4</x:v>
      </x:c>
      <x:c r="L334" s="16" t="n">
        <x:v>2</x:v>
      </x:c>
      <x:c r="M334" s="16" t="n">
        <x:v>5</x:v>
      </x:c>
      <x:c r="N334" s="16" t="n">
        <x:v>5</x:v>
      </x:c>
      <x:c r="O334" s="16" t="n">
        <x:v>5</x:v>
      </x:c>
      <x:c r="P334" s="16" t="n">
        <x:f>IF(COUNT(I334:O334)&lt;7,"",I334*8+J334*3+K334*2+L334*2+M334*2+N334*2+O334)</x:f>
        <x:v>60</x:v>
      </x:c>
      <x:c r="Q334" s="16" t="n">
        <x:f>IF(COUNT(J334:O334)&lt;6,"",J334*5+K334*4+M334*4+L334*3+N334*2+O334*2)</x:f>
        <x:v>87</x:v>
      </x:c>
      <x:c r="R334" s="14" t="str">
        <x:v>high</x:v>
      </x:c>
      <x:c r="S334" s="14" t="str">
        <x:v>official_prozorro_award_2025_2026</x:v>
      </x:c>
      <x:c r="T334" s="14" t="str">
        <x:v>official_prozorro_api</x:v>
      </x:c>
      <x:c r="U334" s="14" t="str">
        <x:v>Не контактували</x:v>
      </x:c>
      <x:c r="V334" s="15" t="str">
        <x:v>Workflow-audit outreach по UA-2026-07-23-007593-a; попросити 1 пакет здачі та вимоги проєкту</x:v>
      </x:c>
      <x:c r="W334" s="15" t="str">
        <x:v>Власник / директор; керівник ПТО; відповідальний за договори</x:v>
      </x:c>
      <x:c r="X334" s="15" t="str">
        <x:v>2 підтверджених перемог/договорів у Prozorro на 440 800 грн; 2 проєктів зі строком виконання не раніше 24.08.2026.</x:v>
      </x:c>
      <x:c r="Y334" s="15" t="str">
        <x:v>Послуги з монтажу та підключення комплекту електрообладнання сонячної електростанції (монтаж сонячних панелей, монтаж та підключення АКБ та інвертора) у Пологівській гімназії Чернеччинської сільської ради Охтирського району Сумської області за адресою: вул. Лозового, 50, с. Пологи Охтирського району Сумської області за кодом ДК 021:2015 - 45310000-3 - Електромонтажні роботи; строк до 2026-08-30. Попросити один знеособлений пакет здачі за цим workflow.</x:v>
      </x:c>
      <x:c r="Z334" s="15" t="str">
        <x:v>https://prozorro.gov.ua/tender/UA-2026-07-23-007593-a</x:v>
      </x:c>
      <x:c r="AA334" s="14" t="str">
        <x:v>42563329</x:v>
      </x:c>
      <x:c r="AB334" s="14" t="str">
        <x:v>2026-08-24</x:v>
      </x:c>
      <x:c r="AC334" s="14" t="str"/>
      <x:c r="AD334" s="20" t="str"/>
      <x:c r="AE334" s="14" t="str"/>
      <x:c r="AF334" s="14" t="n">
        <x:v>66</x:v>
      </x:c>
      <x:c r="AG334" s="14" t="str">
        <x:v>I2</x:v>
      </x:c>
      <x:c r="AH334" s="14" t="n">
        <x:v>2</x:v>
      </x:c>
      <x:c r="AI334" s="14" t="n">
        <x:v>2</x:v>
      </x:c>
      <x:c r="AJ334" s="18" t="n">
        <x:v>440800</x:v>
      </x:c>
      <x:c r="AK334" s="14" t="str">
        <x:v>https://prozorro.gov.ua/tender/UA-2026-07-23-007593-a</x:v>
      </x:c>
      <x:c r="AL334" s="19" t="n">
        <x:v>46237.27468818287</x:v>
      </x:c>
      <x:c r="AM334" s="19" t="n">
        <x:v>46264</x:v>
      </x:c>
      <x:c r="AN334" s="15" t="str">
        <x:v>Сонячна енергетика</x:v>
      </x:c>
      <x:c r="AO334" s="15" t="str">
        <x:v>not_found_in_top_search</x:v>
      </x:c>
    </x:row>
    <x:row r="335">
      <x:c r="A335" s="14" t="str">
        <x:v>W3-063</x:v>
      </x:c>
      <x:c r="B335" s="14" t="str">
        <x:v>Prozorro winners — 24.08</x:v>
      </x:c>
      <x:c r="C335" s="14" t="str">
        <x:v>ТОВАРИСТВО З ОБМЕЖЕНОЮ ВІДПОВІДАЛЬНІСТЮ "АЛЬТІУС-ПРОМ"</x:v>
      </x:c>
      <x:c r="D335" s="14" t="str">
        <x:v>Мости / інфраструктура</x:v>
      </x:c>
      <x:c r="E335" s="14" t="str">
        <x:v>Expansion discovery</x:v>
      </x:c>
      <x:c r="F335" s="17" t="str">
        <x:f>IF(E335="Pilot now",IF(P335&gt;=84,"P1",IF(P335&gt;=72,"P2","P3")),IF(E335="Expansion discovery",IF(Q335&gt;=88,"D1",IF(Q335&gt;=78,"D2","D3")),IF(E335="Later / requirements","L","Legacy")))</x:f>
        <x:v>D2</x:v>
      </x:c>
      <x:c r="G335" s="14" t="str">
        <x:v>altius.com.ua</x:v>
      </x:c>
      <x:c r="H335" s="14" t="str">
        <x:v>Discovery розширення — 2 тижні</x:v>
      </x:c>
      <x:c r="I335" s="16" t="n">
        <x:v>1</x:v>
      </x:c>
      <x:c r="J335" s="16" t="n">
        <x:v>5</x:v>
      </x:c>
      <x:c r="K335" s="16" t="n">
        <x:v>4</x:v>
      </x:c>
      <x:c r="L335" s="16" t="n">
        <x:v>2</x:v>
      </x:c>
      <x:c r="M335" s="16" t="n">
        <x:v>5</x:v>
      </x:c>
      <x:c r="N335" s="16" t="n">
        <x:v>5</x:v>
      </x:c>
      <x:c r="O335" s="16" t="n">
        <x:v>5</x:v>
      </x:c>
      <x:c r="P335" s="16" t="n">
        <x:f>IF(COUNT(I335:O335)&lt;7,"",I335*8+J335*3+K335*2+L335*2+M335*2+N335*2+O335)</x:f>
        <x:v>60</x:v>
      </x:c>
      <x:c r="Q335" s="16" t="n">
        <x:f>IF(COUNT(J335:O335)&lt;6,"",J335*5+K335*4+M335*4+L335*3+N335*2+O335*2)</x:f>
        <x:v>87</x:v>
      </x:c>
      <x:c r="R335" s="14" t="str">
        <x:v>high</x:v>
      </x:c>
      <x:c r="S335" s="14" t="str">
        <x:v>official_prozorro_award_2025_2026</x:v>
      </x:c>
      <x:c r="T335" s="14" t="str">
        <x:v>official_prozorro_api</x:v>
      </x:c>
      <x:c r="U335" s="14" t="str">
        <x:v>Не контактували</x:v>
      </x:c>
      <x:c r="V335" s="15" t="str">
        <x:v>Workflow-audit outreach по UA-2026-07-24-003218-a; попросити 1 пакет здачі та вимоги проєкту</x:v>
      </x:c>
      <x:c r="W335" s="15" t="str">
        <x:v>Власник / директор; керівник ПТО; відповідальний за договори</x:v>
      </x:c>
      <x:c r="X335" s="15" t="str">
        <x:v>2 підтверджених перемог/договорів у Prozorro на 413 103 грн; 2 проєктів зі строком виконання не раніше 24.08.2026.</x:v>
      </x:c>
      <x:c r="Y335" s="15" t="str">
        <x:v>Архітектурні, інженерні та планувальні послуги за кодом ДК 021:2015 - 71240000-2 (послуги з проєктування об’єкту: «Послуги з ремонту мосту пішохідного через р. Либідь до ТЕЦ - 5»); строк до 2026-12-31. Попросити один знеособлений пакет здачі за цим workflow.</x:v>
      </x:c>
      <x:c r="Z335" s="15" t="str">
        <x:v>https://prozorro.gov.ua/tender/UA-2026-07-24-003218-a</x:v>
      </x:c>
      <x:c r="AA335" s="14" t="str">
        <x:v>41481664</x:v>
      </x:c>
      <x:c r="AB335" s="14" t="str">
        <x:v>2026-08-24</x:v>
      </x:c>
      <x:c r="AC335" s="14" t="str"/>
      <x:c r="AD335" s="20" t="str"/>
      <x:c r="AE335" s="14" t="str"/>
      <x:c r="AF335" s="14" t="n">
        <x:v>66</x:v>
      </x:c>
      <x:c r="AG335" s="14" t="str">
        <x:v>I2</x:v>
      </x:c>
      <x:c r="AH335" s="14" t="n">
        <x:v>2</x:v>
      </x:c>
      <x:c r="AI335" s="14" t="n">
        <x:v>2</x:v>
      </x:c>
      <x:c r="AJ335" s="18" t="n">
        <x:v>413102.85</x:v>
      </x:c>
      <x:c r="AK335" s="14" t="str">
        <x:v>https://prozorro.gov.ua/tender/UA-2026-07-24-003218-a</x:v>
      </x:c>
      <x:c r="AL335" s="19" t="n">
        <x:v>46240.360261932874</x:v>
      </x:c>
      <x:c r="AM335" s="19" t="n">
        <x:v>46387</x:v>
      </x:c>
      <x:c r="AN335" s="15" t="str">
        <x:v>Мости / інфраструктура</x:v>
      </x:c>
      <x:c r="AO335" s="15" t="str">
        <x:v>supplier_provided_url</x:v>
      </x:c>
    </x:row>
    <x:row r="336">
      <x:c r="A336" s="14" t="str">
        <x:v>W3-064</x:v>
      </x:c>
      <x:c r="B336" s="14" t="str">
        <x:v>Prozorro winners — 24.08</x:v>
      </x:c>
      <x:c r="C336" s="14" t="str">
        <x:v>ТОВАРИСТВО З ОБМЕЖЕНОЮ ВІДПОВІДАЛЬНІСТЮ "ТЕРМОСТАНДАРТ"</x:v>
      </x:c>
      <x:c r="D336" s="14" t="str">
        <x:v>HVAC / ОВіК</x:v>
      </x:c>
      <x:c r="E336" s="14" t="str">
        <x:v>Pilot now</x:v>
      </x:c>
      <x:c r="F336" s="17" t="str">
        <x:f>IF(E336="Pilot now",IF(P336&gt;=84,"P1",IF(P336&gt;=72,"P2","P3")),IF(E336="Expansion discovery",IF(Q336&gt;=88,"D1",IF(Q336&gt;=78,"D2","D3")),IF(E336="Later / requirements","L","Legacy")))</x:f>
        <x:v>P1</x:v>
      </x:c>
      <x:c r="G336" s="14" t="str"/>
      <x:c r="H336" s="14" t="str">
        <x:v>Пілот зараз — Н.14</x:v>
      </x:c>
      <x:c r="I336" s="16" t="n">
        <x:v>5</x:v>
      </x:c>
      <x:c r="J336" s="16" t="n">
        <x:v>5</x:v>
      </x:c>
      <x:c r="K336" s="16" t="n">
        <x:v>5</x:v>
      </x:c>
      <x:c r="L336" s="16" t="n">
        <x:v>2</x:v>
      </x:c>
      <x:c r="M336" s="16" t="n">
        <x:v>5</x:v>
      </x:c>
      <x:c r="N336" s="16" t="n">
        <x:v>5</x:v>
      </x:c>
      <x:c r="O336" s="16" t="n">
        <x:v>5</x:v>
      </x:c>
      <x:c r="P336" s="16" t="n">
        <x:f>IF(COUNT(I336:O336)&lt;7,"",I336*8+J336*3+K336*2+L336*2+M336*2+N336*2+O336)</x:f>
        <x:v>94</x:v>
      </x:c>
      <x:c r="Q336" s="16" t="n">
        <x:f>IF(COUNT(J336:O336)&lt;6,"",J336*5+K336*4+M336*4+L336*3+N336*2+O336*2)</x:f>
        <x:v>91</x:v>
      </x:c>
      <x:c r="R336" s="14" t="str">
        <x:v>high</x:v>
      </x:c>
      <x:c r="S336" s="14" t="str">
        <x:v>official_prozorro_award_2025_2026</x:v>
      </x:c>
      <x:c r="T336" s="14" t="str">
        <x:v>official_prozorro_api</x:v>
      </x:c>
      <x:c r="U336" s="14" t="str">
        <x:v>Не контактували</x:v>
      </x:c>
      <x:c r="V336" s="15" t="str">
        <x:v>Персоналізований free-pilot outreach по UA-2026-08-04-003638-a; попросити 1 пакет Н.14/Н.15</x:v>
      </x:c>
      <x:c r="W336" s="15" t="str">
        <x:v>Власник / директор; керівник ПТО; відповідальний за договори</x:v>
      </x:c>
      <x:c r="X336" s="15" t="str">
        <x:v>2 підтверджених перемог/договорів у Prozorro на 318 162 грн; 2 проєктів зі строком виконання не раніше 24.08.2026.</x:v>
      </x:c>
      <x:c r="Y336" s="15" t="str">
        <x:v>Послуги з поточного ремонту систем припливно - витяжної вентиляції (кондиціювання) , демонтажу -монтажу та технічному обслуговуванню кондиціонерів за кодом ДК 021:2015 - 50730000-1 «Послуги з ремонту і технічного обслуговування охолоджувальних установок»; строк до 2026-12-20. Попросити один знеособлений пакет здачі за цим workflow.</x:v>
      </x:c>
      <x:c r="Z336" s="15" t="str">
        <x:v>https://prozorro.gov.ua/tender/UA-2026-08-04-003638-a</x:v>
      </x:c>
      <x:c r="AA336" s="14" t="str">
        <x:v>33165192</x:v>
      </x:c>
      <x:c r="AB336" s="14" t="str">
        <x:v>2026-08-24</x:v>
      </x:c>
      <x:c r="AC336" s="14" t="str"/>
      <x:c r="AD336" s="20" t="str"/>
      <x:c r="AE336" s="14" t="str"/>
      <x:c r="AF336" s="14" t="n">
        <x:v>66</x:v>
      </x:c>
      <x:c r="AG336" s="14" t="str">
        <x:v>I2</x:v>
      </x:c>
      <x:c r="AH336" s="14" t="n">
        <x:v>2</x:v>
      </x:c>
      <x:c r="AI336" s="14" t="n">
        <x:v>2</x:v>
      </x:c>
      <x:c r="AJ336" s="18" t="n">
        <x:v>318161.67</x:v>
      </x:c>
      <x:c r="AK336" s="14" t="str">
        <x:v>https://prozorro.gov.ua/tender/UA-2026-08-04-003638-a</x:v>
      </x:c>
      <x:c r="AL336" s="19" t="n">
        <x:v>46251.33581399306</x:v>
      </x:c>
      <x:c r="AM336" s="19" t="n">
        <x:v>46376</x:v>
      </x:c>
      <x:c r="AN336" s="15" t="str">
        <x:v>HVAC / ОВіК</x:v>
      </x:c>
      <x:c r="AO336" s="15" t="str">
        <x:v>not_found_in_top_search</x:v>
      </x:c>
    </x:row>
    <x:row r="337">
      <x:c r="A337" s="14" t="str">
        <x:v>W3-065</x:v>
      </x:c>
      <x:c r="B337" s="14" t="str">
        <x:v>Prozorro winners — 24.08</x:v>
      </x:c>
      <x:c r="C337" s="14" t="str">
        <x:v>ТзОВ " Е.Т.Е.ПРО"</x:v>
      </x:c>
      <x:c r="D337" s="14" t="str">
        <x:v>Водоочищення / очисні споруди</x:v>
      </x:c>
      <x:c r="E337" s="14" t="str">
        <x:v>Expansion discovery</x:v>
      </x:c>
      <x:c r="F337" s="17" t="str">
        <x:f>IF(E337="Pilot now",IF(P337&gt;=84,"P1",IF(P337&gt;=72,"P2","P3")),IF(E337="Expansion discovery",IF(Q337&gt;=88,"D1",IF(Q337&gt;=78,"D2","D3")),IF(E337="Later / requirements","L","Legacy")))</x:f>
        <x:v>D2</x:v>
      </x:c>
      <x:c r="G337" s="14" t="str"/>
      <x:c r="H337" s="14" t="str">
        <x:v>Discovery розширення — 2 тижні</x:v>
      </x:c>
      <x:c r="I337" s="16" t="n">
        <x:v>1</x:v>
      </x:c>
      <x:c r="J337" s="16" t="n">
        <x:v>5</x:v>
      </x:c>
      <x:c r="K337" s="16" t="n">
        <x:v>4</x:v>
      </x:c>
      <x:c r="L337" s="16" t="n">
        <x:v>2</x:v>
      </x:c>
      <x:c r="M337" s="16" t="n">
        <x:v>5</x:v>
      </x:c>
      <x:c r="N337" s="16" t="n">
        <x:v>5</x:v>
      </x:c>
      <x:c r="O337" s="16" t="n">
        <x:v>5</x:v>
      </x:c>
      <x:c r="P337" s="16" t="n">
        <x:f>IF(COUNT(I337:O337)&lt;7,"",I337*8+J337*3+K337*2+L337*2+M337*2+N337*2+O337)</x:f>
        <x:v>60</x:v>
      </x:c>
      <x:c r="Q337" s="16" t="n">
        <x:f>IF(COUNT(J337:O337)&lt;6,"",J337*5+K337*4+M337*4+L337*3+N337*2+O337*2)</x:f>
        <x:v>87</x:v>
      </x:c>
      <x:c r="R337" s="14" t="str">
        <x:v>high</x:v>
      </x:c>
      <x:c r="S337" s="14" t="str">
        <x:v>official_prozorro_award_2025_2026</x:v>
      </x:c>
      <x:c r="T337" s="14" t="str">
        <x:v>official_prozorro_api</x:v>
      </x:c>
      <x:c r="U337" s="14" t="str">
        <x:v>Не контактували</x:v>
      </x:c>
      <x:c r="V337" s="15" t="str">
        <x:v>Workflow-audit outreach по UA-2026-08-03-008135-a; попросити 1 пакет здачі та вимоги проєкту</x:v>
      </x:c>
      <x:c r="W337" s="15" t="str">
        <x:v>Власник / директор; керівник ПТО; відповідальний за договори</x:v>
      </x:c>
      <x:c r="X337" s="15" t="str">
        <x:v>2 підтверджених перемог/договорів у Prozorro на 274 296 грн; 2 проєктів зі строком виконання не раніше 24.08.2026.</x:v>
      </x:c>
      <x:c r="Y337" s="15" t="str">
        <x:v>Виготовлення проектно-кошторисної документації по об’єкту: « Реконструкція каналізаційних очисних споруд селища Дашава Стрийського району Львівської області. Коригування.»; строк до 2026-12-31. Попросити один знеособлений пакет здачі за цим workflow.</x:v>
      </x:c>
      <x:c r="Z337" s="15" t="str">
        <x:v>https://prozorro.gov.ua/tender/UA-2026-08-03-008135-a</x:v>
      </x:c>
      <x:c r="AA337" s="14" t="str">
        <x:v>41868819</x:v>
      </x:c>
      <x:c r="AB337" s="14" t="str">
        <x:v>2026-08-24</x:v>
      </x:c>
      <x:c r="AC337" s="14" t="str"/>
      <x:c r="AD337" s="20" t="str"/>
      <x:c r="AE337" s="14" t="str"/>
      <x:c r="AF337" s="14" t="n">
        <x:v>66</x:v>
      </x:c>
      <x:c r="AG337" s="14" t="str">
        <x:v>I2</x:v>
      </x:c>
      <x:c r="AH337" s="14" t="n">
        <x:v>2</x:v>
      </x:c>
      <x:c r="AI337" s="14" t="n">
        <x:v>2</x:v>
      </x:c>
      <x:c r="AJ337" s="18" t="n">
        <x:v>274295.9</x:v>
      </x:c>
      <x:c r="AK337" s="14" t="str">
        <x:v>https://prozorro.gov.ua/tender/UA-2026-08-03-008135-a</x:v>
      </x:c>
      <x:c r="AL337" s="19" t="n">
        <x:v>46237.51469081019</x:v>
      </x:c>
      <x:c r="AM337" s="19" t="n">
        <x:v>46387.5571412037</x:v>
      </x:c>
      <x:c r="AN337" s="15" t="str">
        <x:v>Водоочищення / очисні споруди</x:v>
      </x:c>
      <x:c r="AO337" s="15" t="str">
        <x:v>not_found_in_top_search</x:v>
      </x:c>
    </x:row>
    <x:row r="338">
      <x:c r="A338" s="14" t="str">
        <x:v>W3-066</x:v>
      </x:c>
      <x:c r="B338" s="14" t="str">
        <x:v>Prozorro winners — 24.08</x:v>
      </x:c>
      <x:c r="C338" s="14" t="str">
        <x:v>ТОВ  "Охорона-Комплекс-Придунав'є"</x:v>
      </x:c>
      <x:c r="D338" s="14" t="str">
        <x:v>Пожежогасіння</x:v>
      </x:c>
      <x:c r="E338" s="14" t="str">
        <x:v>Expansion discovery</x:v>
      </x:c>
      <x:c r="F338" s="17" t="str">
        <x:f>IF(E338="Pilot now",IF(P338&gt;=84,"P1",IF(P338&gt;=72,"P2","P3")),IF(E338="Expansion discovery",IF(Q338&gt;=88,"D1",IF(Q338&gt;=78,"D2","D3")),IF(E338="Later / requirements","L","Legacy")))</x:f>
        <x:v>D2</x:v>
      </x:c>
      <x:c r="G338" s="14" t="str"/>
      <x:c r="H338" s="14" t="str">
        <x:v>Discovery розширення — 2 тижні</x:v>
      </x:c>
      <x:c r="I338" s="16" t="n">
        <x:v>1</x:v>
      </x:c>
      <x:c r="J338" s="16" t="n">
        <x:v>5</x:v>
      </x:c>
      <x:c r="K338" s="16" t="n">
        <x:v>4</x:v>
      </x:c>
      <x:c r="L338" s="16" t="n">
        <x:v>2</x:v>
      </x:c>
      <x:c r="M338" s="16" t="n">
        <x:v>5</x:v>
      </x:c>
      <x:c r="N338" s="16" t="n">
        <x:v>5</x:v>
      </x:c>
      <x:c r="O338" s="16" t="n">
        <x:v>5</x:v>
      </x:c>
      <x:c r="P338" s="16" t="n">
        <x:f>IF(COUNT(I338:O338)&lt;7,"",I338*8+J338*3+K338*2+L338*2+M338*2+N338*2+O338)</x:f>
        <x:v>60</x:v>
      </x:c>
      <x:c r="Q338" s="16" t="n">
        <x:f>IF(COUNT(J338:O338)&lt;6,"",J338*5+K338*4+M338*4+L338*3+N338*2+O338*2)</x:f>
        <x:v>87</x:v>
      </x:c>
      <x:c r="R338" s="14" t="str">
        <x:v>high</x:v>
      </x:c>
      <x:c r="S338" s="14" t="str">
        <x:v>official_prozorro_award_2025_2026</x:v>
      </x:c>
      <x:c r="T338" s="14" t="str">
        <x:v>official_prozorro_api</x:v>
      </x:c>
      <x:c r="U338" s="14" t="str">
        <x:v>Не контактували</x:v>
      </x:c>
      <x:c r="V338" s="15" t="str">
        <x:v>Workflow-audit outreach по UA-2026-08-24-004546-a; попросити 1 пакет здачі та вимоги проєкту</x:v>
      </x:c>
      <x:c r="W338" s="15" t="str">
        <x:v>Власник / директор; керівник ПТО; відповідальний за договори</x:v>
      </x:c>
      <x:c r="X338" s="15" t="str">
        <x:v>2 підтверджених перемог/договорів у Prozorro на 214 315 грн; 2 проєктів зі строком виконання не раніше 24.08.2026.</x:v>
      </x:c>
      <x:c r="Y338" s="15" t="str">
        <x:v>Монтаж й установка системи пожежної  сигналізації в приміщеннях будівлі інв.№117/3 військової частини А2372 за адресою: Одеська область, Ізмаїльський район, с.Лощинівка, В/ч А2372; строк до 2026-10-31. Попросити один знеособлений пакет здачі за цим workflow.</x:v>
      </x:c>
      <x:c r="Z338" s="15" t="str">
        <x:v>https://prozorro.gov.ua/tender/UA-2026-08-24-004546-a</x:v>
      </x:c>
      <x:c r="AA338" s="14" t="str">
        <x:v>32370184</x:v>
      </x:c>
      <x:c r="AB338" s="14" t="str">
        <x:v>2026-08-24</x:v>
      </x:c>
      <x:c r="AC338" s="14" t="str"/>
      <x:c r="AD338" s="20" t="str"/>
      <x:c r="AE338" s="14" t="str"/>
      <x:c r="AF338" s="14" t="n">
        <x:v>66</x:v>
      </x:c>
      <x:c r="AG338" s="14" t="str">
        <x:v>I2</x:v>
      </x:c>
      <x:c r="AH338" s="14" t="n">
        <x:v>2</x:v>
      </x:c>
      <x:c r="AI338" s="14" t="n">
        <x:v>2</x:v>
      </x:c>
      <x:c r="AJ338" s="18" t="n">
        <x:v>214315.32</x:v>
      </x:c>
      <x:c r="AK338" s="14" t="str">
        <x:v>https://prozorro.gov.ua/tender/UA-2026-08-24-004546-a</x:v>
      </x:c>
      <x:c r="AL338" s="19" t="n">
        <x:v>46258.39639957176</x:v>
      </x:c>
      <x:c r="AM338" s="19" t="n">
        <x:v>46326.439467592594</x:v>
      </x:c>
      <x:c r="AN338" s="15" t="str">
        <x:v>Пожежогасіння</x:v>
      </x:c>
      <x:c r="AO338" s="15" t="str">
        <x:v>not_found_in_top_search</x:v>
      </x:c>
    </x:row>
    <x:row r="339">
      <x:c r="A339" s="14" t="str">
        <x:v>W3-067</x:v>
      </x:c>
      <x:c r="B339" s="14" t="str">
        <x:v>Prozorro winners — 24.08</x:v>
      </x:c>
      <x:c r="C339" s="14" t="str">
        <x:v>ТОВАРИСТВО З ОБМЕЖЕНОЮ ВІДПОВІДАЛЬНІСТЮ «КОМПАНІЯ «СЕРВІСГРУПП ПЛЮС»</x:v>
      </x:c>
      <x:c r="D339" s="14" t="str">
        <x:v>Зовнішні мережі</x:v>
      </x:c>
      <x:c r="E339" s="14" t="str">
        <x:v>Expansion discovery</x:v>
      </x:c>
      <x:c r="F339" s="17" t="str">
        <x:f>IF(E339="Pilot now",IF(P339&gt;=84,"P1",IF(P339&gt;=72,"P2","P3")),IF(E339="Expansion discovery",IF(Q339&gt;=88,"D1",IF(Q339&gt;=78,"D2","D3")),IF(E339="Later / requirements","L","Legacy")))</x:f>
        <x:v>D2</x:v>
      </x:c>
      <x:c r="G339" s="14" t="str"/>
      <x:c r="H339" s="14" t="str">
        <x:v>Discovery розширення — 2 тижні</x:v>
      </x:c>
      <x:c r="I339" s="16" t="n">
        <x:v>1</x:v>
      </x:c>
      <x:c r="J339" s="16" t="n">
        <x:v>5</x:v>
      </x:c>
      <x:c r="K339" s="16" t="n">
        <x:v>4</x:v>
      </x:c>
      <x:c r="L339" s="16" t="n">
        <x:v>2</x:v>
      </x:c>
      <x:c r="M339" s="16" t="n">
        <x:v>5</x:v>
      </x:c>
      <x:c r="N339" s="16" t="n">
        <x:v>5</x:v>
      </x:c>
      <x:c r="O339" s="16" t="n">
        <x:v>5</x:v>
      </x:c>
      <x:c r="P339" s="16" t="n">
        <x:f>IF(COUNT(I339:O339)&lt;7,"",I339*8+J339*3+K339*2+L339*2+M339*2+N339*2+O339)</x:f>
        <x:v>60</x:v>
      </x:c>
      <x:c r="Q339" s="16" t="n">
        <x:f>IF(COUNT(J339:O339)&lt;6,"",J339*5+K339*4+M339*4+L339*3+N339*2+O339*2)</x:f>
        <x:v>87</x:v>
      </x:c>
      <x:c r="R339" s="14" t="str">
        <x:v>high</x:v>
      </x:c>
      <x:c r="S339" s="14" t="str">
        <x:v>official_prozorro_award_2025_2026</x:v>
      </x:c>
      <x:c r="T339" s="14" t="str">
        <x:v>official_prozorro_api</x:v>
      </x:c>
      <x:c r="U339" s="14" t="str">
        <x:v>Не контактували</x:v>
      </x:c>
      <x:c r="V339" s="15" t="str">
        <x:v>Workflow-audit outreach по UA-2026-08-20-003924-a; попросити 1 пакет здачі та вимоги проєкту</x:v>
      </x:c>
      <x:c r="W339" s="15" t="str">
        <x:v>Власник / директор; керівник ПТО; відповідальний за договори</x:v>
      </x:c>
      <x:c r="X339" s="15" t="str">
        <x:v>2 підтверджених перемог/договорів у Prozorro на 201 822 грн; 2 проєктів зі строком виконання не раніше 24.08.2026.</x:v>
      </x:c>
      <x:c r="Y339" s="15" t="str">
        <x:v>Авторський нагляд за роботами на об’єкті: "Нове будівництво зовнішніх інженерних мереж електропостачання, військове містечко № 20, с. Немирів, Львівська обл."; строк до 2027-02-15. Попросити один знеособлений пакет здачі за цим workflow.</x:v>
      </x:c>
      <x:c r="Z339" s="15" t="str">
        <x:v>https://prozorro.gov.ua/tender/UA-2026-08-20-003924-a</x:v>
      </x:c>
      <x:c r="AA339" s="14" t="str">
        <x:v>43774597</x:v>
      </x:c>
      <x:c r="AB339" s="14" t="str">
        <x:v>2026-08-24</x:v>
      </x:c>
      <x:c r="AC339" s="14" t="str"/>
      <x:c r="AD339" s="20" t="str"/>
      <x:c r="AE339" s="14" t="str"/>
      <x:c r="AF339" s="14" t="n">
        <x:v>66</x:v>
      </x:c>
      <x:c r="AG339" s="14" t="str">
        <x:v>I2</x:v>
      </x:c>
      <x:c r="AH339" s="14" t="n">
        <x:v>2</x:v>
      </x:c>
      <x:c r="AI339" s="14" t="n">
        <x:v>2</x:v>
      </x:c>
      <x:c r="AJ339" s="18" t="n">
        <x:v>201822</x:v>
      </x:c>
      <x:c r="AK339" s="14" t="str">
        <x:v>https://prozorro.gov.ua/tender/UA-2026-08-20-003924-a</x:v>
      </x:c>
      <x:c r="AL339" s="19" t="n">
        <x:v>46254.35159587963</x:v>
      </x:c>
      <x:c r="AM339" s="19" t="n">
        <x:v>46433</x:v>
      </x:c>
      <x:c r="AN339" s="15" t="str">
        <x:v>Зовнішні мережі</x:v>
      </x:c>
      <x:c r="AO339" s="15" t="str">
        <x:v>not_found_in_top_search</x:v>
      </x:c>
    </x:row>
    <x:row r="340">
      <x:c r="A340" s="14" t="str">
        <x:v>W3-068</x:v>
      </x:c>
      <x:c r="B340" s="14" t="str">
        <x:v>Prozorro winners — 24.08</x:v>
      </x:c>
      <x:c r="C340" s="14" t="str">
        <x:v>ТОВ"СПЕЦ-КЛІМАТ-КОНТРОЛЬ"</x:v>
      </x:c>
      <x:c r="D340" s="14" t="str">
        <x:v>HVAC / ОВіК</x:v>
      </x:c>
      <x:c r="E340" s="14" t="str">
        <x:v>Pilot now</x:v>
      </x:c>
      <x:c r="F340" s="17" t="str">
        <x:f>IF(E340="Pilot now",IF(P340&gt;=84,"P1",IF(P340&gt;=72,"P2","P3")),IF(E340="Expansion discovery",IF(Q340&gt;=88,"D1",IF(Q340&gt;=78,"D2","D3")),IF(E340="Later / requirements","L","Legacy")))</x:f>
        <x:v>P1</x:v>
      </x:c>
      <x:c r="G340" s="14" t="str"/>
      <x:c r="H340" s="14" t="str">
        <x:v>Пілот зараз — Н.14</x:v>
      </x:c>
      <x:c r="I340" s="16" t="n">
        <x:v>5</x:v>
      </x:c>
      <x:c r="J340" s="16" t="n">
        <x:v>5</x:v>
      </x:c>
      <x:c r="K340" s="16" t="n">
        <x:v>5</x:v>
      </x:c>
      <x:c r="L340" s="16" t="n">
        <x:v>2</x:v>
      </x:c>
      <x:c r="M340" s="16" t="n">
        <x:v>5</x:v>
      </x:c>
      <x:c r="N340" s="16" t="n">
        <x:v>5</x:v>
      </x:c>
      <x:c r="O340" s="16" t="n">
        <x:v>5</x:v>
      </x:c>
      <x:c r="P340" s="16" t="n">
        <x:f>IF(COUNT(I340:O340)&lt;7,"",I340*8+J340*3+K340*2+L340*2+M340*2+N340*2+O340)</x:f>
        <x:v>94</x:v>
      </x:c>
      <x:c r="Q340" s="16" t="n">
        <x:f>IF(COUNT(J340:O340)&lt;6,"",J340*5+K340*4+M340*4+L340*3+N340*2+O340*2)</x:f>
        <x:v>91</x:v>
      </x:c>
      <x:c r="R340" s="14" t="str">
        <x:v>high</x:v>
      </x:c>
      <x:c r="S340" s="14" t="str">
        <x:v>official_prozorro_award_2025_2026</x:v>
      </x:c>
      <x:c r="T340" s="14" t="str">
        <x:v>official_prozorro_api</x:v>
      </x:c>
      <x:c r="U340" s="14" t="str">
        <x:v>Не контактували</x:v>
      </x:c>
      <x:c r="V340" s="15" t="str">
        <x:v>Персоналізований free-pilot outreach по UA-2026-08-05-001219-a; попросити 1 пакет Н.14/Н.15</x:v>
      </x:c>
      <x:c r="W340" s="15" t="str">
        <x:v>Власник / директор; керівник ПТО; відповідальний за договори</x:v>
      </x:c>
      <x:c r="X340" s="15" t="str">
        <x:v>2 підтверджених перемог/договорів у Prozorro на 195 699 грн; 2 проєктів зі строком виконання не раніше 24.08.2026.</x:v>
      </x:c>
      <x:c r="Y340" s="15" t="str">
        <x:v>Послуги з поточного ремонту монтажу систем вентиляції за адресою: с.Нова Долина, вул.Г.Кудряшова,1А; строк до 2026-12-31. Попросити один знеособлений пакет здачі за цим workflow.</x:v>
      </x:c>
      <x:c r="Z340" s="15" t="str">
        <x:v>https://prozorro.gov.ua/tender/UA-2026-08-05-001219-a</x:v>
      </x:c>
      <x:c r="AA340" s="14" t="str">
        <x:v>38017969</x:v>
      </x:c>
      <x:c r="AB340" s="14" t="str">
        <x:v>2026-08-24</x:v>
      </x:c>
      <x:c r="AC340" s="14" t="str"/>
      <x:c r="AD340" s="20" t="str"/>
      <x:c r="AE340" s="14" t="str"/>
      <x:c r="AF340" s="14" t="n">
        <x:v>66</x:v>
      </x:c>
      <x:c r="AG340" s="14" t="str">
        <x:v>I2</x:v>
      </x:c>
      <x:c r="AH340" s="14" t="n">
        <x:v>2</x:v>
      </x:c>
      <x:c r="AI340" s="14" t="n">
        <x:v>2</x:v>
      </x:c>
      <x:c r="AJ340" s="18" t="n">
        <x:v>195699.28</x:v>
      </x:c>
      <x:c r="AK340" s="14" t="str">
        <x:v>https://prozorro.gov.ua/tender/UA-2026-08-05-001219-a</x:v>
      </x:c>
      <x:c r="AL340" s="19" t="n">
        <x:v>46239.278659386575</x:v>
      </x:c>
      <x:c r="AM340" s="19" t="n">
        <x:v>46387</x:v>
      </x:c>
      <x:c r="AN340" s="15" t="str">
        <x:v>HVAC / ОВіК</x:v>
      </x:c>
      <x:c r="AO340" s="15" t="str">
        <x:v>not_found_in_top_search</x:v>
      </x:c>
    </x:row>
    <x:row r="341">
      <x:c r="A341" s="14" t="str">
        <x:v>W3-069</x:v>
      </x:c>
      <x:c r="B341" s="14" t="str">
        <x:v>Prozorro winners — 24.08</x:v>
      </x:c>
      <x:c r="C341" s="14" t="str">
        <x:v>Товариство з обмеженою відповідальністю «Обслуговування Будівництво Експлуатація Споруд Зв’язку»</x:v>
      </x:c>
      <x:c r="D341" s="14" t="str">
        <x:v>ГНБ / безтраншейні роботи</x:v>
      </x:c>
      <x:c r="E341" s="14" t="str">
        <x:v>Expansion discovery</x:v>
      </x:c>
      <x:c r="F341" s="17" t="str">
        <x:f>IF(E341="Pilot now",IF(P341&gt;=84,"P1",IF(P341&gt;=72,"P2","P3")),IF(E341="Expansion discovery",IF(Q341&gt;=88,"D1",IF(Q341&gt;=78,"D2","D3")),IF(E341="Later / requirements","L","Legacy")))</x:f>
        <x:v>D2</x:v>
      </x:c>
      <x:c r="G341" s="14" t="str"/>
      <x:c r="H341" s="14" t="str">
        <x:v>Discovery розширення — 2 тижні</x:v>
      </x:c>
      <x:c r="I341" s="16" t="n">
        <x:v>1</x:v>
      </x:c>
      <x:c r="J341" s="16" t="n">
        <x:v>5</x:v>
      </x:c>
      <x:c r="K341" s="16" t="n">
        <x:v>4</x:v>
      </x:c>
      <x:c r="L341" s="16" t="n">
        <x:v>2</x:v>
      </x:c>
      <x:c r="M341" s="16" t="n">
        <x:v>5</x:v>
      </x:c>
      <x:c r="N341" s="16" t="n">
        <x:v>5</x:v>
      </x:c>
      <x:c r="O341" s="16" t="n">
        <x:v>5</x:v>
      </x:c>
      <x:c r="P341" s="16" t="n">
        <x:f>IF(COUNT(I341:O341)&lt;7,"",I341*8+J341*3+K341*2+L341*2+M341*2+N341*2+O341)</x:f>
        <x:v>60</x:v>
      </x:c>
      <x:c r="Q341" s="16" t="n">
        <x:f>IF(COUNT(J341:O341)&lt;6,"",J341*5+K341*4+M341*4+L341*3+N341*2+O341*2)</x:f>
        <x:v>87</x:v>
      </x:c>
      <x:c r="R341" s="14" t="str">
        <x:v>high</x:v>
      </x:c>
      <x:c r="S341" s="14" t="str">
        <x:v>official_prozorro_award_2025_2026</x:v>
      </x:c>
      <x:c r="T341" s="14" t="str">
        <x:v>official_prozorro_api</x:v>
      </x:c>
      <x:c r="U341" s="14" t="str">
        <x:v>Не контактували</x:v>
      </x:c>
      <x:c r="V341" s="15" t="str">
        <x:v>Workflow-audit outreach по UA-2026-08-17-009018-a; попросити 1 пакет здачі та вимоги проєкту</x:v>
      </x:c>
      <x:c r="W341" s="15" t="str">
        <x:v>Власник / директор; керівник ПТО; відповідальний за договори</x:v>
      </x:c>
      <x:c r="X341" s="15" t="str">
        <x:v>2 підтверджених перемог/договорів у Prozorro на 174 680 грн; 2 проєктів зі строком виконання не раніше 24.08.2026.</x:v>
      </x:c>
      <x:c r="Y341" s="15" t="str">
        <x:v>Комплекс будівельних робіт щодо влаштування переходу методом горизонтально-направленого буріння; строк до 2026-12-31. Попросити один знеособлений пакет здачі за цим workflow.</x:v>
      </x:c>
      <x:c r="Z341" s="15" t="str">
        <x:v>https://prozorro.gov.ua/tender/UA-2026-08-17-009018-a</x:v>
      </x:c>
      <x:c r="AA341" s="14" t="str">
        <x:v>34167688</x:v>
      </x:c>
      <x:c r="AB341" s="14" t="str">
        <x:v>2026-08-24</x:v>
      </x:c>
      <x:c r="AC341" s="14" t="str"/>
      <x:c r="AD341" s="20" t="str"/>
      <x:c r="AE341" s="14" t="str"/>
      <x:c r="AF341" s="14" t="n">
        <x:v>66</x:v>
      </x:c>
      <x:c r="AG341" s="14" t="str">
        <x:v>I2</x:v>
      </x:c>
      <x:c r="AH341" s="14" t="n">
        <x:v>2</x:v>
      </x:c>
      <x:c r="AI341" s="14" t="n">
        <x:v>2</x:v>
      </x:c>
      <x:c r="AJ341" s="18" t="n">
        <x:v>174680</x:v>
      </x:c>
      <x:c r="AK341" s="14" t="str">
        <x:v>https://prozorro.gov.ua/tender/UA-2026-08-17-009018-a</x:v>
      </x:c>
      <x:c r="AL341" s="19" t="n">
        <x:v>46251.51434275463</x:v>
      </x:c>
      <x:c r="AM341" s="19" t="n">
        <x:v>46387</x:v>
      </x:c>
      <x:c r="AN341" s="15" t="str">
        <x:v>ГНБ / безтраншейні роботи</x:v>
      </x:c>
      <x:c r="AO341" s="15" t="str">
        <x:v>not_found_in_top_search</x:v>
      </x:c>
    </x:row>
    <x:row r="342">
      <x:c r="A342" s="14" t="str">
        <x:v>W3-070</x:v>
      </x:c>
      <x:c r="B342" s="14" t="str">
        <x:v>Prozorro winners — 24.08</x:v>
      </x:c>
      <x:c r="C342" s="14" t="str">
        <x:v>ТОВАРИСТВО З ОБМЕЖЕНОЮ ВІДПОВІДАЛЬНІСТЮ "КОВЧЕГ ІНЖЕНЕРИНГ"</x:v>
      </x:c>
      <x:c r="D342" s="14" t="str">
        <x:v>Зовнішні мережі</x:v>
      </x:c>
      <x:c r="E342" s="14" t="str">
        <x:v>Expansion discovery</x:v>
      </x:c>
      <x:c r="F342" s="17" t="str">
        <x:f>IF(E342="Pilot now",IF(P342&gt;=84,"P1",IF(P342&gt;=72,"P2","P3")),IF(E342="Expansion discovery",IF(Q342&gt;=88,"D1",IF(Q342&gt;=78,"D2","D3")),IF(E342="Later / requirements","L","Legacy")))</x:f>
        <x:v>D2</x:v>
      </x:c>
      <x:c r="G342" s="14" t="str"/>
      <x:c r="H342" s="14" t="str">
        <x:v>Discovery розширення — 2 тижні</x:v>
      </x:c>
      <x:c r="I342" s="16" t="n">
        <x:v>1</x:v>
      </x:c>
      <x:c r="J342" s="16" t="n">
        <x:v>5</x:v>
      </x:c>
      <x:c r="K342" s="16" t="n">
        <x:v>4</x:v>
      </x:c>
      <x:c r="L342" s="16" t="n">
        <x:v>2</x:v>
      </x:c>
      <x:c r="M342" s="16" t="n">
        <x:v>5</x:v>
      </x:c>
      <x:c r="N342" s="16" t="n">
        <x:v>5</x:v>
      </x:c>
      <x:c r="O342" s="16" t="n">
        <x:v>5</x:v>
      </x:c>
      <x:c r="P342" s="16" t="n">
        <x:f>IF(COUNT(I342:O342)&lt;7,"",I342*8+J342*3+K342*2+L342*2+M342*2+N342*2+O342)</x:f>
        <x:v>60</x:v>
      </x:c>
      <x:c r="Q342" s="16" t="n">
        <x:f>IF(COUNT(J342:O342)&lt;6,"",J342*5+K342*4+M342*4+L342*3+N342*2+O342*2)</x:f>
        <x:v>87</x:v>
      </x:c>
      <x:c r="R342" s="14" t="str">
        <x:v>high</x:v>
      </x:c>
      <x:c r="S342" s="14" t="str">
        <x:v>official_prozorro_award_2025_2026</x:v>
      </x:c>
      <x:c r="T342" s="14" t="str">
        <x:v>official_prozorro_api</x:v>
      </x:c>
      <x:c r="U342" s="14" t="str">
        <x:v>Не контактували</x:v>
      </x:c>
      <x:c r="V342" s="15" t="str">
        <x:v>Workflow-audit outreach по UA-2026-08-06-008231-a; попросити 1 пакет здачі та вимоги проєкту</x:v>
      </x:c>
      <x:c r="W342" s="15" t="str">
        <x:v>Власник / директор; керівник ПТО; відповідальний за договори</x:v>
      </x:c>
      <x:c r="X342" s="15" t="str">
        <x:v>2 підтверджених перемог/договорів у Prozorro на 147 264 грн; 2 проєктів зі строком виконання не раніше 24.08.2026.</x:v>
      </x:c>
      <x:c r="Y342" s="15" t="str">
        <x:v>Авторський нагляд за роботами на об’єкті: "Нове будівництво зовнішніх інженерних мереж водовідведення, військове містечко № 20, с. Немирів, Львівська обл."; строк до 2026-12-25. Попросити один знеособлений пакет здачі за цим workflow.</x:v>
      </x:c>
      <x:c r="Z342" s="15" t="str">
        <x:v>https://prozorro.gov.ua/tender/UA-2026-08-06-008231-a</x:v>
      </x:c>
      <x:c r="AA342" s="14" t="str">
        <x:v>42743490</x:v>
      </x:c>
      <x:c r="AB342" s="14" t="str">
        <x:v>2026-08-24</x:v>
      </x:c>
      <x:c r="AC342" s="14" t="str"/>
      <x:c r="AD342" s="20" t="str"/>
      <x:c r="AE342" s="14" t="str"/>
      <x:c r="AF342" s="14" t="n">
        <x:v>66</x:v>
      </x:c>
      <x:c r="AG342" s="14" t="str">
        <x:v>I2</x:v>
      </x:c>
      <x:c r="AH342" s="14" t="n">
        <x:v>2</x:v>
      </x:c>
      <x:c r="AI342" s="14" t="n">
        <x:v>2</x:v>
      </x:c>
      <x:c r="AJ342" s="18" t="n">
        <x:v>147264</x:v>
      </x:c>
      <x:c r="AK342" s="14" t="str">
        <x:v>https://prozorro.gov.ua/tender/UA-2026-08-06-008231-a</x:v>
      </x:c>
      <x:c r="AL342" s="19" t="n">
        <x:v>46240.50336412037</x:v>
      </x:c>
      <x:c r="AM342" s="19" t="n">
        <x:v>46381</x:v>
      </x:c>
      <x:c r="AN342" s="15" t="str">
        <x:v>Зовнішні мережі</x:v>
      </x:c>
      <x:c r="AO342" s="15" t="str">
        <x:v>not_found_in_top_search</x:v>
      </x:c>
    </x:row>
    <x:row r="343">
      <x:c r="A343" s="14" t="str">
        <x:v>W3-071</x:v>
      </x:c>
      <x:c r="B343" s="14" t="str">
        <x:v>Prozorro winners — 24.08</x:v>
      </x:c>
      <x:c r="C343" s="14" t="str">
        <x:v>Фізична особа підприємець Гречаниченко Микола Миколайович</x:v>
      </x:c>
      <x:c r="D343" s="14" t="str">
        <x:v>Сонячна енергетика</x:v>
      </x:c>
      <x:c r="E343" s="14" t="str">
        <x:v>Expansion discovery</x:v>
      </x:c>
      <x:c r="F343" s="17" t="str">
        <x:f>IF(E343="Pilot now",IF(P343&gt;=84,"P1",IF(P343&gt;=72,"P2","P3")),IF(E343="Expansion discovery",IF(Q343&gt;=88,"D1",IF(Q343&gt;=78,"D2","D3")),IF(E343="Later / requirements","L","Legacy")))</x:f>
        <x:v>D2</x:v>
      </x:c>
      <x:c r="G343" s="14" t="str"/>
      <x:c r="H343" s="14" t="str">
        <x:v>Discovery розширення — 2 тижні</x:v>
      </x:c>
      <x:c r="I343" s="16" t="n">
        <x:v>1</x:v>
      </x:c>
      <x:c r="J343" s="16" t="n">
        <x:v>5</x:v>
      </x:c>
      <x:c r="K343" s="16" t="n">
        <x:v>4</x:v>
      </x:c>
      <x:c r="L343" s="16" t="n">
        <x:v>2</x:v>
      </x:c>
      <x:c r="M343" s="16" t="n">
        <x:v>5</x:v>
      </x:c>
      <x:c r="N343" s="16" t="n">
        <x:v>3</x:v>
      </x:c>
      <x:c r="O343" s="16" t="n">
        <x:v>5</x:v>
      </x:c>
      <x:c r="P343" s="16" t="n">
        <x:f>IF(COUNT(I343:O343)&lt;7,"",I343*8+J343*3+K343*2+L343*2+M343*2+N343*2+O343)</x:f>
        <x:v>56</x:v>
      </x:c>
      <x:c r="Q343" s="16" t="n">
        <x:f>IF(COUNT(J343:O343)&lt;6,"",J343*5+K343*4+M343*4+L343*3+N343*2+O343*2)</x:f>
        <x:v>83</x:v>
      </x:c>
      <x:c r="R343" s="14" t="str">
        <x:v>high</x:v>
      </x:c>
      <x:c r="S343" s="14" t="str">
        <x:v>official_prozorro_award_2025_2026</x:v>
      </x:c>
      <x:c r="T343" s="14" t="str">
        <x:v>official_prozorro_api</x:v>
      </x:c>
      <x:c r="U343" s="14" t="str">
        <x:v>Не контактували</x:v>
      </x:c>
      <x:c r="V343" s="15" t="str">
        <x:v>Workflow-audit outreach по UA-2026-08-14-006586-a; попросити 1 пакет здачі та вимоги проєкту</x:v>
      </x:c>
      <x:c r="W343" s="15" t="str">
        <x:v>Власник / виконавець; відповідальний за договір</x:v>
      </x:c>
      <x:c r="X343" s="15" t="str">
        <x:v>2 підтверджених перемог/договорів у Prozorro на 135 044 грн; 2 проєктів зі строком виконання не раніше 24.08.2026.</x:v>
      </x:c>
      <x:c r="Y343" s="15" t="str">
        <x:v>Послуги з розробки проектно - кошторисної документації по об'єкту "Монтаж та встановлення резервного джерела живлення сонячної електростанції (СЕС) на покрівлях будівлі корпусу №4 та покрівлі поліклінічного корпусу, за адресою: м. Суми, вул. Марка Вовчка, 2"; строк до 2026-12-31. Попросити один знеособлений пакет здачі за цим workflow.</x:v>
      </x:c>
      <x:c r="Z343" s="15" t="str">
        <x:v>https://prozorro.gov.ua/tender/UA-2026-08-14-006586-a</x:v>
      </x:c>
      <x:c r="AA343" s="14" t="str">
        <x:v>3086618552</x:v>
      </x:c>
      <x:c r="AB343" s="14" t="str">
        <x:v>2026-08-24</x:v>
      </x:c>
      <x:c r="AC343" s="14" t="str"/>
      <x:c r="AD343" s="20" t="str"/>
      <x:c r="AE343" s="14" t="str"/>
      <x:c r="AF343" s="14" t="n">
        <x:v>66</x:v>
      </x:c>
      <x:c r="AG343" s="14" t="str">
        <x:v>I2</x:v>
      </x:c>
      <x:c r="AH343" s="14" t="n">
        <x:v>2</x:v>
      </x:c>
      <x:c r="AI343" s="14" t="n">
        <x:v>2</x:v>
      </x:c>
      <x:c r="AJ343" s="18" t="n">
        <x:v>135044</x:v>
      </x:c>
      <x:c r="AK343" s="14" t="str">
        <x:v>https://prozorro.gov.ua/tender/UA-2026-08-14-006586-a</x:v>
      </x:c>
      <x:c r="AL343" s="19" t="n">
        <x:v>46248.4419971875</x:v>
      </x:c>
      <x:c r="AM343" s="19" t="n">
        <x:v>46387</x:v>
      </x:c>
      <x:c r="AN343" s="15" t="str">
        <x:v>Сонячна енергетика; Газопостачання / котельні</x:v>
      </x:c>
      <x:c r="AO343" s="15" t="str">
        <x:v>not_found_in_top_search</x:v>
      </x:c>
    </x:row>
    <x:row r="344">
      <x:c r="A344" s="14" t="str">
        <x:v>W3-072</x:v>
      </x:c>
      <x:c r="B344" s="14" t="str">
        <x:v>Prozorro winners — 24.08</x:v>
      </x:c>
      <x:c r="C344" s="14" t="str">
        <x:v>ТОВАРИСТВО З ОБМЕЖЕНОЮ ВІДПОВІДАЛЬНІСТЮ "ВИРОБНИЧО-КОМЕРЦІЙНЕ ПІДПРИЄМСТВО "СУЧАСНІ ЕНЕРГЕТИЧНІ ТЕХНОЛОГІЇ"</x:v>
      </x:c>
      <x:c r="D344" s="14" t="str">
        <x:v>Сонячна енергетика</x:v>
      </x:c>
      <x:c r="E344" s="14" t="str">
        <x:v>Expansion discovery</x:v>
      </x:c>
      <x:c r="F344" s="17" t="str">
        <x:f>IF(E344="Pilot now",IF(P344&gt;=84,"P1",IF(P344&gt;=72,"P2","P3")),IF(E344="Expansion discovery",IF(Q344&gt;=88,"D1",IF(Q344&gt;=78,"D2","D3")),IF(E344="Later / requirements","L","Legacy")))</x:f>
        <x:v>D2</x:v>
      </x:c>
      <x:c r="G344" s="14" t="str"/>
      <x:c r="H344" s="14" t="str">
        <x:v>Discovery розширення — 2 тижні</x:v>
      </x:c>
      <x:c r="I344" s="16" t="n">
        <x:v>1</x:v>
      </x:c>
      <x:c r="J344" s="16" t="n">
        <x:v>5</x:v>
      </x:c>
      <x:c r="K344" s="16" t="n">
        <x:v>4</x:v>
      </x:c>
      <x:c r="L344" s="16" t="n">
        <x:v>2</x:v>
      </x:c>
      <x:c r="M344" s="16" t="n">
        <x:v>5</x:v>
      </x:c>
      <x:c r="N344" s="16" t="n">
        <x:v>5</x:v>
      </x:c>
      <x:c r="O344" s="16" t="n">
        <x:v>5</x:v>
      </x:c>
      <x:c r="P344" s="16" t="n">
        <x:f>IF(COUNT(I344:O344)&lt;7,"",I344*8+J344*3+K344*2+L344*2+M344*2+N344*2+O344)</x:f>
        <x:v>60</x:v>
      </x:c>
      <x:c r="Q344" s="16" t="n">
        <x:f>IF(COUNT(J344:O344)&lt;6,"",J344*5+K344*4+M344*4+L344*3+N344*2+O344*2)</x:f>
        <x:v>87</x:v>
      </x:c>
      <x:c r="R344" s="14" t="str">
        <x:v>high</x:v>
      </x:c>
      <x:c r="S344" s="14" t="str">
        <x:v>official_prozorro_award_2025_2026</x:v>
      </x:c>
      <x:c r="T344" s="14" t="str">
        <x:v>official_prozorro_api</x:v>
      </x:c>
      <x:c r="U344" s="14" t="str">
        <x:v>Не контактували</x:v>
      </x:c>
      <x:c r="V344" s="15" t="str">
        <x:v>Workflow-audit outreach по UA-2026-07-16-002118-a; попросити 1 пакет здачі та вимоги проєкту</x:v>
      </x:c>
      <x:c r="W344" s="15" t="str">
        <x:v>Власник / директор; керівник ПТО; відповідальний за договори</x:v>
      </x:c>
      <x:c r="X344" s="15" t="str">
        <x:v>2 підтверджених перемог/договорів у Prozorro на 120 852 грн; 2 проєктів зі строком виконання не раніше 24.08.2026.</x:v>
      </x:c>
      <x:c r="Y344" s="15" t="str">
        <x:v>монтаж сонячної електростанції; строк до 2026-12-31. Попросити один знеособлений пакет здачі за цим workflow.</x:v>
      </x:c>
      <x:c r="Z344" s="15" t="str">
        <x:v>https://prozorro.gov.ua/tender/UA-2026-07-16-002118-a</x:v>
      </x:c>
      <x:c r="AA344" s="14" t="str">
        <x:v>40395711</x:v>
      </x:c>
      <x:c r="AB344" s="14" t="str">
        <x:v>2026-08-24</x:v>
      </x:c>
      <x:c r="AC344" s="14" t="str"/>
      <x:c r="AD344" s="20" t="str"/>
      <x:c r="AE344" s="14" t="str"/>
      <x:c r="AF344" s="14" t="n">
        <x:v>66</x:v>
      </x:c>
      <x:c r="AG344" s="14" t="str">
        <x:v>I2</x:v>
      </x:c>
      <x:c r="AH344" s="14" t="n">
        <x:v>2</x:v>
      </x:c>
      <x:c r="AI344" s="14" t="n">
        <x:v>2</x:v>
      </x:c>
      <x:c r="AJ344" s="18" t="n">
        <x:v>120852</x:v>
      </x:c>
      <x:c r="AK344" s="14" t="str">
        <x:v>https://prozorro.gov.ua/tender/UA-2026-07-16-002118-a</x:v>
      </x:c>
      <x:c r="AL344" s="19" t="n">
        <x:v>46219.321427800925</x:v>
      </x:c>
      <x:c r="AM344" s="19" t="n">
        <x:v>46387</x:v>
      </x:c>
      <x:c r="AN344" s="15" t="str">
        <x:v>Сонячна енергетика</x:v>
      </x:c>
      <x:c r="AO344" s="15" t="str">
        <x:v>not_found_in_top_search</x:v>
      </x:c>
    </x:row>
    <x:row r="345">
      <x:c r="A345" s="14" t="str">
        <x:v>W3-073</x:v>
      </x:c>
      <x:c r="B345" s="14" t="str">
        <x:v>Prozorro winners — 24.08</x:v>
      </x:c>
      <x:c r="C345" s="14" t="str">
        <x:v>АТ " Тернопільобленерго" Підволочиський РЕМ</x:v>
      </x:c>
      <x:c r="D345" s="14" t="str">
        <x:v>Електромонтаж</x:v>
      </x:c>
      <x:c r="E345" s="14" t="str">
        <x:v>Pilot now</x:v>
      </x:c>
      <x:c r="F345" s="17" t="str">
        <x:f>IF(E345="Pilot now",IF(P345&gt;=84,"P1",IF(P345&gt;=72,"P2","P3")),IF(E345="Expansion discovery",IF(Q345&gt;=88,"D1",IF(Q345&gt;=78,"D2","D3")),IF(E345="Later / requirements","L","Legacy")))</x:f>
        <x:v>P1</x:v>
      </x:c>
      <x:c r="G345" s="14" t="str"/>
      <x:c r="H345" s="14" t="str">
        <x:v>Пілот зараз — Н.15</x:v>
      </x:c>
      <x:c r="I345" s="16" t="n">
        <x:v>5</x:v>
      </x:c>
      <x:c r="J345" s="16" t="n">
        <x:v>5</x:v>
      </x:c>
      <x:c r="K345" s="16" t="n">
        <x:v>5</x:v>
      </x:c>
      <x:c r="L345" s="16" t="n">
        <x:v>2</x:v>
      </x:c>
      <x:c r="M345" s="16" t="n">
        <x:v>5</x:v>
      </x:c>
      <x:c r="N345" s="16" t="n">
        <x:v>5</x:v>
      </x:c>
      <x:c r="O345" s="16" t="n">
        <x:v>5</x:v>
      </x:c>
      <x:c r="P345" s="16" t="n">
        <x:f>IF(COUNT(I345:O345)&lt;7,"",I345*8+J345*3+K345*2+L345*2+M345*2+N345*2+O345)</x:f>
        <x:v>94</x:v>
      </x:c>
      <x:c r="Q345" s="16" t="n">
        <x:f>IF(COUNT(J345:O345)&lt;6,"",J345*5+K345*4+M345*4+L345*3+N345*2+O345*2)</x:f>
        <x:v>91</x:v>
      </x:c>
      <x:c r="R345" s="14" t="str">
        <x:v>high</x:v>
      </x:c>
      <x:c r="S345" s="14" t="str">
        <x:v>official_prozorro_award_2025_2026</x:v>
      </x:c>
      <x:c r="T345" s="14" t="str">
        <x:v>official_prozorro_api</x:v>
      </x:c>
      <x:c r="U345" s="14" t="str">
        <x:v>Не контактували</x:v>
      </x:c>
      <x:c r="V345" s="15" t="str">
        <x:v>Персоналізований free-pilot outreach по UA-2026-08-17-008334-a; попросити 1 пакет Н.14/Н.15</x:v>
      </x:c>
      <x:c r="W345" s="15" t="str">
        <x:v>Власник / директор; керівник ПТО; відповідальний за договори</x:v>
      </x:c>
      <x:c r="X345" s="15" t="str">
        <x:v>2 підтверджених перемог/договорів у Prozorro на 112 928 грн; 2 проєктів зі строком виконання не раніше 24.08.2026.</x:v>
      </x:c>
      <x:c r="Y345" s="15" t="str">
        <x:v>Електромонтажні роботи; строк до 2026-12-31. Попросити один знеособлений пакет здачі за цим workflow.</x:v>
      </x:c>
      <x:c r="Z345" s="15" t="str">
        <x:v>https://prozorro.gov.ua/tender/UA-2026-08-17-008334-a</x:v>
      </x:c>
      <x:c r="AA345" s="14" t="str">
        <x:v>00130725</x:v>
      </x:c>
      <x:c r="AB345" s="14" t="str">
        <x:v>2026-08-24</x:v>
      </x:c>
      <x:c r="AC345" s="14" t="str"/>
      <x:c r="AD345" s="20" t="str"/>
      <x:c r="AE345" s="14" t="str"/>
      <x:c r="AF345" s="14" t="n">
        <x:v>66</x:v>
      </x:c>
      <x:c r="AG345" s="14" t="str">
        <x:v>I2</x:v>
      </x:c>
      <x:c r="AH345" s="14" t="n">
        <x:v>2</x:v>
      </x:c>
      <x:c r="AI345" s="14" t="n">
        <x:v>2</x:v>
      </x:c>
      <x:c r="AJ345" s="18" t="n">
        <x:v>112928.18</x:v>
      </x:c>
      <x:c r="AK345" s="14" t="str">
        <x:v>https://prozorro.gov.ua/tender/UA-2026-08-17-008334-a</x:v>
      </x:c>
      <x:c r="AL345" s="19" t="n">
        <x:v>46251.498970740744</x:v>
      </x:c>
      <x:c r="AM345" s="19" t="n">
        <x:v>46387</x:v>
      </x:c>
      <x:c r="AN345" s="15" t="str">
        <x:v>Електромонтаж</x:v>
      </x:c>
      <x:c r="AO345" s="15" t="str">
        <x:v>not_found_in_top_search</x:v>
      </x:c>
    </x:row>
    <x:row r="346">
      <x:c r="A346" s="14" t="str">
        <x:v>W3-074</x:v>
      </x:c>
      <x:c r="B346" s="14" t="str">
        <x:v>Prozorro winners — 24.08</x:v>
      </x:c>
      <x:c r="C346" s="14" t="str">
        <x:v>ТОВ "Гранд інжиніринг Україна"</x:v>
      </x:c>
      <x:c r="D346" s="14" t="str">
        <x:v>Газопостачання / котельні</x:v>
      </x:c>
      <x:c r="E346" s="14" t="str">
        <x:v>Expansion discovery</x:v>
      </x:c>
      <x:c r="F346" s="17" t="str">
        <x:f>IF(E346="Pilot now",IF(P346&gt;=84,"P1",IF(P346&gt;=72,"P2","P3")),IF(E346="Expansion discovery",IF(Q346&gt;=88,"D1",IF(Q346&gt;=78,"D2","D3")),IF(E346="Later / requirements","L","Legacy")))</x:f>
        <x:v>D2</x:v>
      </x:c>
      <x:c r="G346" s="14" t="str"/>
      <x:c r="H346" s="14" t="str">
        <x:v>Discovery розширення — 2 тижні</x:v>
      </x:c>
      <x:c r="I346" s="16" t="n">
        <x:v>1</x:v>
      </x:c>
      <x:c r="J346" s="16" t="n">
        <x:v>5</x:v>
      </x:c>
      <x:c r="K346" s="16" t="n">
        <x:v>4</x:v>
      </x:c>
      <x:c r="L346" s="16" t="n">
        <x:v>1</x:v>
      </x:c>
      <x:c r="M346" s="16" t="n">
        <x:v>5</x:v>
      </x:c>
      <x:c r="N346" s="16" t="n">
        <x:v>5</x:v>
      </x:c>
      <x:c r="O346" s="16" t="n">
        <x:v>5</x:v>
      </x:c>
      <x:c r="P346" s="16" t="n">
        <x:f>IF(COUNT(I346:O346)&lt;7,"",I346*8+J346*3+K346*2+L346*2+M346*2+N346*2+O346)</x:f>
        <x:v>58</x:v>
      </x:c>
      <x:c r="Q346" s="16" t="n">
        <x:f>IF(COUNT(J346:O346)&lt;6,"",J346*5+K346*4+M346*4+L346*3+N346*2+O346*2)</x:f>
        <x:v>84</x:v>
      </x:c>
      <x:c r="R346" s="14" t="str">
        <x:v>high</x:v>
      </x:c>
      <x:c r="S346" s="14" t="str">
        <x:v>official_prozorro_award_2025_2026</x:v>
      </x:c>
      <x:c r="T346" s="14" t="str">
        <x:v>official_prozorro_api</x:v>
      </x:c>
      <x:c r="U346" s="14" t="str">
        <x:v>Не контактували</x:v>
      </x:c>
      <x:c r="V346" s="15" t="str">
        <x:v>Workflow-audit outreach по UA-2026-05-14-009008-a; попросити 1 пакет здачі та вимоги проєкту</x:v>
      </x:c>
      <x:c r="W346" s="15" t="str">
        <x:v>Власник / директор; керівник ПТО; відповідальний за договори</x:v>
      </x:c>
      <x:c r="X346" s="15" t="str">
        <x:v>3 підтверджених перемог/договорів у Prozorro на 69 010 грн; 3 проєктів зі строком виконання не раніше 24.08.2026.</x:v>
      </x:c>
      <x:c r="Y346" s="15" t="str">
        <x:v>Роботи по демонтажу, державній повірці у відповідній лабораторії  та монтажу  лічильника газу, GPRS модему  ТКБ  в котельні  №2 ліцею.; строк до 2026-10-01. Попросити один знеособлений пакет здачі за цим workflow.</x:v>
      </x:c>
      <x:c r="Z346" s="15" t="str">
        <x:v>https://prozorro.gov.ua/tender/UA-2026-05-14-009008-a</x:v>
      </x:c>
      <x:c r="AA346" s="14" t="str">
        <x:v>36577370</x:v>
      </x:c>
      <x:c r="AB346" s="14" t="str">
        <x:v>2026-08-24</x:v>
      </x:c>
      <x:c r="AC346" s="14" t="str"/>
      <x:c r="AD346" s="20" t="str"/>
      <x:c r="AE346" s="14" t="str"/>
      <x:c r="AF346" s="14" t="n">
        <x:v>66</x:v>
      </x:c>
      <x:c r="AG346" s="14" t="str">
        <x:v>I2</x:v>
      </x:c>
      <x:c r="AH346" s="14" t="n">
        <x:v>3</x:v>
      </x:c>
      <x:c r="AI346" s="14" t="n">
        <x:v>3</x:v>
      </x:c>
      <x:c r="AJ346" s="18" t="n">
        <x:v>69010</x:v>
      </x:c>
      <x:c r="AK346" s="14" t="str">
        <x:v>https://prozorro.gov.ua/tender/UA-2026-05-14-009008-a</x:v>
      </x:c>
      <x:c r="AL346" s="19" t="n">
        <x:v>46156.48084564815</x:v>
      </x:c>
      <x:c r="AM346" s="19" t="n">
        <x:v>46296.4825</x:v>
      </x:c>
      <x:c r="AN346" s="15" t="str">
        <x:v>Газопостачання / котельні</x:v>
      </x:c>
      <x:c r="AO346" s="15" t="str">
        <x:v>not_found_in_top_search</x:v>
      </x:c>
    </x:row>
    <x:row r="347">
      <x:c r="A347" s="14" t="str">
        <x:v>W3-075</x:v>
      </x:c>
      <x:c r="B347" s="14" t="str">
        <x:v>Prozorro winners — 24.08</x:v>
      </x:c>
      <x:c r="C347" s="14" t="str">
        <x:v>ПРИВАТНЕ ПІДПРИЄМСТВО "ЕКОХІМСЕРВІС"</x:v>
      </x:c>
      <x:c r="D347" s="14" t="str">
        <x:v>Водоочищення / очисні споруди</x:v>
      </x:c>
      <x:c r="E347" s="14" t="str">
        <x:v>Expansion discovery</x:v>
      </x:c>
      <x:c r="F347" s="17" t="str">
        <x:f>IF(E347="Pilot now",IF(P347&gt;=84,"P1",IF(P347&gt;=72,"P2","P3")),IF(E347="Expansion discovery",IF(Q347&gt;=88,"D1",IF(Q347&gt;=78,"D2","D3")),IF(E347="Later / requirements","L","Legacy")))</x:f>
        <x:v>D1</x:v>
      </x:c>
      <x:c r="G347" s="14" t="str"/>
      <x:c r="H347" s="14" t="str">
        <x:v>Discovery розширення — 2 тижні</x:v>
      </x:c>
      <x:c r="I347" s="16" t="n">
        <x:v>1</x:v>
      </x:c>
      <x:c r="J347" s="16" t="n">
        <x:v>5</x:v>
      </x:c>
      <x:c r="K347" s="16" t="n">
        <x:v>4</x:v>
      </x:c>
      <x:c r="L347" s="16" t="n">
        <x:v>3</x:v>
      </x:c>
      <x:c r="M347" s="16" t="n">
        <x:v>5</x:v>
      </x:c>
      <x:c r="N347" s="16" t="n">
        <x:v>5</x:v>
      </x:c>
      <x:c r="O347" s="16" t="n">
        <x:v>5</x:v>
      </x:c>
      <x:c r="P347" s="16" t="n">
        <x:f>IF(COUNT(I347:O347)&lt;7,"",I347*8+J347*3+K347*2+L347*2+M347*2+N347*2+O347)</x:f>
        <x:v>62</x:v>
      </x:c>
      <x:c r="Q347" s="16" t="n">
        <x:f>IF(COUNT(J347:O347)&lt;6,"",J347*5+K347*4+M347*4+L347*3+N347*2+O347*2)</x:f>
        <x:v>90</x:v>
      </x:c>
      <x:c r="R347" s="14" t="str">
        <x:v>high</x:v>
      </x:c>
      <x:c r="S347" s="14" t="str">
        <x:v>official_prozorro_award_2025_2026</x:v>
      </x:c>
      <x:c r="T347" s="14" t="str">
        <x:v>official_prozorro_api</x:v>
      </x:c>
      <x:c r="U347" s="14" t="str">
        <x:v>Не контактували</x:v>
      </x:c>
      <x:c r="V347" s="15" t="str">
        <x:v>Workflow-audit outreach по UA-2026-08-20-012943-a; попросити 1 пакет здачі та вимоги проєкту</x:v>
      </x:c>
      <x:c r="W347" s="15" t="str">
        <x:v>Власник / директор; керівник ПТО; відповідальний за договори</x:v>
      </x:c>
      <x:c r="X347" s="15" t="str">
        <x:v>2 підтверджених перемог/договорів у Prozorro на 1 534 517 грн; 1 проєктів зі строком виконання не раніше 24.08.2026.</x:v>
      </x:c>
      <x:c r="Y347" s="15" t="str">
        <x:v>Розробка проектно-кошторисної документації з отриманням позитивного експертного звіту по об’єкту: «Реконструкція каналізаційних очисних споруд КП ПОР «ПОЛТАВАВОДОКАНАЛ» по вул. Івана Посяди в м. Зіньків Полтавського району Полтавської області»; строк до 2026-12-31. Попросити один знеособлений пакет здачі за цим workflow.</x:v>
      </x:c>
      <x:c r="Z347" s="15" t="str">
        <x:v>https://prozorro.gov.ua/tender/UA-2026-08-20-012943-a</x:v>
      </x:c>
      <x:c r="AA347" s="14" t="str">
        <x:v>39365715</x:v>
      </x:c>
      <x:c r="AB347" s="14" t="str">
        <x:v>2026-08-24</x:v>
      </x:c>
      <x:c r="AC347" s="14" t="str"/>
      <x:c r="AD347" s="20" t="str"/>
      <x:c r="AE347" s="14" t="str"/>
      <x:c r="AF347" s="14" t="n">
        <x:v>65</x:v>
      </x:c>
      <x:c r="AG347" s="14" t="str">
        <x:v>I2</x:v>
      </x:c>
      <x:c r="AH347" s="14" t="n">
        <x:v>2</x:v>
      </x:c>
      <x:c r="AI347" s="14" t="n">
        <x:v>1</x:v>
      </x:c>
      <x:c r="AJ347" s="18" t="n">
        <x:v>1534517.03</x:v>
      </x:c>
      <x:c r="AK347" s="14" t="str">
        <x:v>https://prozorro.gov.ua/tender/UA-2026-08-20-012943-a</x:v>
      </x:c>
      <x:c r="AL347" s="19" t="n">
        <x:v>46254.59984137731</x:v>
      </x:c>
      <x:c r="AM347" s="19" t="n">
        <x:v>46387</x:v>
      </x:c>
      <x:c r="AN347" s="15" t="str">
        <x:v>Водоочищення / очисні споруди</x:v>
      </x:c>
      <x:c r="AO347" s="15" t="str">
        <x:v>not_found_in_top_search</x:v>
      </x:c>
    </x:row>
    <x:row r="348">
      <x:c r="A348" s="14" t="str">
        <x:v>W3-076</x:v>
      </x:c>
      <x:c r="B348" s="14" t="str">
        <x:v>Prozorro winners — 24.08</x:v>
      </x:c>
      <x:c r="C348" s="14" t="str">
        <x:v>Товариство з обмеженою відповідальністю «УкрМонтажБудІнвест»</x:v>
      </x:c>
      <x:c r="D348" s="14" t="str">
        <x:v>ГНБ / безтраншейні роботи</x:v>
      </x:c>
      <x:c r="E348" s="14" t="str">
        <x:v>Expansion discovery</x:v>
      </x:c>
      <x:c r="F348" s="17" t="str">
        <x:f>IF(E348="Pilot now",IF(P348&gt;=84,"P1",IF(P348&gt;=72,"P2","P3")),IF(E348="Expansion discovery",IF(Q348&gt;=88,"D1",IF(Q348&gt;=78,"D2","D3")),IF(E348="Later / requirements","L","Legacy")))</x:f>
        <x:v>D1</x:v>
      </x:c>
      <x:c r="G348" s="14" t="str"/>
      <x:c r="H348" s="14" t="str">
        <x:v>Discovery розширення — 2 тижні</x:v>
      </x:c>
      <x:c r="I348" s="16" t="n">
        <x:v>1</x:v>
      </x:c>
      <x:c r="J348" s="16" t="n">
        <x:v>5</x:v>
      </x:c>
      <x:c r="K348" s="16" t="n">
        <x:v>4</x:v>
      </x:c>
      <x:c r="L348" s="16" t="n">
        <x:v>5</x:v>
      </x:c>
      <x:c r="M348" s="16" t="n">
        <x:v>5</x:v>
      </x:c>
      <x:c r="N348" s="16" t="n">
        <x:v>5</x:v>
      </x:c>
      <x:c r="O348" s="16" t="n">
        <x:v>5</x:v>
      </x:c>
      <x:c r="P348" s="16" t="n">
        <x:f>IF(COUNT(I348:O348)&lt;7,"",I348*8+J348*3+K348*2+L348*2+M348*2+N348*2+O348)</x:f>
        <x:v>66</x:v>
      </x:c>
      <x:c r="Q348" s="16" t="n">
        <x:f>IF(COUNT(J348:O348)&lt;6,"",J348*5+K348*4+M348*4+L348*3+N348*2+O348*2)</x:f>
        <x:v>96</x:v>
      </x:c>
      <x:c r="R348" s="14" t="str">
        <x:v>high</x:v>
      </x:c>
      <x:c r="S348" s="14" t="str">
        <x:v>official_prozorro_award_2025_2026</x:v>
      </x:c>
      <x:c r="T348" s="14" t="str">
        <x:v>official_prozorro_api</x:v>
      </x:c>
      <x:c r="U348" s="14" t="str">
        <x:v>Не контактували</x:v>
      </x:c>
      <x:c r="V348" s="15" t="str">
        <x:v>Workflow-audit outreach по UA-2026-03-26-003194-a; попросити 1 пакет здачі та вимоги проєкту</x:v>
      </x:c>
      <x:c r="W348" s="15" t="str">
        <x:v>Власник / директор; керівник ПТО; відповідальний за договори</x:v>
      </x:c>
      <x:c r="X348" s="15" t="str">
        <x:v>6 підтверджених перемог/договорів у Prozorro на 28 901 700 грн; 0 проєктів зі строком виконання не раніше 24.08.2026.</x:v>
      </x:c>
      <x:c r="Y348" s="15" t="str">
        <x:v>Послуги з заміни  трубопроводу із поліетиленових труб ПЕ100, SDR-17, діаметром 90 мм та діаметром 110 мм, загальною протяжністю 245м методом горизонтально направленого буріння при реконструкції ділянки водопровідної мережі по  вул. Карбана протяжністю 1100 м в м. Миргород, Полтавської області; строк до 2026-04-30. Попросити один знеособлений пакет здачі за цим workflow.</x:v>
      </x:c>
      <x:c r="Z348" s="15" t="str">
        <x:v>https://prozorro.gov.ua/tender/UA-2026-03-26-003194-a</x:v>
      </x:c>
      <x:c r="AA348" s="14" t="str">
        <x:v>44176751</x:v>
      </x:c>
      <x:c r="AB348" s="14" t="str">
        <x:v>2026-08-24</x:v>
      </x:c>
      <x:c r="AC348" s="14" t="str"/>
      <x:c r="AD348" s="20" t="str"/>
      <x:c r="AE348" s="14" t="str"/>
      <x:c r="AF348" s="14" t="n">
        <x:v>64</x:v>
      </x:c>
      <x:c r="AG348" s="14" t="str">
        <x:v>I2</x:v>
      </x:c>
      <x:c r="AH348" s="14" t="n">
        <x:v>6</x:v>
      </x:c>
      <x:c r="AI348" s="14" t="n">
        <x:v>0</x:v>
      </x:c>
      <x:c r="AJ348" s="18" t="n">
        <x:v>28901700.31</x:v>
      </x:c>
      <x:c r="AK348" s="14" t="str">
        <x:v>https://prozorro.gov.ua/tender/UA-2026-03-26-003194-a</x:v>
      </x:c>
      <x:c r="AL348" s="19" t="n">
        <x:v>46107.36592069444</x:v>
      </x:c>
      <x:c r="AM348" s="19" t="n">
        <x:v>46142.32439814815</x:v>
      </x:c>
      <x:c r="AN348" s="15" t="str">
        <x:v>ГНБ / безтраншейні роботи</x:v>
      </x:c>
      <x:c r="AO348" s="15" t="str">
        <x:v>not_found_in_top_search</x:v>
      </x:c>
    </x:row>
    <x:row r="349">
      <x:c r="A349" s="14" t="str">
        <x:v>W3-077</x:v>
      </x:c>
      <x:c r="B349" s="14" t="str">
        <x:v>Prozorro winners — 24.08</x:v>
      </x:c>
      <x:c r="C349" s="14" t="str">
        <x:v>ПРИВАТНЕ АКЦІОНЕРНЕ ТОВАРИСТВО «УКРГІДРОПРОЕКТ»</x:v>
      </x:c>
      <x:c r="D349" s="14" t="str">
        <x:v>Ремонт і підсилення бетону</x:v>
      </x:c>
      <x:c r="E349" s="14" t="str">
        <x:v>Expansion discovery</x:v>
      </x:c>
      <x:c r="F349" s="17" t="str">
        <x:f>IF(E349="Pilot now",IF(P349&gt;=84,"P1",IF(P349&gt;=72,"P2","P3")),IF(E349="Expansion discovery",IF(Q349&gt;=88,"D1",IF(Q349&gt;=78,"D2","D3")),IF(E349="Later / requirements","L","Legacy")))</x:f>
        <x:v>D1</x:v>
      </x:c>
      <x:c r="G349" s="14" t="str"/>
      <x:c r="H349" s="14" t="str">
        <x:v>Discovery розширення — 2 тижні</x:v>
      </x:c>
      <x:c r="I349" s="16" t="n">
        <x:v>1</x:v>
      </x:c>
      <x:c r="J349" s="16" t="n">
        <x:v>5</x:v>
      </x:c>
      <x:c r="K349" s="16" t="n">
        <x:v>4</x:v>
      </x:c>
      <x:c r="L349" s="16" t="n">
        <x:v>5</x:v>
      </x:c>
      <x:c r="M349" s="16" t="n">
        <x:v>5</x:v>
      </x:c>
      <x:c r="N349" s="16" t="n">
        <x:v>5</x:v>
      </x:c>
      <x:c r="O349" s="16" t="n">
        <x:v>5</x:v>
      </x:c>
      <x:c r="P349" s="16" t="n">
        <x:f>IF(COUNT(I349:O349)&lt;7,"",I349*8+J349*3+K349*2+L349*2+M349*2+N349*2+O349)</x:f>
        <x:v>66</x:v>
      </x:c>
      <x:c r="Q349" s="16" t="n">
        <x:f>IF(COUNT(J349:O349)&lt;6,"",J349*5+K349*4+M349*4+L349*3+N349*2+O349*2)</x:f>
        <x:v>96</x:v>
      </x:c>
      <x:c r="R349" s="14" t="str">
        <x:v>high</x:v>
      </x:c>
      <x:c r="S349" s="14" t="str">
        <x:v>official_prozorro_award_2025_2026</x:v>
      </x:c>
      <x:c r="T349" s="14" t="str">
        <x:v>official_prozorro_api</x:v>
      </x:c>
      <x:c r="U349" s="14" t="str">
        <x:v>Не контактували</x:v>
      </x:c>
      <x:c r="V349" s="15" t="str">
        <x:v>Workflow-audit outreach по UA-2026-02-10-007738-a; попросити 1 пакет здачі та вимоги проєкту</x:v>
      </x:c>
      <x:c r="W349" s="15" t="str">
        <x:v>Власник / директор; керівник ПТО; відповідальний за договори</x:v>
      </x:c>
      <x:c r="X349" s="15" t="str">
        <x:v>3 підтверджених перемог/договорів у Prozorro на 16 181 327 грн; 1 проєктів зі строком виконання не раніше 24.08.2026.</x:v>
      </x:c>
      <x:c r="Y349" s="15" t="str">
        <x:v>ДК 021:2015 код 71310000-4 Консультаційні послуги у галузях інженерії та будівництва (Проведення експертизи проєкту: «Протидроновий захист будівлі ГЕС. Підсилення залізобетонних конструкцій філії "Кременчуцька ГЕС" ПрАТ "Укргідроенерго". Реконструкція»); строк до 2026-06-30. Попросити один знеособлений пакет здачі за цим workflow.</x:v>
      </x:c>
      <x:c r="Z349" s="15" t="str">
        <x:v>https://prozorro.gov.ua/tender/UA-2026-02-10-007738-a</x:v>
      </x:c>
      <x:c r="AA349" s="14" t="str">
        <x:v>00114117</x:v>
      </x:c>
      <x:c r="AB349" s="14" t="str">
        <x:v>2026-08-24</x:v>
      </x:c>
      <x:c r="AC349" s="14" t="str"/>
      <x:c r="AD349" s="20" t="str"/>
      <x:c r="AE349" s="14" t="str"/>
      <x:c r="AF349" s="14" t="n">
        <x:v>64</x:v>
      </x:c>
      <x:c r="AG349" s="14" t="str">
        <x:v>I2</x:v>
      </x:c>
      <x:c r="AH349" s="14" t="n">
        <x:v>3</x:v>
      </x:c>
      <x:c r="AI349" s="14" t="n">
        <x:v>1</x:v>
      </x:c>
      <x:c r="AJ349" s="18" t="n">
        <x:v>16181326.8</x:v>
      </x:c>
      <x:c r="AK349" s="14" t="str">
        <x:v>https://prozorro.gov.ua/tender/UA-2026-02-10-007738-a</x:v>
      </x:c>
      <x:c r="AL349" s="19" t="n">
        <x:v>46063.44981295139</x:v>
      </x:c>
      <x:c r="AM349" s="19" t="n">
        <x:v>46203</x:v>
      </x:c>
      <x:c r="AN349" s="15" t="str">
        <x:v>Ремонт і підсилення бетону</x:v>
      </x:c>
      <x:c r="AO349" s="15" t="str">
        <x:v>not_found_in_top_search</x:v>
      </x:c>
    </x:row>
    <x:row r="350">
      <x:c r="A350" s="14" t="str">
        <x:v>W3-078</x:v>
      </x:c>
      <x:c r="B350" s="14" t="str">
        <x:v>Prozorro winners — 24.08</x:v>
      </x:c>
      <x:c r="C350" s="14" t="str">
        <x:v>ТОВ СК ГРУПС</x:v>
      </x:c>
      <x:c r="D350" s="14" t="str">
        <x:v>Насосні станції</x:v>
      </x:c>
      <x:c r="E350" s="14" t="str">
        <x:v>Expansion discovery</x:v>
      </x:c>
      <x:c r="F350" s="17" t="str">
        <x:f>IF(E350="Pilot now",IF(P350&gt;=84,"P1",IF(P350&gt;=72,"P2","P3")),IF(E350="Expansion discovery",IF(Q350&gt;=88,"D1",IF(Q350&gt;=78,"D2","D3")),IF(E350="Later / requirements","L","Legacy")))</x:f>
        <x:v>D1</x:v>
      </x:c>
      <x:c r="G350" s="14" t="str"/>
      <x:c r="H350" s="14" t="str">
        <x:v>Discovery розширення — 2 тижні</x:v>
      </x:c>
      <x:c r="I350" s="16" t="n">
        <x:v>1</x:v>
      </x:c>
      <x:c r="J350" s="16" t="n">
        <x:v>5</x:v>
      </x:c>
      <x:c r="K350" s="16" t="n">
        <x:v>4</x:v>
      </x:c>
      <x:c r="L350" s="16" t="n">
        <x:v>4</x:v>
      </x:c>
      <x:c r="M350" s="16" t="n">
        <x:v>5</x:v>
      </x:c>
      <x:c r="N350" s="16" t="n">
        <x:v>5</x:v>
      </x:c>
      <x:c r="O350" s="16" t="n">
        <x:v>5</x:v>
      </x:c>
      <x:c r="P350" s="16" t="n">
        <x:f>IF(COUNT(I350:O350)&lt;7,"",I350*8+J350*3+K350*2+L350*2+M350*2+N350*2+O350)</x:f>
        <x:v>64</x:v>
      </x:c>
      <x:c r="Q350" s="16" t="n">
        <x:f>IF(COUNT(J350:O350)&lt;6,"",J350*5+K350*4+M350*4+L350*3+N350*2+O350*2)</x:f>
        <x:v>93</x:v>
      </x:c>
      <x:c r="R350" s="14" t="str">
        <x:v>high</x:v>
      </x:c>
      <x:c r="S350" s="14" t="str">
        <x:v>official_prozorro_award_2025_2026</x:v>
      </x:c>
      <x:c r="T350" s="14" t="str">
        <x:v>official_prozorro_api</x:v>
      </x:c>
      <x:c r="U350" s="14" t="str">
        <x:v>Не контактували</x:v>
      </x:c>
      <x:c r="V350" s="15" t="str">
        <x:v>Workflow-audit outreach по UA-2026-06-26-004632-a; попросити 1 пакет здачі та вимоги проєкту</x:v>
      </x:c>
      <x:c r="W350" s="15" t="str">
        <x:v>Власник / директор; керівник ПТО; відповідальний за договори</x:v>
      </x:c>
      <x:c r="X350" s="15" t="str">
        <x:v>1 підтверджених перемог/договорів у Prozorro на 9 893 727 грн; 1 проєктів зі строком виконання не раніше 24.08.2026.</x:v>
      </x:c>
      <x:c r="Y350" s="15" t="str">
        <x:v>Реконструкція будівлі хлораторної  (літ. Б-1) під цех з виробництва низькоконцентрованого  гіпохлориту натрію на території водопровідної насосної станції "Ігрень" КП "Дніпроводоканал" по вул. Кокчетавській, 60 Н у м. Дніпрі (Код ДК 021:2015 45450000-6 – Інші завершальні будівельні роботи); строк до 2026-12-31. Попросити один знеособлений пакет здачі за цим workflow.</x:v>
      </x:c>
      <x:c r="Z350" s="15" t="str">
        <x:v>https://prozorro.gov.ua/tender/UA-2026-06-26-004632-a</x:v>
      </x:c>
      <x:c r="AA350" s="14" t="str">
        <x:v>37621413</x:v>
      </x:c>
      <x:c r="AB350" s="14" t="str">
        <x:v>2026-08-24</x:v>
      </x:c>
      <x:c r="AC350" s="14" t="str"/>
      <x:c r="AD350" s="20" t="str"/>
      <x:c r="AE350" s="14" t="str"/>
      <x:c r="AF350" s="14" t="n">
        <x:v>64</x:v>
      </x:c>
      <x:c r="AG350" s="14" t="str">
        <x:v>I2</x:v>
      </x:c>
      <x:c r="AH350" s="14" t="n">
        <x:v>1</x:v>
      </x:c>
      <x:c r="AI350" s="14" t="n">
        <x:v>1</x:v>
      </x:c>
      <x:c r="AJ350" s="18" t="n">
        <x:v>9893727.4</x:v>
      </x:c>
      <x:c r="AK350" s="14" t="str">
        <x:v>https://prozorro.gov.ua/tender/UA-2026-06-26-004632-a</x:v>
      </x:c>
      <x:c r="AL350" s="19" t="n">
        <x:v>46223.48230456019</x:v>
      </x:c>
      <x:c r="AM350" s="19" t="n">
        <x:v>46387</x:v>
      </x:c>
      <x:c r="AN350" s="15" t="str">
        <x:v>Насосні станції</x:v>
      </x:c>
      <x:c r="AO350" s="15" t="str">
        <x:v>not_found_in_top_search</x:v>
      </x:c>
    </x:row>
    <x:row r="351">
      <x:c r="A351" s="14" t="str">
        <x:v>W3-079</x:v>
      </x:c>
      <x:c r="B351" s="14" t="str">
        <x:v>Prozorro winners — 24.08</x:v>
      </x:c>
      <x:c r="C351" s="14" t="str">
        <x:v>ТОВАРИСТВО З ОБМЕЖЕНОЮ ВІДПОВІДАЛЬНІСТЮ "БУДІВЕЛЬНО-МОНТАЖНЕ ПІДПРИЄМСТВО-164"</x:v>
      </x:c>
      <x:c r="D351" s="14" t="str">
        <x:v>Теплові мережі</x:v>
      </x:c>
      <x:c r="E351" s="14" t="str">
        <x:v>Expansion discovery</x:v>
      </x:c>
      <x:c r="F351" s="17" t="str">
        <x:f>IF(E351="Pilot now",IF(P351&gt;=84,"P1",IF(P351&gt;=72,"P2","P3")),IF(E351="Expansion discovery",IF(Q351&gt;=88,"D1",IF(Q351&gt;=78,"D2","D3")),IF(E351="Later / requirements","L","Legacy")))</x:f>
        <x:v>D1</x:v>
      </x:c>
      <x:c r="G351" s="14" t="str"/>
      <x:c r="H351" s="14" t="str">
        <x:v>Discovery розширення — 2 тижні</x:v>
      </x:c>
      <x:c r="I351" s="16" t="n">
        <x:v>1</x:v>
      </x:c>
      <x:c r="J351" s="16" t="n">
        <x:v>5</x:v>
      </x:c>
      <x:c r="K351" s="16" t="n">
        <x:v>4</x:v>
      </x:c>
      <x:c r="L351" s="16" t="n">
        <x:v>4</x:v>
      </x:c>
      <x:c r="M351" s="16" t="n">
        <x:v>5</x:v>
      </x:c>
      <x:c r="N351" s="16" t="n">
        <x:v>5</x:v>
      </x:c>
      <x:c r="O351" s="16" t="n">
        <x:v>5</x:v>
      </x:c>
      <x:c r="P351" s="16" t="n">
        <x:f>IF(COUNT(I351:O351)&lt;7,"",I351*8+J351*3+K351*2+L351*2+M351*2+N351*2+O351)</x:f>
        <x:v>64</x:v>
      </x:c>
      <x:c r="Q351" s="16" t="n">
        <x:f>IF(COUNT(J351:O351)&lt;6,"",J351*5+K351*4+M351*4+L351*3+N351*2+O351*2)</x:f>
        <x:v>93</x:v>
      </x:c>
      <x:c r="R351" s="14" t="str">
        <x:v>high</x:v>
      </x:c>
      <x:c r="S351" s="14" t="str">
        <x:v>official_prozorro_award_2025_2026</x:v>
      </x:c>
      <x:c r="T351" s="14" t="str">
        <x:v>official_prozorro_api</x:v>
      </x:c>
      <x:c r="U351" s="14" t="str">
        <x:v>Не контактували</x:v>
      </x:c>
      <x:c r="V351" s="15" t="str">
        <x:v>Workflow-audit outreach по UA-2026-07-22-009419-a; попросити 1 пакет здачі та вимоги проєкту</x:v>
      </x:c>
      <x:c r="W351" s="15" t="str">
        <x:v>Власник / директор; керівник ПТО; відповідальний за договори</x:v>
      </x:c>
      <x:c r="X351" s="15" t="str">
        <x:v>1 підтверджених перемог/договорів у Prozorro на 5 451 000 грн; 1 проєктів зі строком виконання не раніше 24.08.2026.</x:v>
      </x:c>
      <x:c r="Y351" s="15" t="str">
        <x:v>Реконструкція (відновлення) теплових мереж від ЦТП 4/12 по вул. Тимошенко, 17/1 на ділянці  ТК1-ТК2-ТК3-ТК4 в м. Харкові (код ДК 021:2015 – 45454000 -4 - Реконструкція)
; строк до 2026-10-30. Попросити один знеособлений пакет здачі за цим workflow.</x:v>
      </x:c>
      <x:c r="Z351" s="15" t="str">
        <x:v>https://prozorro.gov.ua/tender/UA-2026-07-22-009419-a</x:v>
      </x:c>
      <x:c r="AA351" s="14" t="str">
        <x:v>33608607</x:v>
      </x:c>
      <x:c r="AB351" s="14" t="str">
        <x:v>2026-08-24</x:v>
      </x:c>
      <x:c r="AC351" s="14" t="str"/>
      <x:c r="AD351" s="20" t="str"/>
      <x:c r="AE351" s="14" t="str"/>
      <x:c r="AF351" s="14" t="n">
        <x:v>64</x:v>
      </x:c>
      <x:c r="AG351" s="14" t="str">
        <x:v>I2</x:v>
      </x:c>
      <x:c r="AH351" s="14" t="n">
        <x:v>1</x:v>
      </x:c>
      <x:c r="AI351" s="14" t="n">
        <x:v>1</x:v>
      </x:c>
      <x:c r="AJ351" s="18" t="n">
        <x:v>5451000</x:v>
      </x:c>
      <x:c r="AK351" s="14" t="str">
        <x:v>https://prozorro.gov.ua/tender/UA-2026-07-22-009419-a</x:v>
      </x:c>
      <x:c r="AL351" s="19" t="n">
        <x:v>46247.58374289352</x:v>
      </x:c>
      <x:c r="AM351" s="19" t="n">
        <x:v>46325.916655092595</x:v>
      </x:c>
      <x:c r="AN351" s="15" t="str">
        <x:v>Теплові мережі</x:v>
      </x:c>
      <x:c r="AO351" s="15" t="str">
        <x:v>not_found_in_top_search</x:v>
      </x:c>
    </x:row>
    <x:row r="352">
      <x:c r="A352" s="14" t="str">
        <x:v>W3-080</x:v>
      </x:c>
      <x:c r="B352" s="14" t="str">
        <x:v>Prozorro winners — 24.08</x:v>
      </x:c>
      <x:c r="C352" s="14" t="str">
        <x:v>ТОВ "БЕРГ ГРУПП"</x:v>
      </x:c>
      <x:c r="D352" s="14" t="str">
        <x:v>ГНБ / безтраншейні роботи</x:v>
      </x:c>
      <x:c r="E352" s="14" t="str">
        <x:v>Expansion discovery</x:v>
      </x:c>
      <x:c r="F352" s="17" t="str">
        <x:f>IF(E352="Pilot now",IF(P352&gt;=84,"P1",IF(P352&gt;=72,"P2","P3")),IF(E352="Expansion discovery",IF(Q352&gt;=88,"D1",IF(Q352&gt;=78,"D2","D3")),IF(E352="Later / requirements","L","Legacy")))</x:f>
        <x:v>D1</x:v>
      </x:c>
      <x:c r="G352" s="14" t="str"/>
      <x:c r="H352" s="14" t="str">
        <x:v>Discovery розширення — 2 тижні</x:v>
      </x:c>
      <x:c r="I352" s="16" t="n">
        <x:v>1</x:v>
      </x:c>
      <x:c r="J352" s="16" t="n">
        <x:v>5</x:v>
      </x:c>
      <x:c r="K352" s="16" t="n">
        <x:v>4</x:v>
      </x:c>
      <x:c r="L352" s="16" t="n">
        <x:v>4</x:v>
      </x:c>
      <x:c r="M352" s="16" t="n">
        <x:v>5</x:v>
      </x:c>
      <x:c r="N352" s="16" t="n">
        <x:v>5</x:v>
      </x:c>
      <x:c r="O352" s="16" t="n">
        <x:v>5</x:v>
      </x:c>
      <x:c r="P352" s="16" t="n">
        <x:f>IF(COUNT(I352:O352)&lt;7,"",I352*8+J352*3+K352*2+L352*2+M352*2+N352*2+O352)</x:f>
        <x:v>64</x:v>
      </x:c>
      <x:c r="Q352" s="16" t="n">
        <x:f>IF(COUNT(J352:O352)&lt;6,"",J352*5+K352*4+M352*4+L352*3+N352*2+O352*2)</x:f>
        <x:v>93</x:v>
      </x:c>
      <x:c r="R352" s="14" t="str">
        <x:v>high</x:v>
      </x:c>
      <x:c r="S352" s="14" t="str">
        <x:v>official_prozorro_award_2025_2026</x:v>
      </x:c>
      <x:c r="T352" s="14" t="str">
        <x:v>official_prozorro_api</x:v>
      </x:c>
      <x:c r="U352" s="14" t="str">
        <x:v>Не контактували</x:v>
      </x:c>
      <x:c r="V352" s="15" t="str">
        <x:v>Workflow-audit outreach по UA-2026-07-01-004063-a; попросити 1 пакет здачі та вимоги проєкту</x:v>
      </x:c>
      <x:c r="W352" s="15" t="str">
        <x:v>Власник / директор; керівник ПТО; відповідальний за договори</x:v>
      </x:c>
      <x:c r="X352" s="15" t="str">
        <x:v>1 підтверджених перемог/договорів у Prozorro на 4 801 000 грн; 1 проєктів зі строком виконання не раніше 24.08.2026.</x:v>
      </x:c>
      <x:c r="Y352" s="15" t="str">
        <x:v>26П-299_45230000-8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(ЛОТ №1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Харківської, Полтавської та Дніпропетровської областей)); (ЛОТ №2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Львівської та Івано-Франківської областей)); строк до 2027-12-31. Попросити один знеособлений пакет здачі за цим workflow.</x:v>
      </x:c>
      <x:c r="Z352" s="15" t="str">
        <x:v>https://prozorro.gov.ua/tender/UA-2026-07-01-004063-a</x:v>
      </x:c>
      <x:c r="AA352" s="14" t="str">
        <x:v>44980668</x:v>
      </x:c>
      <x:c r="AB352" s="14" t="str">
        <x:v>2026-08-24</x:v>
      </x:c>
      <x:c r="AC352" s="14" t="str"/>
      <x:c r="AD352" s="20" t="str"/>
      <x:c r="AE352" s="14" t="str"/>
      <x:c r="AF352" s="14" t="n">
        <x:v>64</x:v>
      </x:c>
      <x:c r="AG352" s="14" t="str">
        <x:v>I2</x:v>
      </x:c>
      <x:c r="AH352" s="14" t="n">
        <x:v>1</x:v>
      </x:c>
      <x:c r="AI352" s="14" t="n">
        <x:v>1</x:v>
      </x:c>
      <x:c r="AJ352" s="18" t="n">
        <x:v>4801000</x:v>
      </x:c>
      <x:c r="AK352" s="14" t="str">
        <x:v>https://prozorro.gov.ua/tender/UA-2026-07-01-004063-a</x:v>
      </x:c>
      <x:c r="AL352" s="19" t="n">
        <x:v>46246.239263993055</x:v>
      </x:c>
      <x:c r="AM352" s="19" t="n">
        <x:v>46752</x:v>
      </x:c>
      <x:c r="AN352" s="15" t="str">
        <x:v>ГНБ / безтраншейні роботи</x:v>
      </x:c>
      <x:c r="AO352" s="15" t="str">
        <x:v>not_found_in_top_search</x:v>
      </x:c>
    </x:row>
    <x:row r="353">
      <x:c r="A353" s="14" t="str">
        <x:v>W3-081</x:v>
      </x:c>
      <x:c r="B353" s="14" t="str">
        <x:v>Prozorro winners — 24.08</x:v>
      </x:c>
      <x:c r="C353" s="14" t="str">
        <x:v>Товариство з обмеженою відповідальністю «ЧЕРКАСИ ІНВЕСТ ГРУП»</x:v>
      </x:c>
      <x:c r="D353" s="14" t="str">
        <x:v>Водоочищення / очисні споруди</x:v>
      </x:c>
      <x:c r="E353" s="14" t="str">
        <x:v>Expansion discovery</x:v>
      </x:c>
      <x:c r="F353" s="17" t="str">
        <x:f>IF(E353="Pilot now",IF(P353&gt;=84,"P1",IF(P353&gt;=72,"P2","P3")),IF(E353="Expansion discovery",IF(Q353&gt;=88,"D1",IF(Q353&gt;=78,"D2","D3")),IF(E353="Later / requirements","L","Legacy")))</x:f>
        <x:v>D1</x:v>
      </x:c>
      <x:c r="G353" s="14" t="str"/>
      <x:c r="H353" s="14" t="str">
        <x:v>Discovery розширення — 2 тижні</x:v>
      </x:c>
      <x:c r="I353" s="16" t="n">
        <x:v>1</x:v>
      </x:c>
      <x:c r="J353" s="16" t="n">
        <x:v>5</x:v>
      </x:c>
      <x:c r="K353" s="16" t="n">
        <x:v>4</x:v>
      </x:c>
      <x:c r="L353" s="16" t="n">
        <x:v>4</x:v>
      </x:c>
      <x:c r="M353" s="16" t="n">
        <x:v>5</x:v>
      </x:c>
      <x:c r="N353" s="16" t="n">
        <x:v>5</x:v>
      </x:c>
      <x:c r="O353" s="16" t="n">
        <x:v>5</x:v>
      </x:c>
      <x:c r="P353" s="16" t="n">
        <x:f>IF(COUNT(I353:O353)&lt;7,"",I353*8+J353*3+K353*2+L353*2+M353*2+N353*2+O353)</x:f>
        <x:v>64</x:v>
      </x:c>
      <x:c r="Q353" s="16" t="n">
        <x:f>IF(COUNT(J353:O353)&lt;6,"",J353*5+K353*4+M353*4+L353*3+N353*2+O353*2)</x:f>
        <x:v>93</x:v>
      </x:c>
      <x:c r="R353" s="14" t="str">
        <x:v>high</x:v>
      </x:c>
      <x:c r="S353" s="14" t="str">
        <x:v>official_prozorro_award_2025_2026</x:v>
      </x:c>
      <x:c r="T353" s="14" t="str">
        <x:v>official_prozorro_api</x:v>
      </x:c>
      <x:c r="U353" s="14" t="str">
        <x:v>Не контактували</x:v>
      </x:c>
      <x:c r="V353" s="15" t="str">
        <x:v>Workflow-audit outreach по UA-2026-08-14-008241-a; попросити 1 пакет здачі та вимоги проєкту</x:v>
      </x:c>
      <x:c r="W353" s="15" t="str">
        <x:v>Власник / директор; керівник ПТО; відповідальний за договори</x:v>
      </x:c>
      <x:c r="X353" s="15" t="str">
        <x:v>1 підтверджених перемог/договорів у Prozorro на 3 126 183 грн; 1 проєктів зі строком виконання не раніше 24.08.2026.</x:v>
      </x:c>
      <x:c r="Y353" s="15" t="str">
        <x:v>Реконструкція з влаштуванням гідроізоляції очисних споруд стаціонару Шполянської центральної районної лікарні імені братів М. С. і О. С. Коломійченків по вул. Амосова, 10 в м. Шпола Черкаської області; строк до 2026-12-31. Попросити один знеособлений пакет здачі за цим workflow.</x:v>
      </x:c>
      <x:c r="Z353" s="15" t="str">
        <x:v>https://prozorro.gov.ua/tender/UA-2026-08-14-008241-a</x:v>
      </x:c>
      <x:c r="AA353" s="14" t="str">
        <x:v>45970582</x:v>
      </x:c>
      <x:c r="AB353" s="14" t="str">
        <x:v>2026-08-24</x:v>
      </x:c>
      <x:c r="AC353" s="14" t="str"/>
      <x:c r="AD353" s="20" t="str"/>
      <x:c r="AE353" s="14" t="str"/>
      <x:c r="AF353" s="14" t="n">
        <x:v>64</x:v>
      </x:c>
      <x:c r="AG353" s="14" t="str">
        <x:v>I2</x:v>
      </x:c>
      <x:c r="AH353" s="14" t="n">
        <x:v>1</x:v>
      </x:c>
      <x:c r="AI353" s="14" t="n">
        <x:v>1</x:v>
      </x:c>
      <x:c r="AJ353" s="18" t="n">
        <x:v>3126183.07</x:v>
      </x:c>
      <x:c r="AK353" s="14" t="str">
        <x:v>https://prozorro.gov.ua/tender/UA-2026-08-14-008241-a</x:v>
      </x:c>
      <x:c r="AL353" s="19" t="n">
        <x:v>46248.494667569445</x:v>
      </x:c>
      <x:c r="AM353" s="19" t="n">
        <x:v>46387.53597222222</x:v>
      </x:c>
      <x:c r="AN353" s="15" t="str">
        <x:v>Водоочищення / очисні споруди</x:v>
      </x:c>
      <x:c r="AO353" s="15" t="str">
        <x:v>not_found_in_top_search</x:v>
      </x:c>
    </x:row>
    <x:row r="354">
      <x:c r="A354" s="14" t="str">
        <x:v>W3-082</x:v>
      </x:c>
      <x:c r="B354" s="14" t="str">
        <x:v>Prozorro winners — 24.08</x:v>
      </x:c>
      <x:c r="C354" s="14" t="str">
        <x:v>ТОВ "ВВС-ЛТД"</x:v>
      </x:c>
      <x:c r="D354" s="14" t="str">
        <x:v>Мости / інфраструктура</x:v>
      </x:c>
      <x:c r="E354" s="14" t="str">
        <x:v>Expansion discovery</x:v>
      </x:c>
      <x:c r="F354" s="17" t="str">
        <x:f>IF(E354="Pilot now",IF(P354&gt;=84,"P1",IF(P354&gt;=72,"P2","P3")),IF(E354="Expansion discovery",IF(Q354&gt;=88,"D1",IF(Q354&gt;=78,"D2","D3")),IF(E354="Later / requirements","L","Legacy")))</x:f>
        <x:v>D1</x:v>
      </x:c>
      <x:c r="G354" s="14" t="str"/>
      <x:c r="H354" s="14" t="str">
        <x:v>Discovery розширення — 2 тижні</x:v>
      </x:c>
      <x:c r="I354" s="16" t="n">
        <x:v>1</x:v>
      </x:c>
      <x:c r="J354" s="16" t="n">
        <x:v>5</x:v>
      </x:c>
      <x:c r="K354" s="16" t="n">
        <x:v>4</x:v>
      </x:c>
      <x:c r="L354" s="16" t="n">
        <x:v>4</x:v>
      </x:c>
      <x:c r="M354" s="16" t="n">
        <x:v>5</x:v>
      </x:c>
      <x:c r="N354" s="16" t="n">
        <x:v>5</x:v>
      </x:c>
      <x:c r="O354" s="16" t="n">
        <x:v>5</x:v>
      </x:c>
      <x:c r="P354" s="16" t="n">
        <x:f>IF(COUNT(I354:O354)&lt;7,"",I354*8+J354*3+K354*2+L354*2+M354*2+N354*2+O354)</x:f>
        <x:v>64</x:v>
      </x:c>
      <x:c r="Q354" s="16" t="n">
        <x:f>IF(COUNT(J354:O354)&lt;6,"",J354*5+K354*4+M354*4+L354*3+N354*2+O354*2)</x:f>
        <x:v>93</x:v>
      </x:c>
      <x:c r="R354" s="14" t="str">
        <x:v>high</x:v>
      </x:c>
      <x:c r="S354" s="14" t="str">
        <x:v>official_prozorro_award_2025_2026</x:v>
      </x:c>
      <x:c r="T354" s="14" t="str">
        <x:v>official_prozorro_api</x:v>
      </x:c>
      <x:c r="U354" s="14" t="str">
        <x:v>Не контактували</x:v>
      </x:c>
      <x:c r="V354" s="15" t="str">
        <x:v>Workflow-audit outreach по UA-2026-07-23-009360-a; попросити 1 пакет здачі та вимоги проєкту</x:v>
      </x:c>
      <x:c r="W354" s="15" t="str">
        <x:v>Власник / директор; керівник ПТО; відповідальний за договори</x:v>
      </x:c>
      <x:c r="X354" s="15" t="str">
        <x:v>1 підтверджених перемог/договорів у Prozorro на 2 111 844 грн; 1 проєктів зі строком виконання не раніше 24.08.2026.</x:v>
      </x:c>
      <x:c r="Y354" s="15" t="str">
        <x:v>«Капітальний ремонт пішохідного мосту через річку Устя в районі стадіону "Авангард" у місті Рівному»; строк до 2027-12-24. Попросити один знеособлений пакет здачі за цим workflow.</x:v>
      </x:c>
      <x:c r="Z354" s="15" t="str">
        <x:v>https://prozorro.gov.ua/tender/UA-2026-07-23-009360-a</x:v>
      </x:c>
      <x:c r="AA354" s="14" t="str">
        <x:v>39555742</x:v>
      </x:c>
      <x:c r="AB354" s="14" t="str">
        <x:v>2026-08-24</x:v>
      </x:c>
      <x:c r="AC354" s="14" t="str"/>
      <x:c r="AD354" s="20" t="str"/>
      <x:c r="AE354" s="14" t="str"/>
      <x:c r="AF354" s="14" t="n">
        <x:v>64</x:v>
      </x:c>
      <x:c r="AG354" s="14" t="str">
        <x:v>I2</x:v>
      </x:c>
      <x:c r="AH354" s="14" t="n">
        <x:v>1</x:v>
      </x:c>
      <x:c r="AI354" s="14" t="n">
        <x:v>1</x:v>
      </x:c>
      <x:c r="AJ354" s="18" t="n">
        <x:v>2111844.12</x:v>
      </x:c>
      <x:c r="AK354" s="14" t="str">
        <x:v>https://prozorro.gov.ua/tender/UA-2026-07-23-009360-a</x:v>
      </x:c>
      <x:c r="AL354" s="19" t="n">
        <x:v>46241.47802741898</x:v>
      </x:c>
      <x:c r="AM354" s="19" t="n">
        <x:v>46745</x:v>
      </x:c>
      <x:c r="AN354" s="15" t="str">
        <x:v>Мости / інфраструктура</x:v>
      </x:c>
      <x:c r="AO354" s="15" t="str">
        <x:v>not_found_in_top_search</x:v>
      </x:c>
    </x:row>
    <x:row r="355">
      <x:c r="A355" s="14" t="str">
        <x:v>W3-083</x:v>
      </x:c>
      <x:c r="B355" s="14" t="str">
        <x:v>Prozorro winners — 24.08</x:v>
      </x:c>
      <x:c r="C355" s="14" t="str">
        <x:v>ТОВ "БІОАЛЬЯНС-ЕНЕРГІЯ"</x:v>
      </x:c>
      <x:c r="D355" s="14" t="str">
        <x:v>Насосні станції</x:v>
      </x:c>
      <x:c r="E355" s="14" t="str">
        <x:v>Expansion discovery</x:v>
      </x:c>
      <x:c r="F355" s="17" t="str">
        <x:f>IF(E355="Pilot now",IF(P355&gt;=84,"P1",IF(P355&gt;=72,"P2","P3")),IF(E355="Expansion discovery",IF(Q355&gt;=88,"D1",IF(Q355&gt;=78,"D2","D3")),IF(E355="Later / requirements","L","Legacy")))</x:f>
        <x:v>D1</x:v>
      </x:c>
      <x:c r="G355" s="14" t="str"/>
      <x:c r="H355" s="14" t="str">
        <x:v>Discovery розширення — 2 тижні</x:v>
      </x:c>
      <x:c r="I355" s="16" t="n">
        <x:v>1</x:v>
      </x:c>
      <x:c r="J355" s="16" t="n">
        <x:v>5</x:v>
      </x:c>
      <x:c r="K355" s="16" t="n">
        <x:v>4</x:v>
      </x:c>
      <x:c r="L355" s="16" t="n">
        <x:v>4</x:v>
      </x:c>
      <x:c r="M355" s="16" t="n">
        <x:v>5</x:v>
      </x:c>
      <x:c r="N355" s="16" t="n">
        <x:v>5</x:v>
      </x:c>
      <x:c r="O355" s="16" t="n">
        <x:v>5</x:v>
      </x:c>
      <x:c r="P355" s="16" t="n">
        <x:f>IF(COUNT(I355:O355)&lt;7,"",I355*8+J355*3+K355*2+L355*2+M355*2+N355*2+O355)</x:f>
        <x:v>64</x:v>
      </x:c>
      <x:c r="Q355" s="16" t="n">
        <x:f>IF(COUNT(J355:O355)&lt;6,"",J355*5+K355*4+M355*4+L355*3+N355*2+O355*2)</x:f>
        <x:v>93</x:v>
      </x:c>
      <x:c r="R355" s="14" t="str">
        <x:v>high</x:v>
      </x:c>
      <x:c r="S355" s="14" t="str">
        <x:v>official_prozorro_award_2025_2026</x:v>
      </x:c>
      <x:c r="T355" s="14" t="str">
        <x:v>official_prozorro_api</x:v>
      </x:c>
      <x:c r="U355" s="14" t="str">
        <x:v>Не контактували</x:v>
      </x:c>
      <x:c r="V355" s="15" t="str">
        <x:v>Workflow-audit outreach по UA-2026-07-30-010966-a; попросити 1 пакет здачі та вимоги проєкту</x:v>
      </x:c>
      <x:c r="W355" s="15" t="str">
        <x:v>Власник / директор; керівник ПТО; відповідальний за договори</x:v>
      </x:c>
      <x:c r="X355" s="15" t="str">
        <x:v>1 підтверджених перемог/договорів у Prozorro на 2 047 572 грн; 1 проєктів зі строком виконання не раніше 24.08.2026.</x:v>
      </x:c>
      <x:c r="Y355" s="15" t="str">
        <x:v>«Реконструкція системи електропостачання насосної станції 2-го підйому КП «Сквир-водоканал» по вул. Залізничній, 57 в м. Сквира з додатковим встановленням системи альтернативного електропостачання (сонячні панелі, інвертор і акумуляторні батареї)" ДК 021:2015 – 45310000-3 — Електромонтажні роботи; строк до 2026-10-15. Попросити один знеособлений пакет здачі за цим workflow.</x:v>
      </x:c>
      <x:c r="Z355" s="15" t="str">
        <x:v>https://prozorro.gov.ua/tender/UA-2026-07-30-010966-a</x:v>
      </x:c>
      <x:c r="AA355" s="14" t="str">
        <x:v>41809596</x:v>
      </x:c>
      <x:c r="AB355" s="14" t="str">
        <x:v>2026-08-24</x:v>
      </x:c>
      <x:c r="AC355" s="14" t="str"/>
      <x:c r="AD355" s="20" t="str"/>
      <x:c r="AE355" s="14" t="str"/>
      <x:c r="AF355" s="14" t="n">
        <x:v>64</x:v>
      </x:c>
      <x:c r="AG355" s="14" t="str">
        <x:v>I2</x:v>
      </x:c>
      <x:c r="AH355" s="14" t="n">
        <x:v>1</x:v>
      </x:c>
      <x:c r="AI355" s="14" t="n">
        <x:v>1</x:v>
      </x:c>
      <x:c r="AJ355" s="18" t="n">
        <x:v>2047572</x:v>
      </x:c>
      <x:c r="AK355" s="14" t="str">
        <x:v>https://prozorro.gov.ua/tender/UA-2026-07-30-010966-a</x:v>
      </x:c>
      <x:c r="AL355" s="19" t="n">
        <x:v>46255.48288792824</x:v>
      </x:c>
      <x:c r="AM355" s="19" t="n">
        <x:v>46310.74144675926</x:v>
      </x:c>
      <x:c r="AN355" s="15" t="str">
        <x:v>Насосні станції</x:v>
      </x:c>
      <x:c r="AO355" s="15" t="str">
        <x:v>not_found_in_top_search</x:v>
      </x:c>
    </x:row>
    <x:row r="356">
      <x:c r="A356" s="14" t="str">
        <x:v>W3-084</x:v>
      </x:c>
      <x:c r="B356" s="14" t="str">
        <x:v>Prozorro winners — 24.08</x:v>
      </x:c>
      <x:c r="C356" s="14" t="str">
        <x:v>ТОВАРИСТВО З ОБМЕЖЕНОЮ ВІДПОВІДАЛЬНІСТЮ "ВІКТОРІЯ-ФЕЛІЗ"</x:v>
      </x:c>
      <x:c r="D356" s="14" t="str">
        <x:v>ВОЛЗ / телеком</x:v>
      </x:c>
      <x:c r="E356" s="14" t="str">
        <x:v>Expansion discovery</x:v>
      </x:c>
      <x:c r="F356" s="17" t="str">
        <x:f>IF(E356="Pilot now",IF(P356&gt;=84,"P1",IF(P356&gt;=72,"P2","P3")),IF(E356="Expansion discovery",IF(Q356&gt;=88,"D1",IF(Q356&gt;=78,"D2","D3")),IF(E356="Later / requirements","L","Legacy")))</x:f>
        <x:v>D1</x:v>
      </x:c>
      <x:c r="G356" s="14" t="str"/>
      <x:c r="H356" s="14" t="str">
        <x:v>Discovery розширення — 2 тижні</x:v>
      </x:c>
      <x:c r="I356" s="16" t="n">
        <x:v>1</x:v>
      </x:c>
      <x:c r="J356" s="16" t="n">
        <x:v>5</x:v>
      </x:c>
      <x:c r="K356" s="16" t="n">
        <x:v>4</x:v>
      </x:c>
      <x:c r="L356" s="16" t="n">
        <x:v>3</x:v>
      </x:c>
      <x:c r="M356" s="16" t="n">
        <x:v>5</x:v>
      </x:c>
      <x:c r="N356" s="16" t="n">
        <x:v>5</x:v>
      </x:c>
      <x:c r="O356" s="16" t="n">
        <x:v>5</x:v>
      </x:c>
      <x:c r="P356" s="16" t="n">
        <x:f>IF(COUNT(I356:O356)&lt;7,"",I356*8+J356*3+K356*2+L356*2+M356*2+N356*2+O356)</x:f>
        <x:v>62</x:v>
      </x:c>
      <x:c r="Q356" s="16" t="n">
        <x:f>IF(COUNT(J356:O356)&lt;6,"",J356*5+K356*4+M356*4+L356*3+N356*2+O356*2)</x:f>
        <x:v>90</x:v>
      </x:c>
      <x:c r="R356" s="14" t="str">
        <x:v>high</x:v>
      </x:c>
      <x:c r="S356" s="14" t="str">
        <x:v>official_prozorro_award_2025_2026</x:v>
      </x:c>
      <x:c r="T356" s="14" t="str">
        <x:v>official_prozorro_api</x:v>
      </x:c>
      <x:c r="U356" s="14" t="str">
        <x:v>Не контактували</x:v>
      </x:c>
      <x:c r="V356" s="15" t="str">
        <x:v>Workflow-audit outreach по UA-2026-04-27-001548-a; попросити 1 пакет здачі та вимоги проєкту</x:v>
      </x:c>
      <x:c r="W356" s="15" t="str">
        <x:v>Власник / директор; керівник ПТО; відповідальний за договори</x:v>
      </x:c>
      <x:c r="X356" s="15" t="str">
        <x:v>2 підтверджених перемог/договорів у Prozorro на 909 120 грн; 2 проєктів зі строком виконання не раніше 24.08.2026.</x:v>
      </x:c>
      <x:c r="Y356" s="15" t="str">
        <x:v>Розробку ПКД "Нове будівництво ВОЛЗ (монтаж технічних засобів телекомунікацій) на ділянці: РВБ Світловодських ЕМ – дільниця Світловодських ЕМ, м. Світловодськ Олександрійський район, Кіровоградська область" (пункт 5.3 Інвестиційної Програми 2026); строк до 2026-10-31. Попросити один знеособлений пакет здачі за цим workflow.</x:v>
      </x:c>
      <x:c r="Z356" s="15" t="str">
        <x:v>https://prozorro.gov.ua/tender/UA-2026-04-27-001548-a</x:v>
      </x:c>
      <x:c r="AA356" s="14" t="str">
        <x:v>31146326</x:v>
      </x:c>
      <x:c r="AB356" s="14" t="str">
        <x:v>2026-08-24</x:v>
      </x:c>
      <x:c r="AC356" s="14" t="str"/>
      <x:c r="AD356" s="20" t="str"/>
      <x:c r="AE356" s="14" t="str"/>
      <x:c r="AF356" s="14" t="n">
        <x:v>64</x:v>
      </x:c>
      <x:c r="AG356" s="14" t="str">
        <x:v>I2</x:v>
      </x:c>
      <x:c r="AH356" s="14" t="n">
        <x:v>2</x:v>
      </x:c>
      <x:c r="AI356" s="14" t="n">
        <x:v>2</x:v>
      </x:c>
      <x:c r="AJ356" s="18" t="n">
        <x:v>909120</x:v>
      </x:c>
      <x:c r="AK356" s="14" t="str">
        <x:v>https://prozorro.gov.ua/tender/UA-2026-04-27-001548-a</x:v>
      </x:c>
      <x:c r="AL356" s="19" t="n">
        <x:v>46139.29344980324</x:v>
      </x:c>
      <x:c r="AM356" s="19" t="n">
        <x:v>46326</x:v>
      </x:c>
      <x:c r="AN356" s="15" t="str">
        <x:v>ВОЛЗ / телеком</x:v>
      </x:c>
      <x:c r="AO356" s="15" t="str">
        <x:v>not_found_in_top_search</x:v>
      </x:c>
    </x:row>
    <x:row r="357">
      <x:c r="A357" s="14" t="str">
        <x:v>W3-085</x:v>
      </x:c>
      <x:c r="B357" s="14" t="str">
        <x:v>Prozorro winners — 24.08</x:v>
      </x:c>
      <x:c r="C357" s="14" t="str">
        <x:v>Фізична особа-підприємець Ткаченко Микола Григорович </x:v>
      </x:c>
      <x:c r="D357" s="14" t="str">
        <x:v>Електромонтаж</x:v>
      </x:c>
      <x:c r="E357" s="14" t="str">
        <x:v>Pilot now</x:v>
      </x:c>
      <x:c r="F357" s="17" t="str">
        <x:f>IF(E357="Pilot now",IF(P357&gt;=84,"P1",IF(P357&gt;=72,"P2","P3")),IF(E357="Expansion discovery",IF(Q357&gt;=88,"D1",IF(Q357&gt;=78,"D2","D3")),IF(E357="Later / requirements","L","Legacy")))</x:f>
        <x:v>P1</x:v>
      </x:c>
      <x:c r="G357" s="14" t="str"/>
      <x:c r="H357" s="14" t="str">
        <x:v>Пілот зараз — Н.15</x:v>
      </x:c>
      <x:c r="I357" s="16" t="n">
        <x:v>5</x:v>
      </x:c>
      <x:c r="J357" s="16" t="n">
        <x:v>5</x:v>
      </x:c>
      <x:c r="K357" s="16" t="n">
        <x:v>5</x:v>
      </x:c>
      <x:c r="L357" s="16" t="n">
        <x:v>1</x:v>
      </x:c>
      <x:c r="M357" s="16" t="n">
        <x:v>5</x:v>
      </x:c>
      <x:c r="N357" s="16" t="n">
        <x:v>3</x:v>
      </x:c>
      <x:c r="O357" s="16" t="n">
        <x:v>5</x:v>
      </x:c>
      <x:c r="P357" s="16" t="n">
        <x:f>IF(COUNT(I357:O357)&lt;7,"",I357*8+J357*3+K357*2+L357*2+M357*2+N357*2+O357)</x:f>
        <x:v>88</x:v>
      </x:c>
      <x:c r="Q357" s="16" t="n">
        <x:f>IF(COUNT(J357:O357)&lt;6,"",J357*5+K357*4+M357*4+L357*3+N357*2+O357*2)</x:f>
        <x:v>84</x:v>
      </x:c>
      <x:c r="R357" s="14" t="str">
        <x:v>high</x:v>
      </x:c>
      <x:c r="S357" s="14" t="str">
        <x:v>official_prozorro_award_2025_2026</x:v>
      </x:c>
      <x:c r="T357" s="14" t="str">
        <x:v>official_prozorro_api</x:v>
      </x:c>
      <x:c r="U357" s="14" t="str">
        <x:v>Не контактували</x:v>
      </x:c>
      <x:c r="V357" s="15" t="str">
        <x:v>Персоналізований free-pilot outreach по UA-2026-08-14-002841-a; попросити 1 пакет Н.14/Н.15</x:v>
      </x:c>
      <x:c r="W357" s="15" t="str">
        <x:v>Власник / виконавець; відповідальний за договір</x:v>
      </x:c>
      <x:c r="X357" s="15" t="str">
        <x:v>6 підтверджених перемог/договорів у Prozorro на 78 878 грн; 1 проєктів зі строком виконання не раніше 24.08.2026.</x:v>
      </x:c>
      <x:c r="Y357" s="15" t="str">
        <x:v>Послуги з обслуговування електромереж (перевірка системи заземлення, електровимірювальні роботи, виготовлення технічної документації).; строк до 2026-12-31. Попросити один знеособлений пакет здачі за цим workflow.</x:v>
      </x:c>
      <x:c r="Z357" s="15" t="str">
        <x:v>https://prozorro.gov.ua/tender/UA-2026-08-14-002841-a</x:v>
      </x:c>
      <x:c r="AA357" s="14" t="str">
        <x:v>2832903953</x:v>
      </x:c>
      <x:c r="AB357" s="14" t="str">
        <x:v>2026-08-24</x:v>
      </x:c>
      <x:c r="AC357" s="14" t="str"/>
      <x:c r="AD357" s="20" t="str"/>
      <x:c r="AE357" s="14" t="str"/>
      <x:c r="AF357" s="14" t="n">
        <x:v>64</x:v>
      </x:c>
      <x:c r="AG357" s="14" t="str">
        <x:v>I2</x:v>
      </x:c>
      <x:c r="AH357" s="14" t="n">
        <x:v>6</x:v>
      </x:c>
      <x:c r="AI357" s="14" t="n">
        <x:v>1</x:v>
      </x:c>
      <x:c r="AJ357" s="18" t="n">
        <x:v>78878</x:v>
      </x:c>
      <x:c r="AK357" s="14" t="str">
        <x:v>https://prozorro.gov.ua/tender/UA-2026-08-14-002841-a</x:v>
      </x:c>
      <x:c r="AL357" s="19" t="n">
        <x:v>46248.342335520836</x:v>
      </x:c>
      <x:c r="AM357" s="19" t="n">
        <x:v>46387</x:v>
      </x:c>
      <x:c r="AN357" s="15" t="str">
        <x:v>Електромонтаж</x:v>
      </x:c>
      <x:c r="AO357" s="15" t="str">
        <x:v>not_found_in_top_search</x:v>
      </x:c>
    </x:row>
    <x:row r="358">
      <x:c r="A358" s="14" t="str">
        <x:v>W3-086</x:v>
      </x:c>
      <x:c r="B358" s="14" t="str">
        <x:v>Prozorro winners — 24.08</x:v>
      </x:c>
      <x:c r="C358" s="14" t="str">
        <x:v>ФОП СІБЕЛЕВ ДМИТРО ПАВЛОВИЧ</x:v>
      </x:c>
      <x:c r="D358" s="14" t="str">
        <x:v>HVAC / ОВіК</x:v>
      </x:c>
      <x:c r="E358" s="14" t="str">
        <x:v>Pilot now</x:v>
      </x:c>
      <x:c r="F358" s="17" t="str">
        <x:f>IF(E358="Pilot now",IF(P358&gt;=84,"P1",IF(P358&gt;=72,"P2","P3")),IF(E358="Expansion discovery",IF(Q358&gt;=88,"D1",IF(Q358&gt;=78,"D2","D3")),IF(E358="Later / requirements","L","Legacy")))</x:f>
        <x:v>P1</x:v>
      </x:c>
      <x:c r="G358" s="14" t="str"/>
      <x:c r="H358" s="14" t="str">
        <x:v>Пілот зараз — Н.14</x:v>
      </x:c>
      <x:c r="I358" s="16" t="n">
        <x:v>5</x:v>
      </x:c>
      <x:c r="J358" s="16" t="n">
        <x:v>5</x:v>
      </x:c>
      <x:c r="K358" s="16" t="n">
        <x:v>5</x:v>
      </x:c>
      <x:c r="L358" s="16" t="n">
        <x:v>2</x:v>
      </x:c>
      <x:c r="M358" s="16" t="n">
        <x:v>5</x:v>
      </x:c>
      <x:c r="N358" s="16" t="n">
        <x:v>3</x:v>
      </x:c>
      <x:c r="O358" s="16" t="n">
        <x:v>5</x:v>
      </x:c>
      <x:c r="P358" s="16" t="n">
        <x:f>IF(COUNT(I358:O358)&lt;7,"",I358*8+J358*3+K358*2+L358*2+M358*2+N358*2+O358)</x:f>
        <x:v>90</x:v>
      </x:c>
      <x:c r="Q358" s="16" t="n">
        <x:f>IF(COUNT(J358:O358)&lt;6,"",J358*5+K358*4+M358*4+L358*3+N358*2+O358*2)</x:f>
        <x:v>87</x:v>
      </x:c>
      <x:c r="R358" s="14" t="str">
        <x:v>high</x:v>
      </x:c>
      <x:c r="S358" s="14" t="str">
        <x:v>official_prozorro_award_2025_2026</x:v>
      </x:c>
      <x:c r="T358" s="14" t="str">
        <x:v>official_prozorro_api</x:v>
      </x:c>
      <x:c r="U358" s="14" t="str">
        <x:v>Не контактували</x:v>
      </x:c>
      <x:c r="V358" s="15" t="str">
        <x:v>Персоналізований free-pilot outreach по UA-2026-08-10-004460-a; попросити 1 пакет Н.14/Н.15</x:v>
      </x:c>
      <x:c r="W358" s="15" t="str">
        <x:v>Власник / виконавець; відповідальний за договір</x:v>
      </x:c>
      <x:c r="X358" s="15" t="str">
        <x:v>2 підтверджених перемог/договорів у Prozorro на 194 076 грн; 2 проєктів зі строком виконання не раніше 24.08.2026.</x:v>
      </x:c>
      <x:c r="Y358" s="15" t="str">
        <x:v>Послуги з монтажу системи вентиляції на харчоблоці Хмельницького закладу дошкільної освіти № 43 "Горобинка" за адресою: м.Хмельницький, вул.Молодіжна б.5/2 (додаткові послуги); строк до 2026-12-31. Попросити один знеособлений пакет здачі за цим workflow.</x:v>
      </x:c>
      <x:c r="Z358" s="15" t="str">
        <x:v>https://prozorro.gov.ua/tender/UA-2026-08-10-004460-a</x:v>
      </x:c>
      <x:c r="AA358" s="14" t="str">
        <x:v>1999921033</x:v>
      </x:c>
      <x:c r="AB358" s="14" t="str">
        <x:v>2026-08-24</x:v>
      </x:c>
      <x:c r="AC358" s="14" t="str"/>
      <x:c r="AD358" s="20" t="str"/>
      <x:c r="AE358" s="14" t="str"/>
      <x:c r="AF358" s="14" t="n">
        <x:v>63</x:v>
      </x:c>
      <x:c r="AG358" s="14" t="str">
        <x:v>I2</x:v>
      </x:c>
      <x:c r="AH358" s="14" t="n">
        <x:v>2</x:v>
      </x:c>
      <x:c r="AI358" s="14" t="n">
        <x:v>2</x:v>
      </x:c>
      <x:c r="AJ358" s="18" t="n">
        <x:v>194076.12</x:v>
      </x:c>
      <x:c r="AK358" s="14" t="str">
        <x:v>https://prozorro.gov.ua/tender/UA-2026-08-10-004460-a</x:v>
      </x:c>
      <x:c r="AL358" s="19" t="n">
        <x:v>46244.39313237269</x:v>
      </x:c>
      <x:c r="AM358" s="19" t="n">
        <x:v>46387</x:v>
      </x:c>
      <x:c r="AN358" s="15" t="str">
        <x:v>HVAC / ОВіК</x:v>
      </x:c>
      <x:c r="AO358" s="15" t="str">
        <x:v>not_found_in_top_search</x:v>
      </x:c>
    </x:row>
    <x:row r="359">
      <x:c r="A359" s="14" t="str">
        <x:v>W3-087</x:v>
      </x:c>
      <x:c r="B359" s="14" t="str">
        <x:v>Prozorro winners — 24.08</x:v>
      </x:c>
      <x:c r="C359" s="14" t="str">
        <x:v>ПЕРЕМА ОЛЕКСАНДР ГЕННАДІЙОВИЧ</x:v>
      </x:c>
      <x:c r="D359" s="14" t="str">
        <x:v>Електромонтаж</x:v>
      </x:c>
      <x:c r="E359" s="14" t="str">
        <x:v>Pilot now</x:v>
      </x:c>
      <x:c r="F359" s="17" t="str">
        <x:f>IF(E359="Pilot now",IF(P359&gt;=84,"P1",IF(P359&gt;=72,"P2","P3")),IF(E359="Expansion discovery",IF(Q359&gt;=88,"D1",IF(Q359&gt;=78,"D2","D3")),IF(E359="Later / requirements","L","Legacy")))</x:f>
        <x:v>P1</x:v>
      </x:c>
      <x:c r="G359" s="14" t="str"/>
      <x:c r="H359" s="14" t="str">
        <x:v>Пілот зараз — Н.15</x:v>
      </x:c>
      <x:c r="I359" s="16" t="n">
        <x:v>5</x:v>
      </x:c>
      <x:c r="J359" s="16" t="n">
        <x:v>5</x:v>
      </x:c>
      <x:c r="K359" s="16" t="n">
        <x:v>5</x:v>
      </x:c>
      <x:c r="L359" s="16" t="n">
        <x:v>2</x:v>
      </x:c>
      <x:c r="M359" s="16" t="n">
        <x:v>5</x:v>
      </x:c>
      <x:c r="N359" s="16" t="n">
        <x:v>3</x:v>
      </x:c>
      <x:c r="O359" s="16" t="n">
        <x:v>5</x:v>
      </x:c>
      <x:c r="P359" s="16" t="n">
        <x:f>IF(COUNT(I359:O359)&lt;7,"",I359*8+J359*3+K359*2+L359*2+M359*2+N359*2+O359)</x:f>
        <x:v>90</x:v>
      </x:c>
      <x:c r="Q359" s="16" t="n">
        <x:f>IF(COUNT(J359:O359)&lt;6,"",J359*5+K359*4+M359*4+L359*3+N359*2+O359*2)</x:f>
        <x:v>87</x:v>
      </x:c>
      <x:c r="R359" s="14" t="str">
        <x:v>high</x:v>
      </x:c>
      <x:c r="S359" s="14" t="str">
        <x:v>official_prozorro_award_2025_2026</x:v>
      </x:c>
      <x:c r="T359" s="14" t="str">
        <x:v>official_prozorro_api</x:v>
      </x:c>
      <x:c r="U359" s="14" t="str">
        <x:v>Не контактували</x:v>
      </x:c>
      <x:c r="V359" s="15" t="str">
        <x:v>Персоналізований free-pilot outreach по UA-2026-08-10-005042-a; попросити 1 пакет Н.14/Н.15</x:v>
      </x:c>
      <x:c r="W359" s="15" t="str">
        <x:v>Власник / виконавець; відповідальний за договір</x:v>
      </x:c>
      <x:c r="X359" s="15" t="str">
        <x:v>2 підтверджених перемог/договорів у Prozorro на 174 140 грн; 2 проєктів зі строком виконання не раніше 24.08.2026.</x:v>
      </x:c>
      <x:c r="Y359" s="15" t="str">
        <x:v>Електромонтажні роботи; строк до 2026-12-31. Попросити один знеособлений пакет здачі за цим workflow.</x:v>
      </x:c>
      <x:c r="Z359" s="15" t="str">
        <x:v>https://prozorro.gov.ua/tender/UA-2026-08-10-005042-a</x:v>
      </x:c>
      <x:c r="AA359" s="14" t="str">
        <x:v>3048600754</x:v>
      </x:c>
      <x:c r="AB359" s="14" t="str">
        <x:v>2026-08-24</x:v>
      </x:c>
      <x:c r="AC359" s="14" t="str"/>
      <x:c r="AD359" s="20" t="str"/>
      <x:c r="AE359" s="14" t="str"/>
      <x:c r="AF359" s="14" t="n">
        <x:v>63</x:v>
      </x:c>
      <x:c r="AG359" s="14" t="str">
        <x:v>I2</x:v>
      </x:c>
      <x:c r="AH359" s="14" t="n">
        <x:v>2</x:v>
      </x:c>
      <x:c r="AI359" s="14" t="n">
        <x:v>2</x:v>
      </x:c>
      <x:c r="AJ359" s="18" t="n">
        <x:v>174140</x:v>
      </x:c>
      <x:c r="AK359" s="14" t="str">
        <x:v>https://prozorro.gov.ua/tender/UA-2026-08-10-005042-a</x:v>
      </x:c>
      <x:c r="AL359" s="19" t="n">
        <x:v>46244.416225</x:v>
      </x:c>
      <x:c r="AM359" s="19" t="n">
        <x:v>46387</x:v>
      </x:c>
      <x:c r="AN359" s="15" t="str">
        <x:v>Електромонтаж</x:v>
      </x:c>
      <x:c r="AO359" s="15" t="str">
        <x:v>not_found_in_top_search</x:v>
      </x:c>
    </x:row>
    <x:row r="360">
      <x:c r="A360" s="14" t="str">
        <x:v>W3-088</x:v>
      </x:c>
      <x:c r="B360" s="14" t="str">
        <x:v>Prozorro winners — 24.08</x:v>
      </x:c>
      <x:c r="C360" s="14" t="str">
        <x:v>ФОП Іщенко Олександр Олександрович</x:v>
      </x:c>
      <x:c r="D360" s="14" t="str">
        <x:v>Безпека / СКУД / CCTV</x:v>
      </x:c>
      <x:c r="E360" s="14" t="str">
        <x:v>Expansion discovery</x:v>
      </x:c>
      <x:c r="F360" s="17" t="str">
        <x:f>IF(E360="Pilot now",IF(P360&gt;=84,"P1",IF(P360&gt;=72,"P2","P3")),IF(E360="Expansion discovery",IF(Q360&gt;=88,"D1",IF(Q360&gt;=78,"D2","D3")),IF(E360="Later / requirements","L","Legacy")))</x:f>
        <x:v>D2</x:v>
      </x:c>
      <x:c r="G360" s="14" t="str"/>
      <x:c r="H360" s="14" t="str">
        <x:v>Discovery розширення — 2 тижні</x:v>
      </x:c>
      <x:c r="I360" s="16" t="n">
        <x:v>1</x:v>
      </x:c>
      <x:c r="J360" s="16" t="n">
        <x:v>5</x:v>
      </x:c>
      <x:c r="K360" s="16" t="n">
        <x:v>4</x:v>
      </x:c>
      <x:c r="L360" s="16" t="n">
        <x:v>2</x:v>
      </x:c>
      <x:c r="M360" s="16" t="n">
        <x:v>5</x:v>
      </x:c>
      <x:c r="N360" s="16" t="n">
        <x:v>3</x:v>
      </x:c>
      <x:c r="O360" s="16" t="n">
        <x:v>5</x:v>
      </x:c>
      <x:c r="P360" s="16" t="n">
        <x:f>IF(COUNT(I360:O360)&lt;7,"",I360*8+J360*3+K360*2+L360*2+M360*2+N360*2+O360)</x:f>
        <x:v>56</x:v>
      </x:c>
      <x:c r="Q360" s="16" t="n">
        <x:f>IF(COUNT(J360:O360)&lt;6,"",J360*5+K360*4+M360*4+L360*3+N360*2+O360*2)</x:f>
        <x:v>83</x:v>
      </x:c>
      <x:c r="R360" s="14" t="str">
        <x:v>high</x:v>
      </x:c>
      <x:c r="S360" s="14" t="str">
        <x:v>official_prozorro_award_2025_2026</x:v>
      </x:c>
      <x:c r="T360" s="14" t="str">
        <x:v>official_prozorro_api</x:v>
      </x:c>
      <x:c r="U360" s="14" t="str">
        <x:v>Не контактували</x:v>
      </x:c>
      <x:c r="V360" s="15" t="str">
        <x:v>Workflow-audit outreach по UA-2026-08-24-000407-a; попросити 1 пакет здачі та вимоги проєкту</x:v>
      </x:c>
      <x:c r="W360" s="15" t="str">
        <x:v>Власник / виконавець; відповідальний за договір</x:v>
      </x:c>
      <x:c r="X360" s="15" t="str">
        <x:v>2 підтверджених перемог/договорів у Prozorro на 156 079 грн; 2 проєктів зі строком виконання не раніше 24.08.2026.</x:v>
      </x:c>
      <x:c r="Y360" s="15" t="str">
        <x:v>Облаштування споруди цивільного захисту в підвальному приміщенні житлового будинку за адресою: просп. Свободи, буд. 94/28 у м. Кременчуці Полтавської області (придбання та монтаж обладнання для встановлення системи контролю доступу); строк до 2026-12-31. Попросити один знеособлений пакет здачі за цим workflow.</x:v>
      </x:c>
      <x:c r="Z360" s="15" t="str">
        <x:v>https://prozorro.gov.ua/tender/UA-2026-08-24-000407-a</x:v>
      </x:c>
      <x:c r="AA360" s="14" t="str">
        <x:v>3844609655</x:v>
      </x:c>
      <x:c r="AB360" s="14" t="str">
        <x:v>2026-08-24</x:v>
      </x:c>
      <x:c r="AC360" s="14" t="str"/>
      <x:c r="AD360" s="20" t="str"/>
      <x:c r="AE360" s="14" t="str"/>
      <x:c r="AF360" s="14" t="n">
        <x:v>63</x:v>
      </x:c>
      <x:c r="AG360" s="14" t="str">
        <x:v>I2</x:v>
      </x:c>
      <x:c r="AH360" s="14" t="n">
        <x:v>2</x:v>
      </x:c>
      <x:c r="AI360" s="14" t="n">
        <x:v>2</x:v>
      </x:c>
      <x:c r="AJ360" s="18" t="n">
        <x:v>156078.6</x:v>
      </x:c>
      <x:c r="AK360" s="14" t="str">
        <x:v>https://prozorro.gov.ua/tender/UA-2026-08-24-000407-a</x:v>
      </x:c>
      <x:c r="AL360" s="19" t="n">
        <x:v>46258.25381439815</x:v>
      </x:c>
      <x:c r="AM360" s="19" t="n">
        <x:v>46387</x:v>
      </x:c>
      <x:c r="AN360" s="15" t="str">
        <x:v>Безпека / СКУД / CCTV</x:v>
      </x:c>
      <x:c r="AO360" s="15" t="str">
        <x:v>not_found_in_top_search</x:v>
      </x:c>
    </x:row>
    <x:row r="361">
      <x:c r="A361" s="14" t="str">
        <x:v>W3-089</x:v>
      </x:c>
      <x:c r="B361" s="14" t="str">
        <x:v>Prozorro winners — 24.08</x:v>
      </x:c>
      <x:c r="C361" s="14" t="str">
        <x:v>УПРАВЛІННЯ ПОЛІЦІЇ ОХОРОНИ У ВІННИЦЬКІЙ ОБЛАСТІ</x:v>
      </x:c>
      <x:c r="D361" s="14" t="str">
        <x:v>Пожежогасіння</x:v>
      </x:c>
      <x:c r="E361" s="14" t="str">
        <x:v>Expansion discovery</x:v>
      </x:c>
      <x:c r="F361" s="17" t="str">
        <x:f>IF(E361="Pilot now",IF(P361&gt;=84,"P1",IF(P361&gt;=72,"P2","P3")),IF(E361="Expansion discovery",IF(Q361&gt;=88,"D1",IF(Q361&gt;=78,"D2","D3")),IF(E361="Later / requirements","L","Legacy")))</x:f>
        <x:v>D2</x:v>
      </x:c>
      <x:c r="G361" s="14" t="str"/>
      <x:c r="H361" s="14" t="str">
        <x:v>Discovery розширення — 2 тижні</x:v>
      </x:c>
      <x:c r="I361" s="16" t="n">
        <x:v>1</x:v>
      </x:c>
      <x:c r="J361" s="16" t="n">
        <x:v>5</x:v>
      </x:c>
      <x:c r="K361" s="16" t="n">
        <x:v>4</x:v>
      </x:c>
      <x:c r="L361" s="16" t="n">
        <x:v>2</x:v>
      </x:c>
      <x:c r="M361" s="16" t="n">
        <x:v>5</x:v>
      </x:c>
      <x:c r="N361" s="16" t="n">
        <x:v>5</x:v>
      </x:c>
      <x:c r="O361" s="16" t="n">
        <x:v>5</x:v>
      </x:c>
      <x:c r="P361" s="16" t="n">
        <x:f>IF(COUNT(I361:O361)&lt;7,"",I361*8+J361*3+K361*2+L361*2+M361*2+N361*2+O361)</x:f>
        <x:v>60</x:v>
      </x:c>
      <x:c r="Q361" s="16" t="n">
        <x:f>IF(COUNT(J361:O361)&lt;6,"",J361*5+K361*4+M361*4+L361*3+N361*2+O361*2)</x:f>
        <x:v>87</x:v>
      </x:c>
      <x:c r="R361" s="14" t="str">
        <x:v>high</x:v>
      </x:c>
      <x:c r="S361" s="14" t="str">
        <x:v>official_prozorro_award_2025_2026</x:v>
      </x:c>
      <x:c r="T361" s="14" t="str">
        <x:v>official_prozorro_api</x:v>
      </x:c>
      <x:c r="U361" s="14" t="str">
        <x:v>Не контактували</x:v>
      </x:c>
      <x:c r="V361" s="15" t="str">
        <x:v>Workflow-audit outreach по UA-2026-06-30-008172-a; попросити 1 пакет здачі та вимоги проєкту</x:v>
      </x:c>
      <x:c r="W361" s="15" t="str">
        <x:v>Власник / директор; керівник ПТО; відповідальний за договори</x:v>
      </x:c>
      <x:c r="X361" s="15" t="str">
        <x:v>2 підтверджених перемог/договорів у Prozorro на 105 137 грн; 2 проєктів зі строком виконання не раніше 24.08.2026.</x:v>
      </x:c>
      <x:c r="Y361" s="15" t="str">
        <x:v>послуги з монтажу системи пожежної сигналізації; строк до 2026-12-31. Попросити один знеособлений пакет здачі за цим workflow.</x:v>
      </x:c>
      <x:c r="Z361" s="15" t="str">
        <x:v>https://prozorro.gov.ua/tender/UA-2026-06-30-008172-a</x:v>
      </x:c>
      <x:c r="AA361" s="14" t="str">
        <x:v>40109131</x:v>
      </x:c>
      <x:c r="AB361" s="14" t="str">
        <x:v>2026-08-24</x:v>
      </x:c>
      <x:c r="AC361" s="14" t="str"/>
      <x:c r="AD361" s="20" t="str"/>
      <x:c r="AE361" s="14" t="str"/>
      <x:c r="AF361" s="14" t="n">
        <x:v>63</x:v>
      </x:c>
      <x:c r="AG361" s="14" t="str">
        <x:v>I2</x:v>
      </x:c>
      <x:c r="AH361" s="14" t="n">
        <x:v>2</x:v>
      </x:c>
      <x:c r="AI361" s="14" t="n">
        <x:v>2</x:v>
      </x:c>
      <x:c r="AJ361" s="18" t="n">
        <x:v>105137</x:v>
      </x:c>
      <x:c r="AK361" s="14" t="str">
        <x:v>https://prozorro.gov.ua/tender/UA-2026-06-30-008172-a</x:v>
      </x:c>
      <x:c r="AL361" s="19" t="n">
        <x:v>46203.47039357639</x:v>
      </x:c>
      <x:c r="AM361" s="19" t="n">
        <x:v>46387</x:v>
      </x:c>
      <x:c r="AN361" s="15" t="str">
        <x:v>Пожежогасіння; Безпека / СКУД / CCTV</x:v>
      </x:c>
      <x:c r="AO361" s="15" t="str">
        <x:v>not_found_in_top_search</x:v>
      </x:c>
    </x:row>
    <x:row r="362">
      <x:c r="A362" s="14" t="str">
        <x:v>W3-090</x:v>
      </x:c>
      <x:c r="B362" s="14" t="str">
        <x:v>Prozorro winners — 24.08</x:v>
      </x:c>
      <x:c r="C362" s="14" t="str">
        <x:v>ТОВ "СТЕЙДЖ АЛЬЯНС"</x:v>
      </x:c>
      <x:c r="D362" s="14" t="str">
        <x:v>Насосні станції</x:v>
      </x:c>
      <x:c r="E362" s="14" t="str">
        <x:v>Expansion discovery</x:v>
      </x:c>
      <x:c r="F362" s="17" t="str">
        <x:f>IF(E362="Pilot now",IF(P362&gt;=84,"P1",IF(P362&gt;=72,"P2","P3")),IF(E362="Expansion discovery",IF(Q362&gt;=88,"D1",IF(Q362&gt;=78,"D2","D3")),IF(E362="Later / requirements","L","Legacy")))</x:f>
        <x:v>D1</x:v>
      </x:c>
      <x:c r="G362" s="14" t="str"/>
      <x:c r="H362" s="14" t="str">
        <x:v>Discovery розширення — 2 тижні</x:v>
      </x:c>
      <x:c r="I362" s="16" t="n">
        <x:v>1</x:v>
      </x:c>
      <x:c r="J362" s="16" t="n">
        <x:v>5</x:v>
      </x:c>
      <x:c r="K362" s="16" t="n">
        <x:v>4</x:v>
      </x:c>
      <x:c r="L362" s="16" t="n">
        <x:v>5</x:v>
      </x:c>
      <x:c r="M362" s="16" t="n">
        <x:v>5</x:v>
      </x:c>
      <x:c r="N362" s="16" t="n">
        <x:v>5</x:v>
      </x:c>
      <x:c r="O362" s="16" t="n">
        <x:v>5</x:v>
      </x:c>
      <x:c r="P362" s="16" t="n">
        <x:f>IF(COUNT(I362:O362)&lt;7,"",I362*8+J362*3+K362*2+L362*2+M362*2+N362*2+O362)</x:f>
        <x:v>66</x:v>
      </x:c>
      <x:c r="Q362" s="16" t="n">
        <x:f>IF(COUNT(J362:O362)&lt;6,"",J362*5+K362*4+M362*4+L362*3+N362*2+O362*2)</x:f>
        <x:v>96</x:v>
      </x:c>
      <x:c r="R362" s="14" t="str">
        <x:v>high</x:v>
      </x:c>
      <x:c r="S362" s="14" t="str">
        <x:v>official_prozorro_award_2025_2026</x:v>
      </x:c>
      <x:c r="T362" s="14" t="str">
        <x:v>official_prozorro_api</x:v>
      </x:c>
      <x:c r="U362" s="14" t="str">
        <x:v>Не контактували</x:v>
      </x:c>
      <x:c r="V362" s="15" t="str">
        <x:v>Workflow-audit outreach по UA-2026-05-15-008760-a; попросити 1 пакет здачі та вимоги проєкту</x:v>
      </x:c>
      <x:c r="W362" s="15" t="str">
        <x:v>Власник / директор; керівник ПТО; відповідальний за договори</x:v>
      </x:c>
      <x:c r="X362" s="15" t="str">
        <x:v>1 підтверджених перемог/договорів у Prozorro на 45 473 135 грн; 1 проєктів зі строком виконання не раніше 24.08.2026.</x:v>
      </x:c>
      <x:c r="Y362" s="15" t="str">
        <x:v>Реконструкція систем водопостачання та водовідведення м. Дніпро. Водопровідна насосна станція №4, вул. Кутузова, 6Н. (Код ДК 021:2015 45230000-8 - Будівництво трубопроводів, ліній зв’язку та електропередач, шосе, доріг, аеродромів і залізничних доріг; вирівнювання поверхонь); строк до 2026-12-26. Попросити один знеособлений пакет здачі за цим workflow.</x:v>
      </x:c>
      <x:c r="Z362" s="15" t="str">
        <x:v>https://prozorro.gov.ua/tender/UA-2026-05-15-008760-a</x:v>
      </x:c>
      <x:c r="AA362" s="14" t="str">
        <x:v>43209597</x:v>
      </x:c>
      <x:c r="AB362" s="14" t="str">
        <x:v>2026-08-24</x:v>
      </x:c>
      <x:c r="AC362" s="14" t="str"/>
      <x:c r="AD362" s="20" t="str"/>
      <x:c r="AE362" s="14" t="str"/>
      <x:c r="AF362" s="14" t="n">
        <x:v>62</x:v>
      </x:c>
      <x:c r="AG362" s="14" t="str">
        <x:v>I2</x:v>
      </x:c>
      <x:c r="AH362" s="14" t="n">
        <x:v>1</x:v>
      </x:c>
      <x:c r="AI362" s="14" t="n">
        <x:v>1</x:v>
      </x:c>
      <x:c r="AJ362" s="18" t="n">
        <x:v>45473135</x:v>
      </x:c>
      <x:c r="AK362" s="14" t="str">
        <x:v>https://prozorro.gov.ua/tender/UA-2026-05-15-008760-a</x:v>
      </x:c>
      <x:c r="AL362" s="19" t="n">
        <x:v>46189.52603324074</x:v>
      </x:c>
      <x:c r="AM362" s="19" t="n">
        <x:v>46382</x:v>
      </x:c>
      <x:c r="AN362" s="15" t="str">
        <x:v>Насосні станції</x:v>
      </x:c>
      <x:c r="AO362" s="15" t="str">
        <x:v>not_found_in_top_search</x:v>
      </x:c>
    </x:row>
    <x:row r="363">
      <x:c r="A363" s="14" t="str">
        <x:v>W3-091</x:v>
      </x:c>
      <x:c r="B363" s="14" t="str">
        <x:v>Prozorro winners — 24.08</x:v>
      </x:c>
      <x:c r="C363" s="14" t="str">
        <x:v>ТОВ "Енергосервісна компанія "Адамсон""</x:v>
      </x:c>
      <x:c r="D363" s="14" t="str">
        <x:v>Теплові мережі</x:v>
      </x:c>
      <x:c r="E363" s="14" t="str">
        <x:v>Expansion discovery</x:v>
      </x:c>
      <x:c r="F363" s="17" t="str">
        <x:f>IF(E363="Pilot now",IF(P363&gt;=84,"P1",IF(P363&gt;=72,"P2","P3")),IF(E363="Expansion discovery",IF(Q363&gt;=88,"D1",IF(Q363&gt;=78,"D2","D3")),IF(E363="Later / requirements","L","Legacy")))</x:f>
        <x:v>D1</x:v>
      </x:c>
      <x:c r="G363" s="14" t="str"/>
      <x:c r="H363" s="14" t="str">
        <x:v>Discovery розширення — 2 тижні</x:v>
      </x:c>
      <x:c r="I363" s="16" t="n">
        <x:v>1</x:v>
      </x:c>
      <x:c r="J363" s="16" t="n">
        <x:v>5</x:v>
      </x:c>
      <x:c r="K363" s="16" t="n">
        <x:v>4</x:v>
      </x:c>
      <x:c r="L363" s="16" t="n">
        <x:v>5</x:v>
      </x:c>
      <x:c r="M363" s="16" t="n">
        <x:v>5</x:v>
      </x:c>
      <x:c r="N363" s="16" t="n">
        <x:v>5</x:v>
      </x:c>
      <x:c r="O363" s="16" t="n">
        <x:v>5</x:v>
      </x:c>
      <x:c r="P363" s="16" t="n">
        <x:f>IF(COUNT(I363:O363)&lt;7,"",I363*8+J363*3+K363*2+L363*2+M363*2+N363*2+O363)</x:f>
        <x:v>66</x:v>
      </x:c>
      <x:c r="Q363" s="16" t="n">
        <x:f>IF(COUNT(J363:O363)&lt;6,"",J363*5+K363*4+M363*4+L363*3+N363*2+O363*2)</x:f>
        <x:v>96</x:v>
      </x:c>
      <x:c r="R363" s="14" t="str">
        <x:v>high</x:v>
      </x:c>
      <x:c r="S363" s="14" t="str">
        <x:v>official_prozorro_award_2025_2026</x:v>
      </x:c>
      <x:c r="T363" s="14" t="str">
        <x:v>official_prozorro_api</x:v>
      </x:c>
      <x:c r="U363" s="14" t="str">
        <x:v>Не контактували</x:v>
      </x:c>
      <x:c r="V363" s="15" t="str">
        <x:v>Workflow-audit outreach по UA-2026-04-29-006326-a; попросити 1 пакет здачі та вимоги проєкту</x:v>
      </x:c>
      <x:c r="W363" s="15" t="str">
        <x:v>Власник / директор; керівник ПТО; відповідальний за договори</x:v>
      </x:c>
      <x:c r="X363" s="15" t="str">
        <x:v>1 підтверджених перемог/договорів у Prozorro на 40 016 067 грн; 1 проєктів зі строком виконання не раніше 24.08.2026.</x:v>
      </x:c>
      <x:c r="Y363" s="15" t="str">
        <x:v>Реконструкція ЦТП в котельню із встановленням газових котлів та реконструкцією теплових мереж на вул. Сахарова, 30-А у м. Івано-Франківську; строк до 2026-09-30. Попросити один знеособлений пакет здачі за цим workflow.</x:v>
      </x:c>
      <x:c r="Z363" s="15" t="str">
        <x:v>https://prozorro.gov.ua/tender/UA-2026-04-29-006326-a</x:v>
      </x:c>
      <x:c r="AA363" s="14" t="str">
        <x:v>39314325</x:v>
      </x:c>
      <x:c r="AB363" s="14" t="str">
        <x:v>2026-08-24</x:v>
      </x:c>
      <x:c r="AC363" s="14" t="str"/>
      <x:c r="AD363" s="20" t="str"/>
      <x:c r="AE363" s="14" t="str"/>
      <x:c r="AF363" s="14" t="n">
        <x:v>62</x:v>
      </x:c>
      <x:c r="AG363" s="14" t="str">
        <x:v>I2</x:v>
      </x:c>
      <x:c r="AH363" s="14" t="n">
        <x:v>1</x:v>
      </x:c>
      <x:c r="AI363" s="14" t="n">
        <x:v>1</x:v>
      </x:c>
      <x:c r="AJ363" s="18" t="n">
        <x:v>40016067.22</x:v>
      </x:c>
      <x:c r="AK363" s="14" t="str">
        <x:v>https://prozorro.gov.ua/tender/UA-2026-04-29-006326-a</x:v>
      </x:c>
      <x:c r="AL363" s="19" t="n">
        <x:v>46162.57350153935</x:v>
      </x:c>
      <x:c r="AM363" s="19" t="n">
        <x:v>46295</x:v>
      </x:c>
      <x:c r="AN363" s="15" t="str">
        <x:v>Теплові мережі</x:v>
      </x:c>
      <x:c r="AO363" s="15" t="str">
        <x:v>not_found_in_top_search</x:v>
      </x:c>
    </x:row>
    <x:row r="364">
      <x:c r="A364" s="14" t="str">
        <x:v>W3-092</x:v>
      </x:c>
      <x:c r="B364" s="14" t="str">
        <x:v>Prozorro winners — 24.08</x:v>
      </x:c>
      <x:c r="C364" s="14" t="str">
        <x:v>ПП "ЛЕС"</x:v>
      </x:c>
      <x:c r="D364" s="14" t="str">
        <x:v>Зовнішні мережі</x:v>
      </x:c>
      <x:c r="E364" s="14" t="str">
        <x:v>Expansion discovery</x:v>
      </x:c>
      <x:c r="F364" s="17" t="str">
        <x:f>IF(E364="Pilot now",IF(P364&gt;=84,"P1",IF(P364&gt;=72,"P2","P3")),IF(E364="Expansion discovery",IF(Q364&gt;=88,"D1",IF(Q364&gt;=78,"D2","D3")),IF(E364="Later / requirements","L","Legacy")))</x:f>
        <x:v>D1</x:v>
      </x:c>
      <x:c r="G364" s="14" t="str">
        <x:v>les.lviv.ua</x:v>
      </x:c>
      <x:c r="H364" s="14" t="str">
        <x:v>Discovery розширення — 2 тижні</x:v>
      </x:c>
      <x:c r="I364" s="16" t="n">
        <x:v>1</x:v>
      </x:c>
      <x:c r="J364" s="16" t="n">
        <x:v>5</x:v>
      </x:c>
      <x:c r="K364" s="16" t="n">
        <x:v>4</x:v>
      </x:c>
      <x:c r="L364" s="16" t="n">
        <x:v>5</x:v>
      </x:c>
      <x:c r="M364" s="16" t="n">
        <x:v>5</x:v>
      </x:c>
      <x:c r="N364" s="16" t="n">
        <x:v>5</x:v>
      </x:c>
      <x:c r="O364" s="16" t="n">
        <x:v>5</x:v>
      </x:c>
      <x:c r="P364" s="16" t="n">
        <x:f>IF(COUNT(I364:O364)&lt;7,"",I364*8+J364*3+K364*2+L364*2+M364*2+N364*2+O364)</x:f>
        <x:v>66</x:v>
      </x:c>
      <x:c r="Q364" s="16" t="n">
        <x:f>IF(COUNT(J364:O364)&lt;6,"",J364*5+K364*4+M364*4+L364*3+N364*2+O364*2)</x:f>
        <x:v>96</x:v>
      </x:c>
      <x:c r="R364" s="14" t="str">
        <x:v>high</x:v>
      </x:c>
      <x:c r="S364" s="14" t="str">
        <x:v>official_prozorro_award_2025_2026</x:v>
      </x:c>
      <x:c r="T364" s="14" t="str">
        <x:v>official_prozorro_api</x:v>
      </x:c>
      <x:c r="U364" s="14" t="str">
        <x:v>Не контактували</x:v>
      </x:c>
      <x:c r="V364" s="15" t="str">
        <x:v>Workflow-audit outreach по UA-2026-05-20-013626-a; попросити 1 пакет здачі та вимоги проєкту</x:v>
      </x:c>
      <x:c r="W364" s="15" t="str">
        <x:v>Власник / директор; керівник ПТО; відповідальний за договори</x:v>
      </x:c>
      <x:c r="X364" s="15" t="str">
        <x:v>1 підтверджених перемог/договорів у Prozorro на 29 630 026 грн; 1 проєктів зі строком виконання не раніше 24.08.2026.</x:v>
      </x:c>
      <x:c r="Y364" s="15" t="str">
        <x:v>Виконання будівельно-монтажних робіт по об’єкту: 
“Нове будівництво зовнішніх інженерних мереж електропостачання військового містечка №50, село Мала Любаша, Рівненська область” (І черга); строк до 2027-05-01. Попросити один знеособлений пакет здачі за цим workflow.</x:v>
      </x:c>
      <x:c r="Z364" s="15" t="str">
        <x:v>https://prozorro.gov.ua/tender/UA-2026-05-20-013626-a</x:v>
      </x:c>
      <x:c r="AA364" s="14" t="str">
        <x:v>36828486</x:v>
      </x:c>
      <x:c r="AB364" s="14" t="str">
        <x:v>2026-08-24</x:v>
      </x:c>
      <x:c r="AC364" s="14" t="str"/>
      <x:c r="AD364" s="20" t="str"/>
      <x:c r="AE364" s="14" t="str"/>
      <x:c r="AF364" s="14" t="n">
        <x:v>62</x:v>
      </x:c>
      <x:c r="AG364" s="14" t="str">
        <x:v>I2</x:v>
      </x:c>
      <x:c r="AH364" s="14" t="n">
        <x:v>1</x:v>
      </x:c>
      <x:c r="AI364" s="14" t="n">
        <x:v>1</x:v>
      </x:c>
      <x:c r="AJ364" s="18" t="n">
        <x:v>29630025.76</x:v>
      </x:c>
      <x:c r="AK364" s="14" t="str">
        <x:v>https://prozorro.gov.ua/tender/UA-2026-05-20-013626-a</x:v>
      </x:c>
      <x:c r="AL364" s="19" t="n">
        <x:v>46197.37506895833</x:v>
      </x:c>
      <x:c r="AM364" s="19" t="n">
        <x:v>46508</x:v>
      </x:c>
      <x:c r="AN364" s="15" t="str">
        <x:v>Зовнішні мережі</x:v>
      </x:c>
      <x:c r="AO364" s="15" t="str">
        <x:v>supplier_provided_url</x:v>
      </x:c>
    </x:row>
    <x:row r="365">
      <x:c r="A365" s="14" t="str">
        <x:v>W3-093</x:v>
      </x:c>
      <x:c r="B365" s="14" t="str">
        <x:v>Prozorro winners — 24.08</x:v>
      </x:c>
      <x:c r="C365" s="14" t="str">
        <x:v>Товариство з обмеженою відповідальністю «БК Домінант»</x:v>
      </x:c>
      <x:c r="D365" s="14" t="str">
        <x:v>Насосні станції</x:v>
      </x:c>
      <x:c r="E365" s="14" t="str">
        <x:v>Expansion discovery</x:v>
      </x:c>
      <x:c r="F365" s="17" t="str">
        <x:f>IF(E365="Pilot now",IF(P365&gt;=84,"P1",IF(P365&gt;=72,"P2","P3")),IF(E365="Expansion discovery",IF(Q365&gt;=88,"D1",IF(Q365&gt;=78,"D2","D3")),IF(E365="Later / requirements","L","Legacy")))</x:f>
        <x:v>D1</x:v>
      </x:c>
      <x:c r="G365" s="14" t="str"/>
      <x:c r="H365" s="14" t="str">
        <x:v>Discovery розширення — 2 тижні</x:v>
      </x:c>
      <x:c r="I365" s="16" t="n">
        <x:v>1</x:v>
      </x:c>
      <x:c r="J365" s="16" t="n">
        <x:v>5</x:v>
      </x:c>
      <x:c r="K365" s="16" t="n">
        <x:v>4</x:v>
      </x:c>
      <x:c r="L365" s="16" t="n">
        <x:v>5</x:v>
      </x:c>
      <x:c r="M365" s="16" t="n">
        <x:v>5</x:v>
      </x:c>
      <x:c r="N365" s="16" t="n">
        <x:v>5</x:v>
      </x:c>
      <x:c r="O365" s="16" t="n">
        <x:v>5</x:v>
      </x:c>
      <x:c r="P365" s="16" t="n">
        <x:f>IF(COUNT(I365:O365)&lt;7,"",I365*8+J365*3+K365*2+L365*2+M365*2+N365*2+O365)</x:f>
        <x:v>66</x:v>
      </x:c>
      <x:c r="Q365" s="16" t="n">
        <x:f>IF(COUNT(J365:O365)&lt;6,"",J365*5+K365*4+M365*4+L365*3+N365*2+O365*2)</x:f>
        <x:v>96</x:v>
      </x:c>
      <x:c r="R365" s="14" t="str">
        <x:v>high</x:v>
      </x:c>
      <x:c r="S365" s="14" t="str">
        <x:v>official_prozorro_award_2025_2026</x:v>
      </x:c>
      <x:c r="T365" s="14" t="str">
        <x:v>official_prozorro_api</x:v>
      </x:c>
      <x:c r="U365" s="14" t="str">
        <x:v>Не контактували</x:v>
      </x:c>
      <x:c r="V365" s="15" t="str">
        <x:v>Workflow-audit outreach по UA-2026-06-30-011765-a; попросити 1 пакет здачі та вимоги проєкту</x:v>
      </x:c>
      <x:c r="W365" s="15" t="str">
        <x:v>Власник / директор; керівник ПТО; відповідальний за договори</x:v>
      </x:c>
      <x:c r="X365" s="15" t="str">
        <x:v>1 підтверджених перемог/договорів у Prozorro на 24 838 875 грн; 1 проєктів зі строком виконання не раніше 24.08.2026.</x:v>
      </x:c>
      <x:c r="Y365" s="15" t="str">
        <x:v>Виконання робіт по об'єкту: "Реконструкція електричної мережі каналізаційної насосної станції №1, розташованої у місті Чернігові з встановленням когенераційної установки як альтернативного джерела живлення" (ДК 021:2015: 5000000-7 - Будівельні роботи та поточний ремонт); строк до 2027-12-31. Попросити один знеособлений пакет здачі за цим workflow.</x:v>
      </x:c>
      <x:c r="Z365" s="15" t="str">
        <x:v>https://prozorro.gov.ua/tender/UA-2026-06-30-011765-a</x:v>
      </x:c>
      <x:c r="AA365" s="14" t="str">
        <x:v>40442698</x:v>
      </x:c>
      <x:c r="AB365" s="14" t="str">
        <x:v>2026-08-24</x:v>
      </x:c>
      <x:c r="AC365" s="14" t="str"/>
      <x:c r="AD365" s="20" t="str"/>
      <x:c r="AE365" s="14" t="str"/>
      <x:c r="AF365" s="14" t="n">
        <x:v>62</x:v>
      </x:c>
      <x:c r="AG365" s="14" t="str">
        <x:v>I2</x:v>
      </x:c>
      <x:c r="AH365" s="14" t="n">
        <x:v>1</x:v>
      </x:c>
      <x:c r="AI365" s="14" t="n">
        <x:v>1</x:v>
      </x:c>
      <x:c r="AJ365" s="18" t="n">
        <x:v>24838875.38</x:v>
      </x:c>
      <x:c r="AK365" s="14" t="str">
        <x:v>https://prozorro.gov.ua/tender/UA-2026-06-30-011765-a</x:v>
      </x:c>
      <x:c r="AL365" s="19" t="n">
        <x:v>46203.54539540509</x:v>
      </x:c>
      <x:c r="AM365" s="19" t="n">
        <x:v>46752.585231481484</x:v>
      </x:c>
      <x:c r="AN365" s="15" t="str">
        <x:v>Насосні станції</x:v>
      </x:c>
      <x:c r="AO365" s="15" t="str">
        <x:v>not_found_in_top_search</x:v>
      </x:c>
    </x:row>
    <x:row r="366">
      <x:c r="A366" s="14" t="str">
        <x:v>W3-094</x:v>
      </x:c>
      <x:c r="B366" s="14" t="str">
        <x:v>Prozorro winners — 24.08</x:v>
      </x:c>
      <x:c r="C366" s="14" t="str">
        <x:v>ПрАТ Агробудмеханізація</x:v>
      </x:c>
      <x:c r="D366" s="14" t="str">
        <x:v>Зовнішні мережі</x:v>
      </x:c>
      <x:c r="E366" s="14" t="str">
        <x:v>Expansion discovery</x:v>
      </x:c>
      <x:c r="F366" s="17" t="str">
        <x:f>IF(E366="Pilot now",IF(P366&gt;=84,"P1",IF(P366&gt;=72,"P2","P3")),IF(E366="Expansion discovery",IF(Q366&gt;=88,"D1",IF(Q366&gt;=78,"D2","D3")),IF(E366="Later / requirements","L","Legacy")))</x:f>
        <x:v>D1</x:v>
      </x:c>
      <x:c r="G366" s="14" t="str">
        <x:v>agrobudmeh.com</x:v>
      </x:c>
      <x:c r="H366" s="14" t="str">
        <x:v>Discovery розширення — 2 тижні</x:v>
      </x:c>
      <x:c r="I366" s="16" t="n">
        <x:v>1</x:v>
      </x:c>
      <x:c r="J366" s="16" t="n">
        <x:v>5</x:v>
      </x:c>
      <x:c r="K366" s="16" t="n">
        <x:v>4</x:v>
      </x:c>
      <x:c r="L366" s="16" t="n">
        <x:v>5</x:v>
      </x:c>
      <x:c r="M366" s="16" t="n">
        <x:v>5</x:v>
      </x:c>
      <x:c r="N366" s="16" t="n">
        <x:v>5</x:v>
      </x:c>
      <x:c r="O366" s="16" t="n">
        <x:v>5</x:v>
      </x:c>
      <x:c r="P366" s="16" t="n">
        <x:f>IF(COUNT(I366:O366)&lt;7,"",I366*8+J366*3+K366*2+L366*2+M366*2+N366*2+O366)</x:f>
        <x:v>66</x:v>
      </x:c>
      <x:c r="Q366" s="16" t="n">
        <x:f>IF(COUNT(J366:O366)&lt;6,"",J366*5+K366*4+M366*4+L366*3+N366*2+O366*2)</x:f>
        <x:v>96</x:v>
      </x:c>
      <x:c r="R366" s="14" t="str">
        <x:v>high</x:v>
      </x:c>
      <x:c r="S366" s="14" t="str">
        <x:v>official_prozorro_award_2025_2026</x:v>
      </x:c>
      <x:c r="T366" s="14" t="str">
        <x:v>official_prozorro_api</x:v>
      </x:c>
      <x:c r="U366" s="14" t="str">
        <x:v>Не контактували</x:v>
      </x:c>
      <x:c r="V366" s="15" t="str">
        <x:v>Workflow-audit outreach по UA-2026-06-22-012842-a; попросити 1 пакет здачі та вимоги проєкту</x:v>
      </x:c>
      <x:c r="W366" s="15" t="str">
        <x:v>Власник / директор; керівник ПТО; відповідальний за договори</x:v>
      </x:c>
      <x:c r="X366" s="15" t="str">
        <x:v>1 підтверджених перемог/договорів у Prozorro на 24 229 978 грн; 1 проєктів зі строком виконання не раніше 24.08.2026.</x:v>
      </x:c>
      <x:c r="Y366" s="15" t="str">
        <x:v>Нове будівництво зовнішніх інженерних мереж з підключенням збірно-розбірних комплексних споруд в Київській області; строк до 2027-06-01. Попросити один знеособлений пакет здачі за цим workflow.</x:v>
      </x:c>
      <x:c r="Z366" s="15" t="str">
        <x:v>https://prozorro.gov.ua/tender/UA-2026-06-22-012842-a</x:v>
      </x:c>
      <x:c r="AA366" s="14" t="str">
        <x:v>13708491</x:v>
      </x:c>
      <x:c r="AB366" s="14" t="str">
        <x:v>2026-08-24</x:v>
      </x:c>
      <x:c r="AC366" s="14" t="str"/>
      <x:c r="AD366" s="20" t="str"/>
      <x:c r="AE366" s="14" t="str"/>
      <x:c r="AF366" s="14" t="n">
        <x:v>62</x:v>
      </x:c>
      <x:c r="AG366" s="14" t="str">
        <x:v>I2</x:v>
      </x:c>
      <x:c r="AH366" s="14" t="n">
        <x:v>1</x:v>
      </x:c>
      <x:c r="AI366" s="14" t="n">
        <x:v>1</x:v>
      </x:c>
      <x:c r="AJ366" s="18" t="n">
        <x:v>24229978</x:v>
      </x:c>
      <x:c r="AK366" s="14" t="str">
        <x:v>https://prozorro.gov.ua/tender/UA-2026-06-22-012842-a</x:v>
      </x:c>
      <x:c r="AL366" s="19" t="n">
        <x:v>46209.46728862268</x:v>
      </x:c>
      <x:c r="AM366" s="19" t="n">
        <x:v>46539</x:v>
      </x:c>
      <x:c r="AN366" s="15" t="str">
        <x:v>Зовнішні мережі</x:v>
      </x:c>
      <x:c r="AO366" s="15" t="str">
        <x:v>supplier_provided_url</x:v>
      </x:c>
    </x:row>
    <x:row r="367">
      <x:c r="A367" s="14" t="str">
        <x:v>W3-095</x:v>
      </x:c>
      <x:c r="B367" s="14" t="str">
        <x:v>Prozorro winners — 24.08</x:v>
      </x:c>
      <x:c r="C367" s="14" t="str">
        <x:v>ТОВ "ПСК Енергобуд"</x:v>
      </x:c>
      <x:c r="D367" s="14" t="str">
        <x:v>Насосні станції</x:v>
      </x:c>
      <x:c r="E367" s="14" t="str">
        <x:v>Expansion discovery</x:v>
      </x:c>
      <x:c r="F367" s="17" t="str">
        <x:f>IF(E367="Pilot now",IF(P367&gt;=84,"P1",IF(P367&gt;=72,"P2","P3")),IF(E367="Expansion discovery",IF(Q367&gt;=88,"D1",IF(Q367&gt;=78,"D2","D3")),IF(E367="Later / requirements","L","Legacy")))</x:f>
        <x:v>D1</x:v>
      </x:c>
      <x:c r="G367" s="14" t="str"/>
      <x:c r="H367" s="14" t="str">
        <x:v>Discovery розширення — 2 тижні</x:v>
      </x:c>
      <x:c r="I367" s="16" t="n">
        <x:v>1</x:v>
      </x:c>
      <x:c r="J367" s="16" t="n">
        <x:v>5</x:v>
      </x:c>
      <x:c r="K367" s="16" t="n">
        <x:v>4</x:v>
      </x:c>
      <x:c r="L367" s="16" t="n">
        <x:v>5</x:v>
      </x:c>
      <x:c r="M367" s="16" t="n">
        <x:v>5</x:v>
      </x:c>
      <x:c r="N367" s="16" t="n">
        <x:v>5</x:v>
      </x:c>
      <x:c r="O367" s="16" t="n">
        <x:v>5</x:v>
      </x:c>
      <x:c r="P367" s="16" t="n">
        <x:f>IF(COUNT(I367:O367)&lt;7,"",I367*8+J367*3+K367*2+L367*2+M367*2+N367*2+O367)</x:f>
        <x:v>66</x:v>
      </x:c>
      <x:c r="Q367" s="16" t="n">
        <x:f>IF(COUNT(J367:O367)&lt;6,"",J367*5+K367*4+M367*4+L367*3+N367*2+O367*2)</x:f>
        <x:v>96</x:v>
      </x:c>
      <x:c r="R367" s="14" t="str">
        <x:v>high</x:v>
      </x:c>
      <x:c r="S367" s="14" t="str">
        <x:v>official_prozorro_award_2025_2026</x:v>
      </x:c>
      <x:c r="T367" s="14" t="str">
        <x:v>official_prozorro_api</x:v>
      </x:c>
      <x:c r="U367" s="14" t="str">
        <x:v>Не контактували</x:v>
      </x:c>
      <x:c r="V367" s="15" t="str">
        <x:v>Workflow-audit outreach по UA-2026-04-30-010755-a; попросити 1 пакет здачі та вимоги проєкту</x:v>
      </x:c>
      <x:c r="W367" s="15" t="str">
        <x:v>Власник / директор; керівник ПТО; відповідальний за договори</x:v>
      </x:c>
      <x:c r="X367" s="15" t="str">
        <x:v>1 підтверджених перемог/договорів у Prozorro на 14 741 526 грн; 1 проєктів зі строком виконання не раніше 24.08.2026.</x:v>
      </x:c>
      <x:c r="Y367" s="15" t="str">
        <x:v>"Реконструкція РП-6 кВ насосної станції № 28 (інв.№2258) шляхом підключення до мереж КП "ХТМ" (ТЕЦ-4) за адресою: м. Харків, *** (КП "Харківводоканал"). Коригування" (код ДК: 021:2015-45454000-4-Реконструкція )
; строк до 2026-11-30. Попросити один знеособлений пакет здачі за цим workflow.</x:v>
      </x:c>
      <x:c r="Z367" s="15" t="str">
        <x:v>https://prozorro.gov.ua/tender/UA-2026-04-30-010755-a</x:v>
      </x:c>
      <x:c r="AA367" s="14" t="str">
        <x:v>36191288</x:v>
      </x:c>
      <x:c r="AB367" s="14" t="str">
        <x:v>2026-08-24</x:v>
      </x:c>
      <x:c r="AC367" s="14" t="str"/>
      <x:c r="AD367" s="20" t="str"/>
      <x:c r="AE367" s="14" t="str"/>
      <x:c r="AF367" s="14" t="n">
        <x:v>62</x:v>
      </x:c>
      <x:c r="AG367" s="14" t="str">
        <x:v>I2</x:v>
      </x:c>
      <x:c r="AH367" s="14" t="n">
        <x:v>1</x:v>
      </x:c>
      <x:c r="AI367" s="14" t="n">
        <x:v>1</x:v>
      </x:c>
      <x:c r="AJ367" s="18" t="n">
        <x:v>14741526</x:v>
      </x:c>
      <x:c r="AK367" s="14" t="str">
        <x:v>https://prozorro.gov.ua/tender/UA-2026-04-30-010755-a</x:v>
      </x:c>
      <x:c r="AL367" s="19" t="n">
        <x:v>46165.554012291665</x:v>
      </x:c>
      <x:c r="AM367" s="19" t="n">
        <x:v>46356.916655092595</x:v>
      </x:c>
      <x:c r="AN367" s="15" t="str">
        <x:v>Насосні станції</x:v>
      </x:c>
      <x:c r="AO367" s="15" t="str">
        <x:v>not_found_in_top_search</x:v>
      </x:c>
    </x:row>
    <x:row r="368">
      <x:c r="A368" s="14" t="str">
        <x:v>W3-096</x:v>
      </x:c>
      <x:c r="B368" s="14" t="str">
        <x:v>Prozorro winners — 24.08</x:v>
      </x:c>
      <x:c r="C368" s="14" t="str">
        <x:v>Товариство з обмеженою відповідальністю "МІСТПРОЕКТ"</x:v>
      </x:c>
      <x:c r="D368" s="14" t="str">
        <x:v>Мости / інфраструктура</x:v>
      </x:c>
      <x:c r="E368" s="14" t="str">
        <x:v>Expansion discovery</x:v>
      </x:c>
      <x:c r="F368" s="17" t="str">
        <x:f>IF(E368="Pilot now",IF(P368&gt;=84,"P1",IF(P368&gt;=72,"P2","P3")),IF(E368="Expansion discovery",IF(Q368&gt;=88,"D1",IF(Q368&gt;=78,"D2","D3")),IF(E368="Later / requirements","L","Legacy")))</x:f>
        <x:v>D1</x:v>
      </x:c>
      <x:c r="G368" s="14" t="str"/>
      <x:c r="H368" s="14" t="str">
        <x:v>Discovery розширення — 2 тижні</x:v>
      </x:c>
      <x:c r="I368" s="16" t="n">
        <x:v>1</x:v>
      </x:c>
      <x:c r="J368" s="16" t="n">
        <x:v>5</x:v>
      </x:c>
      <x:c r="K368" s="16" t="n">
        <x:v>4</x:v>
      </x:c>
      <x:c r="L368" s="16" t="n">
        <x:v>5</x:v>
      </x:c>
      <x:c r="M368" s="16" t="n">
        <x:v>5</x:v>
      </x:c>
      <x:c r="N368" s="16" t="n">
        <x:v>5</x:v>
      </x:c>
      <x:c r="O368" s="16" t="n">
        <x:v>5</x:v>
      </x:c>
      <x:c r="P368" s="16" t="n">
        <x:f>IF(COUNT(I368:O368)&lt;7,"",I368*8+J368*3+K368*2+L368*2+M368*2+N368*2+O368)</x:f>
        <x:v>66</x:v>
      </x:c>
      <x:c r="Q368" s="16" t="n">
        <x:f>IF(COUNT(J368:O368)&lt;6,"",J368*5+K368*4+M368*4+L368*3+N368*2+O368*2)</x:f>
        <x:v>96</x:v>
      </x:c>
      <x:c r="R368" s="14" t="str">
        <x:v>high</x:v>
      </x:c>
      <x:c r="S368" s="14" t="str">
        <x:v>official_prozorro_award_2025_2026</x:v>
      </x:c>
      <x:c r="T368" s="14" t="str">
        <x:v>official_prozorro_api</x:v>
      </x:c>
      <x:c r="U368" s="14" t="str">
        <x:v>Не контактували</x:v>
      </x:c>
      <x:c r="V368" s="15" t="str">
        <x:v>Workflow-audit outreach по UA-2026-05-08-009065-a; попросити 1 пакет здачі та вимоги проєкту</x:v>
      </x:c>
      <x:c r="W368" s="15" t="str">
        <x:v>Власник / директор; керівник ПТО; відповідальний за договори</x:v>
      </x:c>
      <x:c r="X368" s="15" t="str">
        <x:v>1 підтверджених перемог/договорів у Prozorro на 11 483 640 грн; 1 проєктів зі строком виконання не раніше 24.08.2026.</x:v>
      </x:c>
      <x:c r="Y368" s="15" t="str">
        <x:v>Архітектурні, інженерні та планувальні послуги за кодом ДК 021:2015 - 71240000-2 (послуги з проєктування об’єкту: «Поточний ремонт тротуарів Північного мосту через р. Дніпро та мосту через р. Десенка»); строк до 2026-12-31. Попросити один знеособлений пакет здачі за цим workflow.</x:v>
      </x:c>
      <x:c r="Z368" s="15" t="str">
        <x:v>https://prozorro.gov.ua/tender/UA-2026-05-08-009065-a</x:v>
      </x:c>
      <x:c r="AA368" s="14" t="str">
        <x:v>31483723</x:v>
      </x:c>
      <x:c r="AB368" s="14" t="str">
        <x:v>2026-08-24</x:v>
      </x:c>
      <x:c r="AC368" s="14" t="str"/>
      <x:c r="AD368" s="20" t="str"/>
      <x:c r="AE368" s="14" t="str"/>
      <x:c r="AF368" s="14" t="n">
        <x:v>62</x:v>
      </x:c>
      <x:c r="AG368" s="14" t="str">
        <x:v>I2</x:v>
      </x:c>
      <x:c r="AH368" s="14" t="n">
        <x:v>1</x:v>
      </x:c>
      <x:c r="AI368" s="14" t="n">
        <x:v>1</x:v>
      </x:c>
      <x:c r="AJ368" s="18" t="n">
        <x:v>11483640</x:v>
      </x:c>
      <x:c r="AK368" s="14" t="str">
        <x:v>https://prozorro.gov.ua/tender/UA-2026-05-08-009065-a</x:v>
      </x:c>
      <x:c r="AL368" s="19" t="n">
        <x:v>46161.51756497685</x:v>
      </x:c>
      <x:c r="AM368" s="19" t="n">
        <x:v>46387</x:v>
      </x:c>
      <x:c r="AN368" s="15" t="str">
        <x:v>Мости / інфраструктура</x:v>
      </x:c>
      <x:c r="AO368" s="15" t="str">
        <x:v>not_found_in_top_search</x:v>
      </x:c>
    </x:row>
    <x:row r="369">
      <x:c r="A369" s="14" t="str">
        <x:v>W3-097</x:v>
      </x:c>
      <x:c r="B369" s="14" t="str">
        <x:v>Prozorro winners — 24.08</x:v>
      </x:c>
      <x:c r="C369" s="14" t="str">
        <x:v>ТОВ "МОРАДА"</x:v>
      </x:c>
      <x:c r="D369" s="14" t="str">
        <x:v>Мости / інфраструктура</x:v>
      </x:c>
      <x:c r="E369" s="14" t="str">
        <x:v>Expansion discovery</x:v>
      </x:c>
      <x:c r="F369" s="17" t="str">
        <x:f>IF(E369="Pilot now",IF(P369&gt;=84,"P1",IF(P369&gt;=72,"P2","P3")),IF(E369="Expansion discovery",IF(Q369&gt;=88,"D1",IF(Q369&gt;=78,"D2","D3")),IF(E369="Later / requirements","L","Legacy")))</x:f>
        <x:v>D1</x:v>
      </x:c>
      <x:c r="G369" s="14" t="str"/>
      <x:c r="H369" s="14" t="str">
        <x:v>Discovery розширення — 2 тижні</x:v>
      </x:c>
      <x:c r="I369" s="16" t="n">
        <x:v>1</x:v>
      </x:c>
      <x:c r="J369" s="16" t="n">
        <x:v>5</x:v>
      </x:c>
      <x:c r="K369" s="16" t="n">
        <x:v>4</x:v>
      </x:c>
      <x:c r="L369" s="16" t="n">
        <x:v>5</x:v>
      </x:c>
      <x:c r="M369" s="16" t="n">
        <x:v>5</x:v>
      </x:c>
      <x:c r="N369" s="16" t="n">
        <x:v>5</x:v>
      </x:c>
      <x:c r="O369" s="16" t="n">
        <x:v>5</x:v>
      </x:c>
      <x:c r="P369" s="16" t="n">
        <x:f>IF(COUNT(I369:O369)&lt;7,"",I369*8+J369*3+K369*2+L369*2+M369*2+N369*2+O369)</x:f>
        <x:v>66</x:v>
      </x:c>
      <x:c r="Q369" s="16" t="n">
        <x:f>IF(COUNT(J369:O369)&lt;6,"",J369*5+K369*4+M369*4+L369*3+N369*2+O369*2)</x:f>
        <x:v>96</x:v>
      </x:c>
      <x:c r="R369" s="14" t="str">
        <x:v>high</x:v>
      </x:c>
      <x:c r="S369" s="14" t="str">
        <x:v>official_prozorro_award_2025_2026</x:v>
      </x:c>
      <x:c r="T369" s="14" t="str">
        <x:v>official_prozorro_api</x:v>
      </x:c>
      <x:c r="U369" s="14" t="str">
        <x:v>Не контактували</x:v>
      </x:c>
      <x:c r="V369" s="15" t="str">
        <x:v>Workflow-audit outreach по UA-2026-05-08-013164-a; попросити 1 пакет здачі та вимоги проєкту</x:v>
      </x:c>
      <x:c r="W369" s="15" t="str">
        <x:v>Власник / директор; керівник ПТО; відповідальний за договори</x:v>
      </x:c>
      <x:c r="X369" s="15" t="str">
        <x:v>1 підтверджених перемог/договорів у Prozorro на 11 160 114 грн; 1 проєктів зі строком виконання не раніше 24.08.2026.</x:v>
      </x:c>
      <x:c r="Y369" s="15" t="str">
        <x:v>Послуги з благоустрою - поточний ремонт мостів та шляхопроводів; строк до 2026-12-31. Попросити один знеособлений пакет здачі за цим workflow.</x:v>
      </x:c>
      <x:c r="Z369" s="15" t="str">
        <x:v>https://prozorro.gov.ua/tender/UA-2026-05-08-013164-a</x:v>
      </x:c>
      <x:c r="AA369" s="14" t="str">
        <x:v>46063758</x:v>
      </x:c>
      <x:c r="AB369" s="14" t="str">
        <x:v>2026-08-24</x:v>
      </x:c>
      <x:c r="AC369" s="14" t="str"/>
      <x:c r="AD369" s="20" t="str"/>
      <x:c r="AE369" s="14" t="str"/>
      <x:c r="AF369" s="14" t="n">
        <x:v>62</x:v>
      </x:c>
      <x:c r="AG369" s="14" t="str">
        <x:v>I2</x:v>
      </x:c>
      <x:c r="AH369" s="14" t="n">
        <x:v>1</x:v>
      </x:c>
      <x:c r="AI369" s="14" t="n">
        <x:v>1</x:v>
      </x:c>
      <x:c r="AJ369" s="18" t="n">
        <x:v>11160113.51</x:v>
      </x:c>
      <x:c r="AK369" s="14" t="str">
        <x:v>https://prozorro.gov.ua/tender/UA-2026-05-08-013164-a</x:v>
      </x:c>
      <x:c r="AL369" s="19" t="n">
        <x:v>46161.63035443287</x:v>
      </x:c>
      <x:c r="AM369" s="19" t="n">
        <x:v>46387</x:v>
      </x:c>
      <x:c r="AN369" s="15" t="str">
        <x:v>Мости / інфраструктура</x:v>
      </x:c>
      <x:c r="AO369" s="15" t="str">
        <x:v>not_found_in_top_search</x:v>
      </x:c>
    </x:row>
    <x:row r="370">
      <x:c r="A370" s="14" t="str">
        <x:v>W3-098</x:v>
      </x:c>
      <x:c r="B370" s="14" t="str">
        <x:v>Prozorro winners — 24.08</x:v>
      </x:c>
      <x:c r="C370" s="14" t="str">
        <x:v>ТОВАРИСТВО З ОБМЕЖЕНОЮ ВІДПОВІДАЛЬНІСТЮ "БЕЗПЕКА 2017"</x:v>
      </x:c>
      <x:c r="D370" s="14" t="str">
        <x:v>Безпека / СКУД / CCTV</x:v>
      </x:c>
      <x:c r="E370" s="14" t="str">
        <x:v>Expansion discovery</x:v>
      </x:c>
      <x:c r="F370" s="17" t="str">
        <x:f>IF(E370="Pilot now",IF(P370&gt;=84,"P1",IF(P370&gt;=72,"P2","P3")),IF(E370="Expansion discovery",IF(Q370&gt;=88,"D1",IF(Q370&gt;=78,"D2","D3")),IF(E370="Later / requirements","L","Legacy")))</x:f>
        <x:v>D2</x:v>
      </x:c>
      <x:c r="G370" s="14" t="str"/>
      <x:c r="H370" s="14" t="str">
        <x:v>Discovery розширення — 2 тижні</x:v>
      </x:c>
      <x:c r="I370" s="16" t="n">
        <x:v>1</x:v>
      </x:c>
      <x:c r="J370" s="16" t="n">
        <x:v>5</x:v>
      </x:c>
      <x:c r="K370" s="16" t="n">
        <x:v>4</x:v>
      </x:c>
      <x:c r="L370" s="16" t="n">
        <x:v>1</x:v>
      </x:c>
      <x:c r="M370" s="16" t="n">
        <x:v>5</x:v>
      </x:c>
      <x:c r="N370" s="16" t="n">
        <x:v>5</x:v>
      </x:c>
      <x:c r="O370" s="16" t="n">
        <x:v>5</x:v>
      </x:c>
      <x:c r="P370" s="16" t="n">
        <x:f>IF(COUNT(I370:O370)&lt;7,"",I370*8+J370*3+K370*2+L370*2+M370*2+N370*2+O370)</x:f>
        <x:v>58</x:v>
      </x:c>
      <x:c r="Q370" s="16" t="n">
        <x:f>IF(COUNT(J370:O370)&lt;6,"",J370*5+K370*4+M370*4+L370*3+N370*2+O370*2)</x:f>
        <x:v>84</x:v>
      </x:c>
      <x:c r="R370" s="14" t="str">
        <x:v>high</x:v>
      </x:c>
      <x:c r="S370" s="14" t="str">
        <x:v>official_prozorro_award_2025_2026</x:v>
      </x:c>
      <x:c r="T370" s="14" t="str">
        <x:v>official_prozorro_api</x:v>
      </x:c>
      <x:c r="U370" s="14" t="str">
        <x:v>Не контактували</x:v>
      </x:c>
      <x:c r="V370" s="15" t="str">
        <x:v>Workflow-audit outreach по UA-2026-08-04-007032-a; попросити 1 пакет здачі та вимоги проєкту</x:v>
      </x:c>
      <x:c r="W370" s="15" t="str">
        <x:v>Власник / директор; керівник ПТО; відповідальний за договори</x:v>
      </x:c>
      <x:c r="X370" s="15" t="str">
        <x:v>2 підтверджених перемог/договорів у Prozorro на 51 237 грн; 2 проєктів зі строком виконання не раніше 24.08.2026.</x:v>
      </x:c>
      <x:c r="Y370" s="15" t="str">
        <x:v>Монтаж систем відеоспостереження; строк до 2026-12-31. Попросити один знеособлений пакет здачі за цим workflow.</x:v>
      </x:c>
      <x:c r="Z370" s="15" t="str">
        <x:v>https://prozorro.gov.ua/tender/UA-2026-08-04-007032-a</x:v>
      </x:c>
      <x:c r="AA370" s="14" t="str">
        <x:v>41481392</x:v>
      </x:c>
      <x:c r="AB370" s="14" t="str">
        <x:v>2026-08-24</x:v>
      </x:c>
      <x:c r="AC370" s="14" t="str"/>
      <x:c r="AD370" s="20" t="str"/>
      <x:c r="AE370" s="14" t="str"/>
      <x:c r="AF370" s="14" t="n">
        <x:v>62</x:v>
      </x:c>
      <x:c r="AG370" s="14" t="str">
        <x:v>I2</x:v>
      </x:c>
      <x:c r="AH370" s="14" t="n">
        <x:v>2</x:v>
      </x:c>
      <x:c r="AI370" s="14" t="n">
        <x:v>2</x:v>
      </x:c>
      <x:c r="AJ370" s="18" t="n">
        <x:v>51236.91</x:v>
      </x:c>
      <x:c r="AK370" s="14" t="str">
        <x:v>https://prozorro.gov.ua/tender/UA-2026-08-04-007032-a</x:v>
      </x:c>
      <x:c r="AL370" s="19" t="n">
        <x:v>46238.461832719906</x:v>
      </x:c>
      <x:c r="AM370" s="19" t="n">
        <x:v>46387</x:v>
      </x:c>
      <x:c r="AN370" s="15" t="str">
        <x:v>Безпека / СКУД / CCTV</x:v>
      </x:c>
      <x:c r="AO370" s="15" t="str">
        <x:v>not_found_in_top_search</x:v>
      </x:c>
    </x:row>
    <x:row r="371">
      <x:c r="A371" s="14" t="str">
        <x:v>W3-099</x:v>
      </x:c>
      <x:c r="B371" s="14" t="str">
        <x:v>Prozorro winners — 24.08</x:v>
      </x:c>
      <x:c r="C371" s="14" t="str">
        <x:v>Управління поліції охорони в м. Києві</x:v>
      </x:c>
      <x:c r="D371" s="14" t="str">
        <x:v>Пожежогасіння</x:v>
      </x:c>
      <x:c r="E371" s="14" t="str">
        <x:v>Expansion discovery</x:v>
      </x:c>
      <x:c r="F371" s="17" t="str">
        <x:f>IF(E371="Pilot now",IF(P371&gt;=84,"P1",IF(P371&gt;=72,"P2","P3")),IF(E371="Expansion discovery",IF(Q371&gt;=88,"D1",IF(Q371&gt;=78,"D2","D3")),IF(E371="Later / requirements","L","Legacy")))</x:f>
        <x:v>D2</x:v>
      </x:c>
      <x:c r="G371" s="14" t="str"/>
      <x:c r="H371" s="14" t="str">
        <x:v>Discovery розширення — 2 тижні</x:v>
      </x:c>
      <x:c r="I371" s="16" t="n">
        <x:v>1</x:v>
      </x:c>
      <x:c r="J371" s="16" t="n">
        <x:v>5</x:v>
      </x:c>
      <x:c r="K371" s="16" t="n">
        <x:v>4</x:v>
      </x:c>
      <x:c r="L371" s="16" t="n">
        <x:v>1</x:v>
      </x:c>
      <x:c r="M371" s="16" t="n">
        <x:v>5</x:v>
      </x:c>
      <x:c r="N371" s="16" t="n">
        <x:v>5</x:v>
      </x:c>
      <x:c r="O371" s="16" t="n">
        <x:v>5</x:v>
      </x:c>
      <x:c r="P371" s="16" t="n">
        <x:f>IF(COUNT(I371:O371)&lt;7,"",I371*8+J371*3+K371*2+L371*2+M371*2+N371*2+O371)</x:f>
        <x:v>58</x:v>
      </x:c>
      <x:c r="Q371" s="16" t="n">
        <x:f>IF(COUNT(J371:O371)&lt;6,"",J371*5+K371*4+M371*4+L371*3+N371*2+O371*2)</x:f>
        <x:v>84</x:v>
      </x:c>
      <x:c r="R371" s="14" t="str">
        <x:v>high</x:v>
      </x:c>
      <x:c r="S371" s="14" t="str">
        <x:v>official_prozorro_award_2025_2026</x:v>
      </x:c>
      <x:c r="T371" s="14" t="str">
        <x:v>official_prozorro_api</x:v>
      </x:c>
      <x:c r="U371" s="14" t="str">
        <x:v>Не контактували</x:v>
      </x:c>
      <x:c r="V371" s="15" t="str">
        <x:v>Workflow-audit outreach по UA-2026-08-06-005265-a; попросити 1 пакет здачі та вимоги проєкту</x:v>
      </x:c>
      <x:c r="W371" s="15" t="str">
        <x:v>Власник / директор; керівник ПТО; відповідальний за договори</x:v>
      </x:c>
      <x:c r="X371" s="15" t="str">
        <x:v>2 підтверджених перемог/договорів у Prozorro на 45 491 грн; 2 проєктів зі строком виконання не раніше 24.08.2026.</x:v>
      </x:c>
      <x:c r="Y371" s="15" t="str">
        <x:v>Монтаж, пусконалагоджування системи пожежної сигналізації; строк до 2026-12-31. Попросити один знеособлений пакет здачі за цим workflow.</x:v>
      </x:c>
      <x:c r="Z371" s="15" t="str">
        <x:v>https://prozorro.gov.ua/tender/UA-2026-08-06-005265-a</x:v>
      </x:c>
      <x:c r="AA371" s="14" t="str">
        <x:v>40109147</x:v>
      </x:c>
      <x:c r="AB371" s="14" t="str">
        <x:v>2026-08-24</x:v>
      </x:c>
      <x:c r="AC371" s="14" t="str"/>
      <x:c r="AD371" s="20" t="str"/>
      <x:c r="AE371" s="14" t="str"/>
      <x:c r="AF371" s="14" t="n">
        <x:v>62</x:v>
      </x:c>
      <x:c r="AG371" s="14" t="str">
        <x:v>I2</x:v>
      </x:c>
      <x:c r="AH371" s="14" t="n">
        <x:v>2</x:v>
      </x:c>
      <x:c r="AI371" s="14" t="n">
        <x:v>2</x:v>
      </x:c>
      <x:c r="AJ371" s="18" t="n">
        <x:v>45490.5</x:v>
      </x:c>
      <x:c r="AK371" s="14" t="str">
        <x:v>https://prozorro.gov.ua/tender/UA-2026-08-06-005265-a</x:v>
      </x:c>
      <x:c r="AL371" s="19" t="n">
        <x:v>46240.40369259259</x:v>
      </x:c>
      <x:c r="AM371" s="19" t="n">
        <x:v>46387.44572916667</x:v>
      </x:c>
      <x:c r="AN371" s="15" t="str">
        <x:v>Пожежогасіння</x:v>
      </x:c>
      <x:c r="AO371" s="15" t="str">
        <x:v>not_found_in_top_search</x:v>
      </x:c>
    </x:row>
    <x:row r="372">
      <x:c r="A372" s="14" t="str">
        <x:v>W3-100</x:v>
      </x:c>
      <x:c r="B372" s="14" t="str">
        <x:v>Prozorro winners — 24.08</x:v>
      </x:c>
      <x:c r="C372" s="14" t="str">
        <x:v>Товариство з обмеженою відповідальністю  "ЕКОСФЕРА-ЗАХІД"</x:v>
      </x:c>
      <x:c r="D372" s="14" t="str">
        <x:v>HVAC / ОВіК</x:v>
      </x:c>
      <x:c r="E372" s="14" t="str">
        <x:v>Pilot now</x:v>
      </x:c>
      <x:c r="F372" s="17" t="str">
        <x:f>IF(E372="Pilot now",IF(P372&gt;=84,"P1",IF(P372&gt;=72,"P2","P3")),IF(E372="Expansion discovery",IF(Q372&gt;=88,"D1",IF(Q372&gt;=78,"D2","D3")),IF(E372="Later / requirements","L","Legacy")))</x:f>
        <x:v>P1</x:v>
      </x:c>
      <x:c r="G372" s="14" t="str"/>
      <x:c r="H372" s="14" t="str">
        <x:v>Пілот зараз — Н.14</x:v>
      </x:c>
      <x:c r="I372" s="16" t="n">
        <x:v>5</x:v>
      </x:c>
      <x:c r="J372" s="16" t="n">
        <x:v>5</x:v>
      </x:c>
      <x:c r="K372" s="16" t="n">
        <x:v>5</x:v>
      </x:c>
      <x:c r="L372" s="16" t="n">
        <x:v>1</x:v>
      </x:c>
      <x:c r="M372" s="16" t="n">
        <x:v>5</x:v>
      </x:c>
      <x:c r="N372" s="16" t="n">
        <x:v>5</x:v>
      </x:c>
      <x:c r="O372" s="16" t="n">
        <x:v>5</x:v>
      </x:c>
      <x:c r="P372" s="16" t="n">
        <x:f>IF(COUNT(I372:O372)&lt;7,"",I372*8+J372*3+K372*2+L372*2+M372*2+N372*2+O372)</x:f>
        <x:v>92</x:v>
      </x:c>
      <x:c r="Q372" s="16" t="n">
        <x:f>IF(COUNT(J372:O372)&lt;6,"",J372*5+K372*4+M372*4+L372*3+N372*2+O372*2)</x:f>
        <x:v>88</x:v>
      </x:c>
      <x:c r="R372" s="14" t="str">
        <x:v>high</x:v>
      </x:c>
      <x:c r="S372" s="14" t="str">
        <x:v>official_prozorro_award_2025_2026</x:v>
      </x:c>
      <x:c r="T372" s="14" t="str">
        <x:v>official_prozorro_api</x:v>
      </x:c>
      <x:c r="U372" s="14" t="str">
        <x:v>Не контактували</x:v>
      </x:c>
      <x:c r="V372" s="15" t="str">
        <x:v>Персоналізований free-pilot outreach по UA-2026-07-14-011551-a; попросити 1 пакет Н.14/Н.15</x:v>
      </x:c>
      <x:c r="W372" s="15" t="str">
        <x:v>Власник / директор; керівник ПТО; відповідальний за договори</x:v>
      </x:c>
      <x:c r="X372" s="15" t="str">
        <x:v>2 підтверджених перемог/договорів у Prozorro на 35 500 грн; 2 проєктів зі строком виконання не раніше 24.08.2026.</x:v>
      </x:c>
      <x:c r="Y372" s="15" t="str">
        <x:v>Монтаж систем вентиляції та кондиціонування повітря (45331200-8 Встановлення вентиляційних систем і систем кондиціонування повітря) код за ДК 021-2015:45330000-9 Водопровідні та санітарно-технічні роботи; строк до 2026-12-31. Попросити один знеособлений пакет здачі за цим workflow.</x:v>
      </x:c>
      <x:c r="Z372" s="15" t="str">
        <x:v>https://prozorro.gov.ua/tender/UA-2026-07-14-011551-a</x:v>
      </x:c>
      <x:c r="AA372" s="14" t="str">
        <x:v>44184736</x:v>
      </x:c>
      <x:c r="AB372" s="14" t="str">
        <x:v>2026-08-24</x:v>
      </x:c>
      <x:c r="AC372" s="14" t="str"/>
      <x:c r="AD372" s="20" t="str"/>
      <x:c r="AE372" s="14" t="str"/>
      <x:c r="AF372" s="14" t="n">
        <x:v>62</x:v>
      </x:c>
      <x:c r="AG372" s="14" t="str">
        <x:v>I2</x:v>
      </x:c>
      <x:c r="AH372" s="14" t="n">
        <x:v>2</x:v>
      </x:c>
      <x:c r="AI372" s="14" t="n">
        <x:v>2</x:v>
      </x:c>
      <x:c r="AJ372" s="18" t="n">
        <x:v>35500</x:v>
      </x:c>
      <x:c r="AK372" s="14" t="str">
        <x:v>https://prozorro.gov.ua/tender/UA-2026-07-14-011551-a</x:v>
      </x:c>
      <x:c r="AL372" s="19" t="n">
        <x:v>46217.59277798611</x:v>
      </x:c>
      <x:c r="AM372" s="19" t="n">
        <x:v>46387</x:v>
      </x:c>
      <x:c r="AN372" s="15" t="str">
        <x:v>HVAC / ОВіК</x:v>
      </x:c>
      <x:c r="AO372" s="15" t="str">
        <x:v>not_found_in_top_search</x:v>
      </x:c>
    </x:row>
    <x:row r="373">
      <x:c r="A373" s="14" t="str">
        <x:v>W3-101</x:v>
      </x:c>
      <x:c r="B373" s="14" t="str">
        <x:v>Prozorro winners — 24.08</x:v>
      </x:c>
      <x:c r="C373" s="14" t="str">
        <x:v>ФОП Ступак Олексій Олександрович</x:v>
      </x:c>
      <x:c r="D373" s="14" t="str">
        <x:v>Безпека / СКУД / CCTV</x:v>
      </x:c>
      <x:c r="E373" s="14" t="str">
        <x:v>Expansion discovery</x:v>
      </x:c>
      <x:c r="F373" s="17" t="str">
        <x:f>IF(E373="Pilot now",IF(P373&gt;=84,"P1",IF(P373&gt;=72,"P2","P3")),IF(E373="Expansion discovery",IF(Q373&gt;=88,"D1",IF(Q373&gt;=78,"D2","D3")),IF(E373="Later / requirements","L","Legacy")))</x:f>
        <x:v>D2</x:v>
      </x:c>
      <x:c r="G373" s="14" t="str"/>
      <x:c r="H373" s="14" t="str">
        <x:v>Discovery розширення — 2 тижні</x:v>
      </x:c>
      <x:c r="I373" s="16" t="n">
        <x:v>1</x:v>
      </x:c>
      <x:c r="J373" s="16" t="n">
        <x:v>5</x:v>
      </x:c>
      <x:c r="K373" s="16" t="n">
        <x:v>4</x:v>
      </x:c>
      <x:c r="L373" s="16" t="n">
        <x:v>1</x:v>
      </x:c>
      <x:c r="M373" s="16" t="n">
        <x:v>5</x:v>
      </x:c>
      <x:c r="N373" s="16" t="n">
        <x:v>3</x:v>
      </x:c>
      <x:c r="O373" s="16" t="n">
        <x:v>5</x:v>
      </x:c>
      <x:c r="P373" s="16" t="n">
        <x:f>IF(COUNT(I373:O373)&lt;7,"",I373*8+J373*3+K373*2+L373*2+M373*2+N373*2+O373)</x:f>
        <x:v>54</x:v>
      </x:c>
      <x:c r="Q373" s="16" t="n">
        <x:f>IF(COUNT(J373:O373)&lt;6,"",J373*5+K373*4+M373*4+L373*3+N373*2+O373*2)</x:f>
        <x:v>80</x:v>
      </x:c>
      <x:c r="R373" s="14" t="str">
        <x:v>high</x:v>
      </x:c>
      <x:c r="S373" s="14" t="str">
        <x:v>official_prozorro_award_2025_2026</x:v>
      </x:c>
      <x:c r="T373" s="14" t="str">
        <x:v>official_prozorro_api</x:v>
      </x:c>
      <x:c r="U373" s="14" t="str">
        <x:v>Не контактували</x:v>
      </x:c>
      <x:c r="V373" s="15" t="str">
        <x:v>Workflow-audit outreach по UA-2026-07-28-002616-a; попросити 1 пакет здачі та вимоги проєкту</x:v>
      </x:c>
      <x:c r="W373" s="15" t="str">
        <x:v>Власник / виконавець; відповідальний за договір</x:v>
      </x:c>
      <x:c r="X373" s="15" t="str">
        <x:v>2 підтверджених перемог/договорів у Prozorro на 20 404 грн; 2 проєктів зі строком виконання не раніше 24.08.2026.</x:v>
      </x:c>
      <x:c r="Y373" s="15" t="str">
        <x:v>Монтаж системи вентиляції; строк до 2026-12-31. Попросити один знеособлений пакет здачі за цим workflow.</x:v>
      </x:c>
      <x:c r="Z373" s="15" t="str">
        <x:v>https://prozorro.gov.ua/tender/UA-2026-07-28-002616-a</x:v>
      </x:c>
      <x:c r="AA373" s="14" t="str">
        <x:v>2961310955</x:v>
      </x:c>
      <x:c r="AB373" s="14" t="str">
        <x:v>2026-08-24</x:v>
      </x:c>
      <x:c r="AC373" s="14" t="str"/>
      <x:c r="AD373" s="20" t="str"/>
      <x:c r="AE373" s="14" t="str"/>
      <x:c r="AF373" s="14" t="n">
        <x:v>62</x:v>
      </x:c>
      <x:c r="AG373" s="14" t="str">
        <x:v>I2</x:v>
      </x:c>
      <x:c r="AH373" s="14" t="n">
        <x:v>2</x:v>
      </x:c>
      <x:c r="AI373" s="14" t="n">
        <x:v>2</x:v>
      </x:c>
      <x:c r="AJ373" s="18" t="n">
        <x:v>20404.4</x:v>
      </x:c>
      <x:c r="AK373" s="14" t="str">
        <x:v>https://prozorro.gov.ua/tender/UA-2026-07-28-002616-a</x:v>
      </x:c>
      <x:c r="AL373" s="19" t="n">
        <x:v>46231.32512318287</x:v>
      </x:c>
      <x:c r="AM373" s="19" t="n">
        <x:v>46387</x:v>
      </x:c>
      <x:c r="AN373" s="15" t="str">
        <x:v>Безпека / СКУД / CCTV; HVAC / ОВіК</x:v>
      </x:c>
      <x:c r="AO373" s="15" t="str">
        <x:v>not_found_in_top_search</x:v>
      </x:c>
    </x:row>
    <x:row r="374">
      <x:c r="A374" s="14" t="str">
        <x:v>W3-102</x:v>
      </x:c>
      <x:c r="B374" s="14" t="str">
        <x:v>Prozorro winners — 24.08</x:v>
      </x:c>
      <x:c r="C374" s="14" t="str">
        <x:v>ТОВАРИСТВО З ОБМЕЖЕНОЮ ВІДПОВІДАЛЬНІСТЮ "ВЕНБЕСТ"</x:v>
      </x:c>
      <x:c r="D374" s="14" t="str">
        <x:v>Пожежогасіння</x:v>
      </x:c>
      <x:c r="E374" s="14" t="str">
        <x:v>Expansion discovery</x:v>
      </x:c>
      <x:c r="F374" s="17" t="str">
        <x:f>IF(E374="Pilot now",IF(P374&gt;=84,"P1",IF(P374&gt;=72,"P2","P3")),IF(E374="Expansion discovery",IF(Q374&gt;=88,"D1",IF(Q374&gt;=78,"D2","D3")),IF(E374="Later / requirements","L","Legacy")))</x:f>
        <x:v>D2</x:v>
      </x:c>
      <x:c r="G374" s="14" t="str"/>
      <x:c r="H374" s="14" t="str">
        <x:v>Discovery розширення — 2 тижні</x:v>
      </x:c>
      <x:c r="I374" s="16" t="n">
        <x:v>1</x:v>
      </x:c>
      <x:c r="J374" s="16" t="n">
        <x:v>5</x:v>
      </x:c>
      <x:c r="K374" s="16" t="n">
        <x:v>4</x:v>
      </x:c>
      <x:c r="L374" s="16" t="n">
        <x:v>1</x:v>
      </x:c>
      <x:c r="M374" s="16" t="n">
        <x:v>5</x:v>
      </x:c>
      <x:c r="N374" s="16" t="n">
        <x:v>5</x:v>
      </x:c>
      <x:c r="O374" s="16" t="n">
        <x:v>5</x:v>
      </x:c>
      <x:c r="P374" s="16" t="n">
        <x:f>IF(COUNT(I374:O374)&lt;7,"",I374*8+J374*3+K374*2+L374*2+M374*2+N374*2+O374)</x:f>
        <x:v>58</x:v>
      </x:c>
      <x:c r="Q374" s="16" t="n">
        <x:f>IF(COUNT(J374:O374)&lt;6,"",J374*5+K374*4+M374*4+L374*3+N374*2+O374*2)</x:f>
        <x:v>84</x:v>
      </x:c>
      <x:c r="R374" s="14" t="str">
        <x:v>high</x:v>
      </x:c>
      <x:c r="S374" s="14" t="str">
        <x:v>official_prozorro_award_2025_2026</x:v>
      </x:c>
      <x:c r="T374" s="14" t="str">
        <x:v>official_prozorro_api</x:v>
      </x:c>
      <x:c r="U374" s="14" t="str">
        <x:v>Не контактували</x:v>
      </x:c>
      <x:c r="V374" s="15" t="str">
        <x:v>Workflow-audit outreach по UA-2026-07-27-000791-a; попросити 1 пакет здачі та вимоги проєкту</x:v>
      </x:c>
      <x:c r="W374" s="15" t="str">
        <x:v>Власник / директор; керівник ПТО; відповідальний за договори</x:v>
      </x:c>
      <x:c r="X374" s="15" t="str">
        <x:v>2 підтверджених перемог/договорів у Prozorro на 11 106 грн; 2 проєктів зі строком виконання не раніше 24.08.2026.</x:v>
      </x:c>
      <x:c r="Y374" s="15" t="str">
        <x:v>Монтаж та пусконалагодження системи пожежної сигналізації; строк до 2026-12-31. Попросити один знеособлений пакет здачі за цим workflow.</x:v>
      </x:c>
      <x:c r="Z374" s="15" t="str">
        <x:v>https://prozorro.gov.ua/tender/UA-2026-07-27-000791-a</x:v>
      </x:c>
      <x:c r="AA374" s="14" t="str">
        <x:v>30310579</x:v>
      </x:c>
      <x:c r="AB374" s="14" t="str">
        <x:v>2026-08-24</x:v>
      </x:c>
      <x:c r="AC374" s="14" t="str"/>
      <x:c r="AD374" s="20" t="str"/>
      <x:c r="AE374" s="14" t="str"/>
      <x:c r="AF374" s="14" t="n">
        <x:v>62</x:v>
      </x:c>
      <x:c r="AG374" s="14" t="str">
        <x:v>I2</x:v>
      </x:c>
      <x:c r="AH374" s="14" t="n">
        <x:v>2</x:v>
      </x:c>
      <x:c r="AI374" s="14" t="n">
        <x:v>2</x:v>
      </x:c>
      <x:c r="AJ374" s="18" t="n">
        <x:v>11106</x:v>
      </x:c>
      <x:c r="AK374" s="14" t="str">
        <x:v>https://prozorro.gov.ua/tender/UA-2026-07-27-000791-a</x:v>
      </x:c>
      <x:c r="AL374" s="19" t="n">
        <x:v>46230.27137549769</x:v>
      </x:c>
      <x:c r="AM374" s="19" t="n">
        <x:v>46387</x:v>
      </x:c>
      <x:c r="AN374" s="15" t="str">
        <x:v>Пожежогасіння</x:v>
      </x:c>
      <x:c r="AO374" s="15" t="str">
        <x:v>not_found_in_top_search</x:v>
      </x:c>
    </x:row>
    <x:row r="375">
      <x:c r="A375" s="14" t="str">
        <x:v>W3-103</x:v>
      </x:c>
      <x:c r="B375" s="14" t="str">
        <x:v>Prozorro winners — 24.08</x:v>
      </x:c>
      <x:c r="C375" s="14" t="str">
        <x:v>КОМУНАЛЬНЕ ПІДПРИЄМСТВО "ТЕХНАГЛЯД"</x:v>
      </x:c>
      <x:c r="D375" s="14" t="str">
        <x:v>HVAC / ОВіК</x:v>
      </x:c>
      <x:c r="E375" s="14" t="str">
        <x:v>Pilot now</x:v>
      </x:c>
      <x:c r="F375" s="17" t="str">
        <x:f>IF(E375="Pilot now",IF(P375&gt;=84,"P1",IF(P375&gt;=72,"P2","P3")),IF(E375="Expansion discovery",IF(Q375&gt;=88,"D1",IF(Q375&gt;=78,"D2","D3")),IF(E375="Later / requirements","L","Legacy")))</x:f>
        <x:v>P1</x:v>
      </x:c>
      <x:c r="G375" s="14" t="str"/>
      <x:c r="H375" s="14" t="str">
        <x:v>Пілот зараз — Н.14</x:v>
      </x:c>
      <x:c r="I375" s="16" t="n">
        <x:v>5</x:v>
      </x:c>
      <x:c r="J375" s="16" t="n">
        <x:v>5</x:v>
      </x:c>
      <x:c r="K375" s="16" t="n">
        <x:v>5</x:v>
      </x:c>
      <x:c r="L375" s="16" t="n">
        <x:v>1</x:v>
      </x:c>
      <x:c r="M375" s="16" t="n">
        <x:v>5</x:v>
      </x:c>
      <x:c r="N375" s="16" t="n">
        <x:v>5</x:v>
      </x:c>
      <x:c r="O375" s="16" t="n">
        <x:v>5</x:v>
      </x:c>
      <x:c r="P375" s="16" t="n">
        <x:f>IF(COUNT(I375:O375)&lt;7,"",I375*8+J375*3+K375*2+L375*2+M375*2+N375*2+O375)</x:f>
        <x:v>92</x:v>
      </x:c>
      <x:c r="Q375" s="16" t="n">
        <x:f>IF(COUNT(J375:O375)&lt;6,"",J375*5+K375*4+M375*4+L375*3+N375*2+O375*2)</x:f>
        <x:v>88</x:v>
      </x:c>
      <x:c r="R375" s="14" t="str">
        <x:v>high</x:v>
      </x:c>
      <x:c r="S375" s="14" t="str">
        <x:v>official_prozorro_award_2025_2026</x:v>
      </x:c>
      <x:c r="T375" s="14" t="str">
        <x:v>official_prozorro_api</x:v>
      </x:c>
      <x:c r="U375" s="14" t="str">
        <x:v>Не контактували</x:v>
      </x:c>
      <x:c r="V375" s="15" t="str">
        <x:v>Персоналізований free-pilot outreach по UA-2026-08-12-001207-a; попросити 1 пакет Н.14/Н.15</x:v>
      </x:c>
      <x:c r="W375" s="15" t="str">
        <x:v>Власник / директор; керівник ПТО; відповідальний за договори</x:v>
      </x:c>
      <x:c r="X375" s="15" t="str">
        <x:v>2 підтверджених перемог/договорів у Prozorro на 3 279 грн; 2 проєктів зі строком виконання не раніше 24.08.2026.</x:v>
      </x:c>
      <x:c r="Y375" s="15" t="str">
        <x:v>Технічного нагляду та контролю за наданням послуг на об'єкті: "Послуги з монтажу системи вентиляції на харчоблоці Хмельницького закладу дошкільної освіти №43 "Горобинка" за адресою : м. Хмельницький, вул. Молодіжна 5/2 " згідно договору підряду №28  від 31.03.2026 року ; строк до 2026-12-31. Попросити один знеособлений пакет здачі за цим workflow.</x:v>
      </x:c>
      <x:c r="Z375" s="15" t="str">
        <x:v>https://prozorro.gov.ua/tender/UA-2026-08-12-001207-a</x:v>
      </x:c>
      <x:c r="AA375" s="14" t="str">
        <x:v>35883420</x:v>
      </x:c>
      <x:c r="AB375" s="14" t="str">
        <x:v>2026-08-24</x:v>
      </x:c>
      <x:c r="AC375" s="14" t="str"/>
      <x:c r="AD375" s="20" t="str"/>
      <x:c r="AE375" s="14" t="str"/>
      <x:c r="AF375" s="14" t="n">
        <x:v>62</x:v>
      </x:c>
      <x:c r="AG375" s="14" t="str">
        <x:v>I2</x:v>
      </x:c>
      <x:c r="AH375" s="14" t="n">
        <x:v>2</x:v>
      </x:c>
      <x:c r="AI375" s="14" t="n">
        <x:v>2</x:v>
      </x:c>
      <x:c r="AJ375" s="18" t="n">
        <x:v>3279.05</x:v>
      </x:c>
      <x:c r="AK375" s="14" t="str">
        <x:v>https://prozorro.gov.ua/tender/UA-2026-08-12-001207-a</x:v>
      </x:c>
      <x:c r="AL375" s="19" t="n">
        <x:v>46246.282276770835</x:v>
      </x:c>
      <x:c r="AM375" s="19" t="n">
        <x:v>46387</x:v>
      </x:c>
      <x:c r="AN375" s="15" t="str">
        <x:v>HVAC / ОВіК</x:v>
      </x:c>
      <x:c r="AO375" s="15" t="str">
        <x:v>not_found_in_top_search</x:v>
      </x:c>
    </x:row>
    <x:row r="376">
      <x:c r="A376" s="14" t="str">
        <x:v>W3-104</x:v>
      </x:c>
      <x:c r="B376" s="14" t="str">
        <x:v>Prozorro winners — 24.08</x:v>
      </x:c>
      <x:c r="C376" s="14" t="str">
        <x:v>ТОВАРИСТВО З ОБМЕЖЕНОЮ ВІДПОВІДАЛЬНІСТЮ "УКРАЇНСЬКА МІЖРЕГІОНАЛЬНА БУДІВЕЛЬНА ЕКСПЕРТИЗА"</x:v>
      </x:c>
      <x:c r="D376" s="14" t="str">
        <x:v>Водоочищення / очисні споруди</x:v>
      </x:c>
      <x:c r="E376" s="14" t="str">
        <x:v>Expansion discovery</x:v>
      </x:c>
      <x:c r="F376" s="17" t="str">
        <x:f>IF(E376="Pilot now",IF(P376&gt;=84,"P1",IF(P376&gt;=72,"P2","P3")),IF(E376="Expansion discovery",IF(Q376&gt;=88,"D1",IF(Q376&gt;=78,"D2","D3")),IF(E376="Later / requirements","L","Legacy")))</x:f>
        <x:v>D2</x:v>
      </x:c>
      <x:c r="G376" s="14" t="str"/>
      <x:c r="H376" s="14" t="str">
        <x:v>Discovery розширення — 2 тижні</x:v>
      </x:c>
      <x:c r="I376" s="16" t="n">
        <x:v>1</x:v>
      </x:c>
      <x:c r="J376" s="16" t="n">
        <x:v>5</x:v>
      </x:c>
      <x:c r="K376" s="16" t="n">
        <x:v>4</x:v>
      </x:c>
      <x:c r="L376" s="16" t="n">
        <x:v>2</x:v>
      </x:c>
      <x:c r="M376" s="16" t="n">
        <x:v>5</x:v>
      </x:c>
      <x:c r="N376" s="16" t="n">
        <x:v>5</x:v>
      </x:c>
      <x:c r="O376" s="16" t="n">
        <x:v>5</x:v>
      </x:c>
      <x:c r="P376" s="16" t="n">
        <x:f>IF(COUNT(I376:O376)&lt;7,"",I376*8+J376*3+K376*2+L376*2+M376*2+N376*2+O376)</x:f>
        <x:v>60</x:v>
      </x:c>
      <x:c r="Q376" s="16" t="n">
        <x:f>IF(COUNT(J376:O376)&lt;6,"",J376*5+K376*4+M376*4+L376*3+N376*2+O376*2)</x:f>
        <x:v>87</x:v>
      </x:c>
      <x:c r="R376" s="14" t="str">
        <x:v>high</x:v>
      </x:c>
      <x:c r="S376" s="14" t="str">
        <x:v>official_prozorro_award_2025_2026</x:v>
      </x:c>
      <x:c r="T376" s="14" t="str">
        <x:v>official_prozorro_api</x:v>
      </x:c>
      <x:c r="U376" s="14" t="str">
        <x:v>Не контактували</x:v>
      </x:c>
      <x:c r="V376" s="15" t="str">
        <x:v>Workflow-audit outreach по UA-2026-08-17-002380-a; попросити 1 пакет здачі та вимоги проєкту</x:v>
      </x:c>
      <x:c r="W376" s="15" t="str">
        <x:v>Власник / директор; керівник ПТО; відповідальний за договори</x:v>
      </x:c>
      <x:c r="X376" s="15" t="str">
        <x:v>2 підтверджених перемог/договорів у Prozorro на 246 427 грн; 1 проєктів зі строком виконання не раніше 24.08.2026.</x:v>
      </x:c>
      <x:c r="Y376" s="15" t="str">
        <x:v>Проведення експертизи проекту: Реконструкція очисних споруд каналізації с. Біла Криниця Рівненського району, Рівненської області ; строк до 2026-09-05. Попросити один знеособлений пакет здачі за цим workflow.</x:v>
      </x:c>
      <x:c r="Z376" s="15" t="str">
        <x:v>https://prozorro.gov.ua/tender/UA-2026-08-17-002380-a</x:v>
      </x:c>
      <x:c r="AA376" s="14" t="str">
        <x:v>39330499</x:v>
      </x:c>
      <x:c r="AB376" s="14" t="str">
        <x:v>2026-08-24</x:v>
      </x:c>
      <x:c r="AC376" s="14" t="str"/>
      <x:c r="AD376" s="20" t="str"/>
      <x:c r="AE376" s="14" t="str"/>
      <x:c r="AF376" s="14" t="n">
        <x:v>61</x:v>
      </x:c>
      <x:c r="AG376" s="14" t="str">
        <x:v>I2</x:v>
      </x:c>
      <x:c r="AH376" s="14" t="n">
        <x:v>2</x:v>
      </x:c>
      <x:c r="AI376" s="14" t="n">
        <x:v>1</x:v>
      </x:c>
      <x:c r="AJ376" s="18" t="n">
        <x:v>246427.23</x:v>
      </x:c>
      <x:c r="AK376" s="14" t="str">
        <x:v>https://prozorro.gov.ua/tender/UA-2026-08-17-002380-a</x:v>
      </x:c>
      <x:c r="AL376" s="19" t="n">
        <x:v>46251.394478125</x:v>
      </x:c>
      <x:c r="AM376" s="19" t="n">
        <x:v>46270</x:v>
      </x:c>
      <x:c r="AN376" s="15" t="str">
        <x:v>Водоочищення / очисні споруди</x:v>
      </x:c>
      <x:c r="AO376" s="15" t="str">
        <x:v>not_found_in_top_search</x:v>
      </x:c>
    </x:row>
    <x:row r="377">
      <x:c r="A377" s="14" t="str">
        <x:v>W3-105</x:v>
      </x:c>
      <x:c r="B377" s="14" t="str">
        <x:v>Prozorro winners — 24.08</x:v>
      </x:c>
      <x:c r="C377" s="14" t="str">
        <x:v>ТОВ "КУБІК ГРУП"</x:v>
      </x:c>
      <x:c r="D377" s="14" t="str">
        <x:v>Безпека / СКУД / CCTV</x:v>
      </x:c>
      <x:c r="E377" s="14" t="str">
        <x:v>Expansion discovery</x:v>
      </x:c>
      <x:c r="F377" s="17" t="str">
        <x:f>IF(E377="Pilot now",IF(P377&gt;=84,"P1",IF(P377&gt;=72,"P2","P3")),IF(E377="Expansion discovery",IF(Q377&gt;=88,"D1",IF(Q377&gt;=78,"D2","D3")),IF(E377="Later / requirements","L","Legacy")))</x:f>
        <x:v>D1</x:v>
      </x:c>
      <x:c r="G377" s="14" t="str"/>
      <x:c r="H377" s="14" t="str">
        <x:v>Discovery розширення — 2 тижні</x:v>
      </x:c>
      <x:c r="I377" s="16" t="n">
        <x:v>1</x:v>
      </x:c>
      <x:c r="J377" s="16" t="n">
        <x:v>5</x:v>
      </x:c>
      <x:c r="K377" s="16" t="n">
        <x:v>4</x:v>
      </x:c>
      <x:c r="L377" s="16" t="n">
        <x:v>3</x:v>
      </x:c>
      <x:c r="M377" s="16" t="n">
        <x:v>5</x:v>
      </x:c>
      <x:c r="N377" s="16" t="n">
        <x:v>5</x:v>
      </x:c>
      <x:c r="O377" s="16" t="n">
        <x:v>5</x:v>
      </x:c>
      <x:c r="P377" s="16" t="n">
        <x:f>IF(COUNT(I377:O377)&lt;7,"",I377*8+J377*3+K377*2+L377*2+M377*2+N377*2+O377)</x:f>
        <x:v>62</x:v>
      </x:c>
      <x:c r="Q377" s="16" t="n">
        <x:f>IF(COUNT(J377:O377)&lt;6,"",J377*5+K377*4+M377*4+L377*3+N377*2+O377*2)</x:f>
        <x:v>90</x:v>
      </x:c>
      <x:c r="R377" s="14" t="str">
        <x:v>high</x:v>
      </x:c>
      <x:c r="S377" s="14" t="str">
        <x:v>official_prozorro_award_2025_2026</x:v>
      </x:c>
      <x:c r="T377" s="14" t="str">
        <x:v>official_prozorro_api</x:v>
      </x:c>
      <x:c r="U377" s="14" t="str">
        <x:v>Не контактували</x:v>
      </x:c>
      <x:c r="V377" s="15" t="str">
        <x:v>Workflow-audit outreach по UA-2026-07-06-002008-a; попросити 1 пакет здачі та вимоги проєкту</x:v>
      </x:c>
      <x:c r="W377" s="15" t="str">
        <x:v>Власник / директор; керівник ПТО; відповідальний за договори</x:v>
      </x:c>
      <x:c r="X377" s="15" t="str">
        <x:v>1 підтверджених перемог/договорів у Prozorro на 1 709 747 грн; 1 проєктів зі строком виконання не раніше 24.08.2026.</x:v>
      </x:c>
      <x:c r="Y377" s="15" t="str">
        <x:v>Обладнання та матеріали для монтажу систем охорони та відеоспостереження; строк до 2026-11-15. Попросити один знеособлений пакет здачі за цим workflow.</x:v>
      </x:c>
      <x:c r="Z377" s="15" t="str">
        <x:v>https://prozorro.gov.ua/tender/UA-2026-07-06-002008-a</x:v>
      </x:c>
      <x:c r="AA377" s="14" t="str">
        <x:v>44554976</x:v>
      </x:c>
      <x:c r="AB377" s="14" t="str">
        <x:v>2026-08-24</x:v>
      </x:c>
      <x:c r="AC377" s="14" t="str"/>
      <x:c r="AD377" s="20" t="str"/>
      <x:c r="AE377" s="14" t="str"/>
      <x:c r="AF377" s="14" t="n">
        <x:v>60</x:v>
      </x:c>
      <x:c r="AG377" s="14" t="str">
        <x:v>I2</x:v>
      </x:c>
      <x:c r="AH377" s="14" t="n">
        <x:v>1</x:v>
      </x:c>
      <x:c r="AI377" s="14" t="n">
        <x:v>1</x:v>
      </x:c>
      <x:c r="AJ377" s="18" t="n">
        <x:v>1709746.56</x:v>
      </x:c>
      <x:c r="AK377" s="14" t="str">
        <x:v>https://prozorro.gov.ua/tender/UA-2026-07-06-002008-a</x:v>
      </x:c>
      <x:c r="AL377" s="19" t="n">
        <x:v>46219.32686769676</x:v>
      </x:c>
      <x:c r="AM377" s="19" t="n">
        <x:v>46341</x:v>
      </x:c>
      <x:c r="AN377" s="15" t="str">
        <x:v>Безпека / СКУД / CCTV</x:v>
      </x:c>
      <x:c r="AO377" s="15" t="str">
        <x:v>not_found_in_top_search</x:v>
      </x:c>
    </x:row>
    <x:row r="378">
      <x:c r="A378" s="14" t="str">
        <x:v>W3-106</x:v>
      </x:c>
      <x:c r="B378" s="14" t="str">
        <x:v>Prozorro winners — 24.08</x:v>
      </x:c>
      <x:c r="C378" s="14" t="str">
        <x:v>ТОВАРИСТВО З ОБМЕЖЕНОЮ ВІДПОВІДАЛЬНІСТЮ "СОЛАРС РЕ ЕНЕРДЖІ ГРУП"</x:v>
      </x:c>
      <x:c r="D378" s="14" t="str">
        <x:v>Сонячна енергетика</x:v>
      </x:c>
      <x:c r="E378" s="14" t="str">
        <x:v>Expansion discovery</x:v>
      </x:c>
      <x:c r="F378" s="17" t="str">
        <x:f>IF(E378="Pilot now",IF(P378&gt;=84,"P1",IF(P378&gt;=72,"P2","P3")),IF(E378="Expansion discovery",IF(Q378&gt;=88,"D1",IF(Q378&gt;=78,"D2","D3")),IF(E378="Later / requirements","L","Legacy")))</x:f>
        <x:v>D1</x:v>
      </x:c>
      <x:c r="G378" s="14" t="str"/>
      <x:c r="H378" s="14" t="str">
        <x:v>Discovery розширення — 2 тижні</x:v>
      </x:c>
      <x:c r="I378" s="16" t="n">
        <x:v>1</x:v>
      </x:c>
      <x:c r="J378" s="16" t="n">
        <x:v>5</x:v>
      </x:c>
      <x:c r="K378" s="16" t="n">
        <x:v>4</x:v>
      </x:c>
      <x:c r="L378" s="16" t="n">
        <x:v>3</x:v>
      </x:c>
      <x:c r="M378" s="16" t="n">
        <x:v>5</x:v>
      </x:c>
      <x:c r="N378" s="16" t="n">
        <x:v>5</x:v>
      </x:c>
      <x:c r="O378" s="16" t="n">
        <x:v>5</x:v>
      </x:c>
      <x:c r="P378" s="16" t="n">
        <x:f>IF(COUNT(I378:O378)&lt;7,"",I378*8+J378*3+K378*2+L378*2+M378*2+N378*2+O378)</x:f>
        <x:v>62</x:v>
      </x:c>
      <x:c r="Q378" s="16" t="n">
        <x:f>IF(COUNT(J378:O378)&lt;6,"",J378*5+K378*4+M378*4+L378*3+N378*2+O378*2)</x:f>
        <x:v>90</x:v>
      </x:c>
      <x:c r="R378" s="14" t="str">
        <x:v>high</x:v>
      </x:c>
      <x:c r="S378" s="14" t="str">
        <x:v>official_prozorro_award_2025_2026</x:v>
      </x:c>
      <x:c r="T378" s="14" t="str">
        <x:v>official_prozorro_api</x:v>
      </x:c>
      <x:c r="U378" s="14" t="str">
        <x:v>Не контактували</x:v>
      </x:c>
      <x:c r="V378" s="15" t="str">
        <x:v>Workflow-audit outreach по UA-2026-07-14-002107-a; попросити 1 пакет здачі та вимоги проєкту</x:v>
      </x:c>
      <x:c r="W378" s="15" t="str">
        <x:v>Власник / директор; керівник ПТО; відповідальний за договори</x:v>
      </x:c>
      <x:c r="X378" s="15" t="str">
        <x:v>1 підтверджених перемог/договорів у Prozorro на 1 513 029 грн; 1 проєктів зі строком виконання не раніше 24.08.2026.</x:v>
      </x:c>
      <x:c r="Y378" s="15" t="str">
        <x:v>«Реконструкція системи електропостачання (монтаж дахової сонячної електростанції для власних потреб) філії опорного закладу Початкова школа Ліцею імені Героїв 68-го батальйону Перечинської міської ради по вул. Ужанська, 9 в м. Перечин, Ужгородського району, Закарпатської області»; строк до 2026-10-31. Попросити один знеособлений пакет здачі за цим workflow.</x:v>
      </x:c>
      <x:c r="Z378" s="15" t="str">
        <x:v>https://prozorro.gov.ua/tender/UA-2026-07-14-002107-a</x:v>
      </x:c>
      <x:c r="AA378" s="14" t="str">
        <x:v>43124592</x:v>
      </x:c>
      <x:c r="AB378" s="14" t="str">
        <x:v>2026-08-24</x:v>
      </x:c>
      <x:c r="AC378" s="14" t="str"/>
      <x:c r="AD378" s="20" t="str"/>
      <x:c r="AE378" s="14" t="str"/>
      <x:c r="AF378" s="14" t="n">
        <x:v>60</x:v>
      </x:c>
      <x:c r="AG378" s="14" t="str">
        <x:v>I2</x:v>
      </x:c>
      <x:c r="AH378" s="14" t="n">
        <x:v>1</x:v>
      </x:c>
      <x:c r="AI378" s="14" t="n">
        <x:v>1</x:v>
      </x:c>
      <x:c r="AJ378" s="18" t="n">
        <x:v>1513029</x:v>
      </x:c>
      <x:c r="AK378" s="14" t="str">
        <x:v>https://prozorro.gov.ua/tender/UA-2026-07-14-002107-a</x:v>
      </x:c>
      <x:c r="AL378" s="19" t="n">
        <x:v>46237.284989594904</x:v>
      </x:c>
      <x:c r="AM378" s="19" t="n">
        <x:v>46326</x:v>
      </x:c>
      <x:c r="AN378" s="15" t="str">
        <x:v>Сонячна енергетика</x:v>
      </x:c>
      <x:c r="AO378" s="15" t="str">
        <x:v>not_found_in_top_search</x:v>
      </x:c>
    </x:row>
    <x:row r="379">
      <x:c r="A379" s="14" t="str">
        <x:v>W3-107</x:v>
      </x:c>
      <x:c r="B379" s="14" t="str">
        <x:v>Prozorro winners — 24.08</x:v>
      </x:c>
      <x:c r="C379" s="14" t="str">
        <x:v>ПРИВАТНЕ ПІДПРИЄМСТВО "УКРСЕРВІСПРОЕКТ"</x:v>
      </x:c>
      <x:c r="D379" s="14" t="str">
        <x:v>Водоочищення / очисні споруди</x:v>
      </x:c>
      <x:c r="E379" s="14" t="str">
        <x:v>Expansion discovery</x:v>
      </x:c>
      <x:c r="F379" s="17" t="str">
        <x:f>IF(E379="Pilot now",IF(P379&gt;=84,"P1",IF(P379&gt;=72,"P2","P3")),IF(E379="Expansion discovery",IF(Q379&gt;=88,"D1",IF(Q379&gt;=78,"D2","D3")),IF(E379="Later / requirements","L","Legacy")))</x:f>
        <x:v>D1</x:v>
      </x:c>
      <x:c r="G379" s="14" t="str"/>
      <x:c r="H379" s="14" t="str">
        <x:v>Discovery розширення — 2 тижні</x:v>
      </x:c>
      <x:c r="I379" s="16" t="n">
        <x:v>1</x:v>
      </x:c>
      <x:c r="J379" s="16" t="n">
        <x:v>5</x:v>
      </x:c>
      <x:c r="K379" s="16" t="n">
        <x:v>4</x:v>
      </x:c>
      <x:c r="L379" s="16" t="n">
        <x:v>3</x:v>
      </x:c>
      <x:c r="M379" s="16" t="n">
        <x:v>5</x:v>
      </x:c>
      <x:c r="N379" s="16" t="n">
        <x:v>5</x:v>
      </x:c>
      <x:c r="O379" s="16" t="n">
        <x:v>5</x:v>
      </x:c>
      <x:c r="P379" s="16" t="n">
        <x:f>IF(COUNT(I379:O379)&lt;7,"",I379*8+J379*3+K379*2+L379*2+M379*2+N379*2+O379)</x:f>
        <x:v>62</x:v>
      </x:c>
      <x:c r="Q379" s="16" t="n">
        <x:f>IF(COUNT(J379:O379)&lt;6,"",J379*5+K379*4+M379*4+L379*3+N379*2+O379*2)</x:f>
        <x:v>90</x:v>
      </x:c>
      <x:c r="R379" s="14" t="str">
        <x:v>high</x:v>
      </x:c>
      <x:c r="S379" s="14" t="str">
        <x:v>official_prozorro_award_2025_2026</x:v>
      </x:c>
      <x:c r="T379" s="14" t="str">
        <x:v>official_prozorro_api</x:v>
      </x:c>
      <x:c r="U379" s="14" t="str">
        <x:v>Не контактували</x:v>
      </x:c>
      <x:c r="V379" s="15" t="str">
        <x:v>Workflow-audit outreach по UA-2026-07-23-008618-a; попросити 1 пакет здачі та вимоги проєкту</x:v>
      </x:c>
      <x:c r="W379" s="15" t="str">
        <x:v>Власник / директор; керівник ПТО; відповідальний за договори</x:v>
      </x:c>
      <x:c r="X379" s="15" t="str">
        <x:v>1 підтверджених перемог/договорів у Prozorro на 1 399 150 грн; 1 проєктів зі строком виконання не раніше 24.08.2026.</x:v>
      </x:c>
      <x:c r="Y379" s="15" t="str">
        <x:v>Відкоригування проектно-кошторисної документації з отриманням позитивного звіту експертизи по об"єкту:"Реконструкція каналізаційних очисних споруд смт.Підволочиськ Тернопільської області "Коригування.; строк до 2026-12-31. Попросити один знеособлений пакет здачі за цим workflow.</x:v>
      </x:c>
      <x:c r="Z379" s="15" t="str">
        <x:v>https://prozorro.gov.ua/tender/UA-2026-07-23-008618-a</x:v>
      </x:c>
      <x:c r="AA379" s="14" t="str">
        <x:v>36514593</x:v>
      </x:c>
      <x:c r="AB379" s="14" t="str">
        <x:v>2026-08-24</x:v>
      </x:c>
      <x:c r="AC379" s="14" t="str"/>
      <x:c r="AD379" s="20" t="str"/>
      <x:c r="AE379" s="14" t="str"/>
      <x:c r="AF379" s="14" t="n">
        <x:v>60</x:v>
      </x:c>
      <x:c r="AG379" s="14" t="str">
        <x:v>I2</x:v>
      </x:c>
      <x:c r="AH379" s="14" t="n">
        <x:v>1</x:v>
      </x:c>
      <x:c r="AI379" s="14" t="n">
        <x:v>1</x:v>
      </x:c>
      <x:c r="AJ379" s="18" t="n">
        <x:v>1399150</x:v>
      </x:c>
      <x:c r="AK379" s="14" t="str">
        <x:v>https://prozorro.gov.ua/tender/UA-2026-07-23-008618-a</x:v>
      </x:c>
      <x:c r="AL379" s="19" t="n">
        <x:v>46226.50821959491</x:v>
      </x:c>
      <x:c r="AM379" s="19" t="n">
        <x:v>46387</x:v>
      </x:c>
      <x:c r="AN379" s="15" t="str">
        <x:v>Водоочищення / очисні споруди</x:v>
      </x:c>
      <x:c r="AO379" s="15" t="str">
        <x:v>not_found_in_top_search</x:v>
      </x:c>
    </x:row>
    <x:row r="380">
      <x:c r="A380" s="14" t="str">
        <x:v>W3-108</x:v>
      </x:c>
      <x:c r="B380" s="14" t="str">
        <x:v>Prozorro winners — 24.08</x:v>
      </x:c>
      <x:c r="C380" s="14" t="str">
        <x:v>ТОВ "Светолюкс-Электромонтаж"</x:v>
      </x:c>
      <x:c r="D380" s="14" t="str">
        <x:v>Електромонтаж</x:v>
      </x:c>
      <x:c r="E380" s="14" t="str">
        <x:v>Pilot now</x:v>
      </x:c>
      <x:c r="F380" s="17" t="str">
        <x:f>IF(E380="Pilot now",IF(P380&gt;=84,"P1",IF(P380&gt;=72,"P2","P3")),IF(E380="Expansion discovery",IF(Q380&gt;=88,"D1",IF(Q380&gt;=78,"D2","D3")),IF(E380="Later / requirements","L","Legacy")))</x:f>
        <x:v>P1</x:v>
      </x:c>
      <x:c r="G380" s="14" t="str"/>
      <x:c r="H380" s="14" t="str">
        <x:v>Пілот зараз — Н.15</x:v>
      </x:c>
      <x:c r="I380" s="16" t="n">
        <x:v>5</x:v>
      </x:c>
      <x:c r="J380" s="16" t="n">
        <x:v>5</x:v>
      </x:c>
      <x:c r="K380" s="16" t="n">
        <x:v>5</x:v>
      </x:c>
      <x:c r="L380" s="16" t="n">
        <x:v>3</x:v>
      </x:c>
      <x:c r="M380" s="16" t="n">
        <x:v>5</x:v>
      </x:c>
      <x:c r="N380" s="16" t="n">
        <x:v>5</x:v>
      </x:c>
      <x:c r="O380" s="16" t="n">
        <x:v>5</x:v>
      </x:c>
      <x:c r="P380" s="16" t="n">
        <x:f>IF(COUNT(I380:O380)&lt;7,"",I380*8+J380*3+K380*2+L380*2+M380*2+N380*2+O380)</x:f>
        <x:v>96</x:v>
      </x:c>
      <x:c r="Q380" s="16" t="n">
        <x:f>IF(COUNT(J380:O380)&lt;6,"",J380*5+K380*4+M380*4+L380*3+N380*2+O380*2)</x:f>
        <x:v>94</x:v>
      </x:c>
      <x:c r="R380" s="14" t="str">
        <x:v>high</x:v>
      </x:c>
      <x:c r="S380" s="14" t="str">
        <x:v>official_prozorro_award_2025_2026</x:v>
      </x:c>
      <x:c r="T380" s="14" t="str">
        <x:v>official_prozorro_api</x:v>
      </x:c>
      <x:c r="U380" s="14" t="str">
        <x:v>Не контактували</x:v>
      </x:c>
      <x:c r="V380" s="15" t="str">
        <x:v>Персоналізований free-pilot outreach по UA-2026-07-31-004646-a; попросити 1 пакет Н.14/Н.15</x:v>
      </x:c>
      <x:c r="W380" s="15" t="str">
        <x:v>Власник / директор; керівник ПТО; відповідальний за договори</x:v>
      </x:c>
      <x:c r="X380" s="15" t="str">
        <x:v>1 підтверджених перемог/договорів у Prozorro на 1 349 221 грн; 1 проєктів зі строком виконання не раніше 24.08.2026.</x:v>
      </x:c>
      <x:c r="Y380" s="15" t="str">
        <x:v>Послуги з монтажу електричних мереж та електричного обладнання в патернах причалів; строк до 2026-12-31. Попросити один знеособлений пакет здачі за цим workflow.</x:v>
      </x:c>
      <x:c r="Z380" s="15" t="str">
        <x:v>https://prozorro.gov.ua/tender/UA-2026-07-31-004646-a</x:v>
      </x:c>
      <x:c r="AA380" s="14" t="str">
        <x:v>30975988</x:v>
      </x:c>
      <x:c r="AB380" s="14" t="str">
        <x:v>2026-08-24</x:v>
      </x:c>
      <x:c r="AC380" s="14" t="str"/>
      <x:c r="AD380" s="20" t="str"/>
      <x:c r="AE380" s="14" t="str"/>
      <x:c r="AF380" s="14" t="n">
        <x:v>60</x:v>
      </x:c>
      <x:c r="AG380" s="14" t="str">
        <x:v>I2</x:v>
      </x:c>
      <x:c r="AH380" s="14" t="n">
        <x:v>1</x:v>
      </x:c>
      <x:c r="AI380" s="14" t="n">
        <x:v>1</x:v>
      </x:c>
      <x:c r="AJ380" s="18" t="n">
        <x:v>1349221.1</x:v>
      </x:c>
      <x:c r="AK380" s="14" t="str">
        <x:v>https://prozorro.gov.ua/tender/UA-2026-07-31-004646-a</x:v>
      </x:c>
      <x:c r="AL380" s="19" t="n">
        <x:v>46251.46483991898</x:v>
      </x:c>
      <x:c r="AM380" s="19" t="n">
        <x:v>46387</x:v>
      </x:c>
      <x:c r="AN380" s="15" t="str">
        <x:v>Електромонтаж</x:v>
      </x:c>
      <x:c r="AO380" s="15" t="str">
        <x:v>not_found_in_top_search</x:v>
      </x:c>
    </x:row>
    <x:row r="381">
      <x:c r="A381" s="14" t="str">
        <x:v>W3-109</x:v>
      </x:c>
      <x:c r="B381" s="14" t="str">
        <x:v>Prozorro winners — 24.08</x:v>
      </x:c>
      <x:c r="C381" s="14" t="str">
        <x:v>ТОВАРИСТВО З ОБМЕЖЕНОЮ ВІДПОВІДАЛЬНІСТЮ "МІЛПРОД"</x:v>
      </x:c>
      <x:c r="D381" s="14" t="str">
        <x:v>HVAC / ОВіК</x:v>
      </x:c>
      <x:c r="E381" s="14" t="str">
        <x:v>Pilot now</x:v>
      </x:c>
      <x:c r="F381" s="17" t="str">
        <x:f>IF(E381="Pilot now",IF(P381&gt;=84,"P1",IF(P381&gt;=72,"P2","P3")),IF(E381="Expansion discovery",IF(Q381&gt;=88,"D1",IF(Q381&gt;=78,"D2","D3")),IF(E381="Later / requirements","L","Legacy")))</x:f>
        <x:v>P1</x:v>
      </x:c>
      <x:c r="G381" s="14" t="str"/>
      <x:c r="H381" s="14" t="str">
        <x:v>Пілот зараз — Н.14</x:v>
      </x:c>
      <x:c r="I381" s="16" t="n">
        <x:v>5</x:v>
      </x:c>
      <x:c r="J381" s="16" t="n">
        <x:v>5</x:v>
      </x:c>
      <x:c r="K381" s="16" t="n">
        <x:v>5</x:v>
      </x:c>
      <x:c r="L381" s="16" t="n">
        <x:v>3</x:v>
      </x:c>
      <x:c r="M381" s="16" t="n">
        <x:v>5</x:v>
      </x:c>
      <x:c r="N381" s="16" t="n">
        <x:v>5</x:v>
      </x:c>
      <x:c r="O381" s="16" t="n">
        <x:v>5</x:v>
      </x:c>
      <x:c r="P381" s="16" t="n">
        <x:f>IF(COUNT(I381:O381)&lt;7,"",I381*8+J381*3+K381*2+L381*2+M381*2+N381*2+O381)</x:f>
        <x:v>96</x:v>
      </x:c>
      <x:c r="Q381" s="16" t="n">
        <x:f>IF(COUNT(J381:O381)&lt;6,"",J381*5+K381*4+M381*4+L381*3+N381*2+O381*2)</x:f>
        <x:v>94</x:v>
      </x:c>
      <x:c r="R381" s="14" t="str">
        <x:v>high</x:v>
      </x:c>
      <x:c r="S381" s="14" t="str">
        <x:v>official_prozorro_award_2025_2026</x:v>
      </x:c>
      <x:c r="T381" s="14" t="str">
        <x:v>official_prozorro_api</x:v>
      </x:c>
      <x:c r="U381" s="14" t="str">
        <x:v>Не контактували</x:v>
      </x:c>
      <x:c r="V381" s="15" t="str">
        <x:v>Персоналізований free-pilot outreach по UA-2026-07-07-008541-a; попросити 1 пакет Н.14/Н.15</x:v>
      </x:c>
      <x:c r="W381" s="15" t="str">
        <x:v>Власник / директор; керівник ПТО; відповідальний за договори</x:v>
      </x:c>
      <x:c r="X381" s="15" t="str">
        <x:v>1 підтверджених перемог/договорів у Prozorro на 1 109 564 грн; 1 проєктів зі строком виконання не раніше 24.08.2026.</x:v>
      </x:c>
      <x:c r="Y381" s="15" t="str">
        <x:v>Роботи з постачання та монтажу системи кондиціювання та вентиляції у будівлі № 100, що знаходиться за адресою: м. Київ, проспект Академіка Глушкова, 1 (ДК 021:2015: 45331200-8 Встановлення вентиляційних систем і систем кондиціонування повітря); строк до 2026-12-31. Попросити один знеособлений пакет здачі за цим workflow.</x:v>
      </x:c>
      <x:c r="Z381" s="15" t="str">
        <x:v>https://prozorro.gov.ua/tender/UA-2026-07-07-008541-a</x:v>
      </x:c>
      <x:c r="AA381" s="14" t="str">
        <x:v>45502185</x:v>
      </x:c>
      <x:c r="AB381" s="14" t="str">
        <x:v>2026-08-24</x:v>
      </x:c>
      <x:c r="AC381" s="14" t="str"/>
      <x:c r="AD381" s="20" t="str"/>
      <x:c r="AE381" s="14" t="str"/>
      <x:c r="AF381" s="14" t="n">
        <x:v>60</x:v>
      </x:c>
      <x:c r="AG381" s="14" t="str">
        <x:v>I2</x:v>
      </x:c>
      <x:c r="AH381" s="14" t="n">
        <x:v>1</x:v>
      </x:c>
      <x:c r="AI381" s="14" t="n">
        <x:v>1</x:v>
      </x:c>
      <x:c r="AJ381" s="18" t="n">
        <x:v>1109564.45</x:v>
      </x:c>
      <x:c r="AK381" s="14" t="str">
        <x:v>https://prozorro.gov.ua/tender/UA-2026-07-07-008541-a</x:v>
      </x:c>
      <x:c r="AL381" s="19" t="n">
        <x:v>46226.50163167824</x:v>
      </x:c>
      <x:c r="AM381" s="19" t="n">
        <x:v>46387</x:v>
      </x:c>
      <x:c r="AN381" s="15" t="str">
        <x:v>HVAC / ОВіК</x:v>
      </x:c>
      <x:c r="AO381" s="15" t="str">
        <x:v>not_found_in_top_search</x:v>
      </x:c>
    </x:row>
    <x:row r="382">
      <x:c r="A382" s="14" t="str">
        <x:v>W3-110</x:v>
      </x:c>
      <x:c r="B382" s="14" t="str">
        <x:v>Prozorro winners — 24.08</x:v>
      </x:c>
      <x:c r="C382" s="14" t="str">
        <x:v>ТОВ "Юнібуденергосервіс"</x:v>
      </x:c>
      <x:c r="D382" s="14" t="str">
        <x:v>Водоочищення / очисні споруди</x:v>
      </x:c>
      <x:c r="E382" s="14" t="str">
        <x:v>Expansion discovery</x:v>
      </x:c>
      <x:c r="F382" s="17" t="str">
        <x:f>IF(E382="Pilot now",IF(P382&gt;=84,"P1",IF(P382&gt;=72,"P2","P3")),IF(E382="Expansion discovery",IF(Q382&gt;=88,"D1",IF(Q382&gt;=78,"D2","D3")),IF(E382="Later / requirements","L","Legacy")))</x:f>
        <x:v>D1</x:v>
      </x:c>
      <x:c r="G382" s="14" t="str"/>
      <x:c r="H382" s="14" t="str">
        <x:v>Discovery розширення — 2 тижні</x:v>
      </x:c>
      <x:c r="I382" s="16" t="n">
        <x:v>1</x:v>
      </x:c>
      <x:c r="J382" s="16" t="n">
        <x:v>5</x:v>
      </x:c>
      <x:c r="K382" s="16" t="n">
        <x:v>4</x:v>
      </x:c>
      <x:c r="L382" s="16" t="n">
        <x:v>3</x:v>
      </x:c>
      <x:c r="M382" s="16" t="n">
        <x:v>5</x:v>
      </x:c>
      <x:c r="N382" s="16" t="n">
        <x:v>5</x:v>
      </x:c>
      <x:c r="O382" s="16" t="n">
        <x:v>5</x:v>
      </x:c>
      <x:c r="P382" s="16" t="n">
        <x:f>IF(COUNT(I382:O382)&lt;7,"",I382*8+J382*3+K382*2+L382*2+M382*2+N382*2+O382)</x:f>
        <x:v>62</x:v>
      </x:c>
      <x:c r="Q382" s="16" t="n">
        <x:f>IF(COUNT(J382:O382)&lt;6,"",J382*5+K382*4+M382*4+L382*3+N382*2+O382*2)</x:f>
        <x:v>90</x:v>
      </x:c>
      <x:c r="R382" s="14" t="str">
        <x:v>high</x:v>
      </x:c>
      <x:c r="S382" s="14" t="str">
        <x:v>official_prozorro_award_2025_2026</x:v>
      </x:c>
      <x:c r="T382" s="14" t="str">
        <x:v>official_prozorro_api</x:v>
      </x:c>
      <x:c r="U382" s="14" t="str">
        <x:v>Не контактували</x:v>
      </x:c>
      <x:c r="V382" s="15" t="str">
        <x:v>Workflow-audit outreach по UA-2026-07-13-006735-a; попросити 1 пакет здачі та вимоги проєкту</x:v>
      </x:c>
      <x:c r="W382" s="15" t="str">
        <x:v>Власник / директор; керівник ПТО; відповідальний за договори</x:v>
      </x:c>
      <x:c r="X382" s="15" t="str">
        <x:v>1 підтверджених перемог/договорів у Prozorro на 869 628 грн; 1 проєктів зі строком виконання не раніше 24.08.2026.</x:v>
      </x:c>
      <x:c r="Y382" s="15" t="str">
        <x:v>Виготовлення проектно-кошторисної документації по об’єкту: «Реконструкція біологічних очисних споруд каналізації м. Остер Чернігівської області. Коригування, згідно ЄЗС ДК 021:2015: 71320000-7- послуги з інженерного проектування; строк до 2026-12-31. Попросити один знеособлений пакет здачі за цим workflow.</x:v>
      </x:c>
      <x:c r="Z382" s="15" t="str">
        <x:v>https://prozorro.gov.ua/tender/UA-2026-07-13-006735-a</x:v>
      </x:c>
      <x:c r="AA382" s="14" t="str">
        <x:v>46201412</x:v>
      </x:c>
      <x:c r="AB382" s="14" t="str">
        <x:v>2026-08-24</x:v>
      </x:c>
      <x:c r="AC382" s="14" t="str"/>
      <x:c r="AD382" s="20" t="str"/>
      <x:c r="AE382" s="14" t="str"/>
      <x:c r="AF382" s="14" t="n">
        <x:v>60</x:v>
      </x:c>
      <x:c r="AG382" s="14" t="str">
        <x:v>I2</x:v>
      </x:c>
      <x:c r="AH382" s="14" t="n">
        <x:v>1</x:v>
      </x:c>
      <x:c r="AI382" s="14" t="n">
        <x:v>1</x:v>
      </x:c>
      <x:c r="AJ382" s="18" t="n">
        <x:v>869628.35</x:v>
      </x:c>
      <x:c r="AK382" s="14" t="str">
        <x:v>https://prozorro.gov.ua/tender/UA-2026-07-13-006735-a</x:v>
      </x:c>
      <x:c r="AL382" s="19" t="n">
        <x:v>46216.47863283565</x:v>
      </x:c>
      <x:c r="AM382" s="19" t="n">
        <x:v>46387</x:v>
      </x:c>
      <x:c r="AN382" s="15" t="str">
        <x:v>Водоочищення / очисні споруди</x:v>
      </x:c>
      <x:c r="AO382" s="15" t="str">
        <x:v>not_found_in_top_search</x:v>
      </x:c>
    </x:row>
    <x:row r="383">
      <x:c r="A383" s="14" t="str">
        <x:v>W3-111</x:v>
      </x:c>
      <x:c r="B383" s="14" t="str">
        <x:v>Prozorro winners — 24.08</x:v>
      </x:c>
      <x:c r="C383" s="14" t="str">
        <x:v>ТОВАРИСТВО З ОБМЕЖЕНОЮ ВІДПОВІДАЛЬНІСТЮ "МК-ГРАНД 2015"</x:v>
      </x:c>
      <x:c r="D383" s="14" t="str">
        <x:v>Водоочищення / очисні споруди</x:v>
      </x:c>
      <x:c r="E383" s="14" t="str">
        <x:v>Expansion discovery</x:v>
      </x:c>
      <x:c r="F383" s="17" t="str">
        <x:f>IF(E383="Pilot now",IF(P383&gt;=84,"P1",IF(P383&gt;=72,"P2","P3")),IF(E383="Expansion discovery",IF(Q383&gt;=88,"D1",IF(Q383&gt;=78,"D2","D3")),IF(E383="Later / requirements","L","Legacy")))</x:f>
        <x:v>D1</x:v>
      </x:c>
      <x:c r="G383" s="14" t="str"/>
      <x:c r="H383" s="14" t="str">
        <x:v>Discovery розширення — 2 тижні</x:v>
      </x:c>
      <x:c r="I383" s="16" t="n">
        <x:v>1</x:v>
      </x:c>
      <x:c r="J383" s="16" t="n">
        <x:v>5</x:v>
      </x:c>
      <x:c r="K383" s="16" t="n">
        <x:v>4</x:v>
      </x:c>
      <x:c r="L383" s="16" t="n">
        <x:v>3</x:v>
      </x:c>
      <x:c r="M383" s="16" t="n">
        <x:v>5</x:v>
      </x:c>
      <x:c r="N383" s="16" t="n">
        <x:v>5</x:v>
      </x:c>
      <x:c r="O383" s="16" t="n">
        <x:v>5</x:v>
      </x:c>
      <x:c r="P383" s="16" t="n">
        <x:f>IF(COUNT(I383:O383)&lt;7,"",I383*8+J383*3+K383*2+L383*2+M383*2+N383*2+O383)</x:f>
        <x:v>62</x:v>
      </x:c>
      <x:c r="Q383" s="16" t="n">
        <x:f>IF(COUNT(J383:O383)&lt;6,"",J383*5+K383*4+M383*4+L383*3+N383*2+O383*2)</x:f>
        <x:v>90</x:v>
      </x:c>
      <x:c r="R383" s="14" t="str">
        <x:v>high</x:v>
      </x:c>
      <x:c r="S383" s="14" t="str">
        <x:v>official_prozorro_award_2025_2026</x:v>
      </x:c>
      <x:c r="T383" s="14" t="str">
        <x:v>official_prozorro_api</x:v>
      </x:c>
      <x:c r="U383" s="14" t="str">
        <x:v>Не контактували</x:v>
      </x:c>
      <x:c r="V383" s="15" t="str">
        <x:v>Workflow-audit outreach по UA-2026-08-21-001303-a; попросити 1 пакет здачі та вимоги проєкту</x:v>
      </x:c>
      <x:c r="W383" s="15" t="str">
        <x:v>Власник / директор; керівник ПТО; відповідальний за договори</x:v>
      </x:c>
      <x:c r="X383" s="15" t="str">
        <x:v>1 підтверджених перемог/договорів у Prozorro на 683 148 грн; 1 проєктів зі строком виконання не раніше 24.08.2026.</x:v>
      </x:c>
      <x:c r="Y383" s="15" t="str">
        <x:v>Коригування проєктної документації по об'єкту: "Реконструкція каналізаційних очисних споруд (аеротенки та повітродувна станція з повітроводом) в м. Глухів, вул. Жужоми, 51 (Коригування)"; строк до 2026-12-31. Попросити один знеособлений пакет здачі за цим workflow.</x:v>
      </x:c>
      <x:c r="Z383" s="15" t="str">
        <x:v>https://prozorro.gov.ua/tender/UA-2026-08-21-001303-a</x:v>
      </x:c>
      <x:c r="AA383" s="14" t="str">
        <x:v>41291234</x:v>
      </x:c>
      <x:c r="AB383" s="14" t="str">
        <x:v>2026-08-24</x:v>
      </x:c>
      <x:c r="AC383" s="14" t="str"/>
      <x:c r="AD383" s="20" t="str"/>
      <x:c r="AE383" s="14" t="str"/>
      <x:c r="AF383" s="14" t="n">
        <x:v>60</x:v>
      </x:c>
      <x:c r="AG383" s="14" t="str">
        <x:v>I2</x:v>
      </x:c>
      <x:c r="AH383" s="14" t="n">
        <x:v>1</x:v>
      </x:c>
      <x:c r="AI383" s="14" t="n">
        <x:v>1</x:v>
      </x:c>
      <x:c r="AJ383" s="18" t="n">
        <x:v>683148</x:v>
      </x:c>
      <x:c r="AK383" s="14" t="str">
        <x:v>https://prozorro.gov.ua/tender/UA-2026-08-21-001303-a</x:v>
      </x:c>
      <x:c r="AL383" s="19" t="n">
        <x:v>46255.28362246528</x:v>
      </x:c>
      <x:c r="AM383" s="19" t="n">
        <x:v>46387</x:v>
      </x:c>
      <x:c r="AN383" s="15" t="str">
        <x:v>Водоочищення / очисні споруди</x:v>
      </x:c>
      <x:c r="AO383" s="15" t="str">
        <x:v>not_found_in_top_search</x:v>
      </x:c>
    </x:row>
    <x:row r="384">
      <x:c r="A384" s="14" t="str">
        <x:v>W3-112</x:v>
      </x:c>
      <x:c r="B384" s="14" t="str">
        <x:v>Prozorro winners — 24.08</x:v>
      </x:c>
      <x:c r="C384" s="14" t="str">
        <x:v>ТОВАРИСТВО З ОБМЕЖЕНОЮ ВІДПОВІДАЛЬНІСТЮ "УКРЕНЕРГОПРОМ - 3"</x:v>
      </x:c>
      <x:c r="D384" s="14" t="str">
        <x:v>Водоочищення / очисні споруди</x:v>
      </x:c>
      <x:c r="E384" s="14" t="str">
        <x:v>Expansion discovery</x:v>
      </x:c>
      <x:c r="F384" s="17" t="str">
        <x:f>IF(E384="Pilot now",IF(P384&gt;=84,"P1",IF(P384&gt;=72,"P2","P3")),IF(E384="Expansion discovery",IF(Q384&gt;=88,"D1",IF(Q384&gt;=78,"D2","D3")),IF(E384="Later / requirements","L","Legacy")))</x:f>
        <x:v>D1</x:v>
      </x:c>
      <x:c r="G384" s="14" t="str"/>
      <x:c r="H384" s="14" t="str">
        <x:v>Discovery розширення — 2 тижні</x:v>
      </x:c>
      <x:c r="I384" s="16" t="n">
        <x:v>1</x:v>
      </x:c>
      <x:c r="J384" s="16" t="n">
        <x:v>5</x:v>
      </x:c>
      <x:c r="K384" s="16" t="n">
        <x:v>4</x:v>
      </x:c>
      <x:c r="L384" s="16" t="n">
        <x:v>3</x:v>
      </x:c>
      <x:c r="M384" s="16" t="n">
        <x:v>5</x:v>
      </x:c>
      <x:c r="N384" s="16" t="n">
        <x:v>5</x:v>
      </x:c>
      <x:c r="O384" s="16" t="n">
        <x:v>5</x:v>
      </x:c>
      <x:c r="P384" s="16" t="n">
        <x:f>IF(COUNT(I384:O384)&lt;7,"",I384*8+J384*3+K384*2+L384*2+M384*2+N384*2+O384)</x:f>
        <x:v>62</x:v>
      </x:c>
      <x:c r="Q384" s="16" t="n">
        <x:f>IF(COUNT(J384:O384)&lt;6,"",J384*5+K384*4+M384*4+L384*3+N384*2+O384*2)</x:f>
        <x:v>90</x:v>
      </x:c>
      <x:c r="R384" s="14" t="str">
        <x:v>high</x:v>
      </x:c>
      <x:c r="S384" s="14" t="str">
        <x:v>official_prozorro_award_2025_2026</x:v>
      </x:c>
      <x:c r="T384" s="14" t="str">
        <x:v>official_prozorro_api</x:v>
      </x:c>
      <x:c r="U384" s="14" t="str">
        <x:v>Не контактували</x:v>
      </x:c>
      <x:c r="V384" s="15" t="str">
        <x:v>Workflow-audit outreach по UA-2026-08-06-010034-a; попросити 1 пакет здачі та вимоги проєкту</x:v>
      </x:c>
      <x:c r="W384" s="15" t="str">
        <x:v>Власник / директор; керівник ПТО; відповідальний за договори</x:v>
      </x:c>
      <x:c r="X384" s="15" t="str">
        <x:v>1 підтверджених перемог/договорів у Prozorro на 620 400 грн; 1 проєктів зі строком виконання не раніше 24.08.2026.</x:v>
      </x:c>
      <x:c r="Y384" s="15" t="str">
        <x:v>Реконструкція системи електропостачання комплексу очисних споруд КП "Міськводоканал" Сумської міської ради (СМР) з влаштуванням підключення когенераційної установки GENTEС, KE-MNG 700-BR за адресою м. Суми, вул. Лихвинська стінка, 40; строк до 2026-12-31. Попросити один знеособлений пакет здачі за цим workflow.</x:v>
      </x:c>
      <x:c r="Z384" s="15" t="str">
        <x:v>https://prozorro.gov.ua/tender/UA-2026-08-06-010034-a</x:v>
      </x:c>
      <x:c r="AA384" s="14" t="str">
        <x:v>31564943</x:v>
      </x:c>
      <x:c r="AB384" s="14" t="str">
        <x:v>2026-08-24</x:v>
      </x:c>
      <x:c r="AC384" s="14" t="str"/>
      <x:c r="AD384" s="20" t="str"/>
      <x:c r="AE384" s="14" t="str"/>
      <x:c r="AF384" s="14" t="n">
        <x:v>60</x:v>
      </x:c>
      <x:c r="AG384" s="14" t="str">
        <x:v>I2</x:v>
      </x:c>
      <x:c r="AH384" s="14" t="n">
        <x:v>1</x:v>
      </x:c>
      <x:c r="AI384" s="14" t="n">
        <x:v>1</x:v>
      </x:c>
      <x:c r="AJ384" s="18" t="n">
        <x:v>620400</x:v>
      </x:c>
      <x:c r="AK384" s="14" t="str">
        <x:v>https://prozorro.gov.ua/tender/UA-2026-08-06-010034-a</x:v>
      </x:c>
      <x:c r="AL384" s="19" t="n">
        <x:v>46240.554719837965</x:v>
      </x:c>
      <x:c r="AM384" s="19" t="n">
        <x:v>46387</x:v>
      </x:c>
      <x:c r="AN384" s="15" t="str">
        <x:v>Водоочищення / очисні споруди</x:v>
      </x:c>
      <x:c r="AO384" s="15" t="str">
        <x:v>not_found_in_top_search</x:v>
      </x:c>
    </x:row>
    <x:row r="385">
      <x:c r="A385" s="14" t="str">
        <x:v>W3-113</x:v>
      </x:c>
      <x:c r="B385" s="14" t="str">
        <x:v>Prozorro winners — 24.08</x:v>
      </x:c>
      <x:c r="C385" s="14" t="str">
        <x:v>ТОВ "Інагротранс"</x:v>
      </x:c>
      <x:c r="D385" s="14" t="str">
        <x:v>Теплові мережі</x:v>
      </x:c>
      <x:c r="E385" s="14" t="str">
        <x:v>Expansion discovery</x:v>
      </x:c>
      <x:c r="F385" s="17" t="str">
        <x:f>IF(E385="Pilot now",IF(P385&gt;=84,"P1",IF(P385&gt;=72,"P2","P3")),IF(E385="Expansion discovery",IF(Q385&gt;=88,"D1",IF(Q385&gt;=78,"D2","D3")),IF(E385="Later / requirements","L","Legacy")))</x:f>
        <x:v>D1</x:v>
      </x:c>
      <x:c r="G385" s="14" t="str"/>
      <x:c r="H385" s="14" t="str">
        <x:v>Discovery розширення — 2 тижні</x:v>
      </x:c>
      <x:c r="I385" s="16" t="n">
        <x:v>1</x:v>
      </x:c>
      <x:c r="J385" s="16" t="n">
        <x:v>5</x:v>
      </x:c>
      <x:c r="K385" s="16" t="n">
        <x:v>4</x:v>
      </x:c>
      <x:c r="L385" s="16" t="n">
        <x:v>3</x:v>
      </x:c>
      <x:c r="M385" s="16" t="n">
        <x:v>5</x:v>
      </x:c>
      <x:c r="N385" s="16" t="n">
        <x:v>5</x:v>
      </x:c>
      <x:c r="O385" s="16" t="n">
        <x:v>5</x:v>
      </x:c>
      <x:c r="P385" s="16" t="n">
        <x:f>IF(COUNT(I385:O385)&lt;7,"",I385*8+J385*3+K385*2+L385*2+M385*2+N385*2+O385)</x:f>
        <x:v>62</x:v>
      </x:c>
      <x:c r="Q385" s="16" t="n">
        <x:f>IF(COUNT(J385:O385)&lt;6,"",J385*5+K385*4+M385*4+L385*3+N385*2+O385*2)</x:f>
        <x:v>90</x:v>
      </x:c>
      <x:c r="R385" s="14" t="str">
        <x:v>high</x:v>
      </x:c>
      <x:c r="S385" s="14" t="str">
        <x:v>official_prozorro_award_2025_2026</x:v>
      </x:c>
      <x:c r="T385" s="14" t="str">
        <x:v>official_prozorro_api</x:v>
      </x:c>
      <x:c r="U385" s="14" t="str">
        <x:v>Не контактували</x:v>
      </x:c>
      <x:c r="V385" s="15" t="str">
        <x:v>Workflow-audit outreach по UA-2026-08-08-000508-a; попросити 1 пакет здачі та вимоги проєкту</x:v>
      </x:c>
      <x:c r="W385" s="15" t="str">
        <x:v>Власник / директор; керівник ПТО; відповідальний за договори</x:v>
      </x:c>
      <x:c r="X385" s="15" t="str">
        <x:v>1 підтверджених перемог/договорів у Prozorro на 581 064 грн; 1 проєктів зі строком виконання не раніше 24.08.2026.</x:v>
      </x:c>
      <x:c r="Y385" s="15" t="str">
        <x:v>«Труби  сталеві електрозварні  в асортименті для реконструкції теплових мереж» КОД ДК 021:2015 — 44160000-9 Магістралі, трубопроводи, труби, обсадні труби, тюбінги та супутні вироби; строк до 2026-12-31. Попросити один знеособлений пакет здачі за цим workflow.</x:v>
      </x:c>
      <x:c r="Z385" s="15" t="str">
        <x:v>https://prozorro.gov.ua/tender/UA-2026-08-08-000508-a</x:v>
      </x:c>
      <x:c r="AA385" s="14" t="str">
        <x:v>31143004</x:v>
      </x:c>
      <x:c r="AB385" s="14" t="str">
        <x:v>2026-08-24</x:v>
      </x:c>
      <x:c r="AC385" s="14" t="str"/>
      <x:c r="AD385" s="20" t="str"/>
      <x:c r="AE385" s="14" t="str"/>
      <x:c r="AF385" s="14" t="n">
        <x:v>60</x:v>
      </x:c>
      <x:c r="AG385" s="14" t="str">
        <x:v>I2</x:v>
      </x:c>
      <x:c r="AH385" s="14" t="n">
        <x:v>1</x:v>
      </x:c>
      <x:c r="AI385" s="14" t="n">
        <x:v>1</x:v>
      </x:c>
      <x:c r="AJ385" s="18" t="n">
        <x:v>581064</x:v>
      </x:c>
      <x:c r="AK385" s="14" t="str">
        <x:v>https://prozorro.gov.ua/tender/UA-2026-08-08-000508-a</x:v>
      </x:c>
      <x:c r="AL385" s="19" t="n">
        <x:v>46252.53838293981</x:v>
      </x:c>
      <x:c r="AM385" s="19" t="n">
        <x:v>46387.61451388889</x:v>
      </x:c>
      <x:c r="AN385" s="15" t="str">
        <x:v>Теплові мережі</x:v>
      </x:c>
      <x:c r="AO385" s="15" t="str">
        <x:v>not_found_in_top_search</x:v>
      </x:c>
    </x:row>
    <x:row r="386">
      <x:c r="A386" s="14" t="str">
        <x:v>W3-114</x:v>
      </x:c>
      <x:c r="B386" s="14" t="str">
        <x:v>Prozorro winners — 24.08</x:v>
      </x:c>
      <x:c r="C386" s="14" t="str">
        <x:v>ТОВАРИСТВО З ОБМЕЖЕНОЮ ВІДПОВІДАЛЬНІСТЮ "БУДІВЕЛЬНА КОМПАНІЯ "ГЕКСАГОН"</x:v>
      </x:c>
      <x:c r="D386" s="14" t="str">
        <x:v>Теплові мережі</x:v>
      </x:c>
      <x:c r="E386" s="14" t="str">
        <x:v>Expansion discovery</x:v>
      </x:c>
      <x:c r="F386" s="17" t="str">
        <x:f>IF(E386="Pilot now",IF(P386&gt;=84,"P1",IF(P386&gt;=72,"P2","P3")),IF(E386="Expansion discovery",IF(Q386&gt;=88,"D1",IF(Q386&gt;=78,"D2","D3")),IF(E386="Later / requirements","L","Legacy")))</x:f>
        <x:v>D1</x:v>
      </x:c>
      <x:c r="G386" s="14" t="str"/>
      <x:c r="H386" s="14" t="str">
        <x:v>Discovery розширення — 2 тижні</x:v>
      </x:c>
      <x:c r="I386" s="16" t="n">
        <x:v>1</x:v>
      </x:c>
      <x:c r="J386" s="16" t="n">
        <x:v>5</x:v>
      </x:c>
      <x:c r="K386" s="16" t="n">
        <x:v>4</x:v>
      </x:c>
      <x:c r="L386" s="16" t="n">
        <x:v>3</x:v>
      </x:c>
      <x:c r="M386" s="16" t="n">
        <x:v>5</x:v>
      </x:c>
      <x:c r="N386" s="16" t="n">
        <x:v>5</x:v>
      </x:c>
      <x:c r="O386" s="16" t="n">
        <x:v>5</x:v>
      </x:c>
      <x:c r="P386" s="16" t="n">
        <x:f>IF(COUNT(I386:O386)&lt;7,"",I386*8+J386*3+K386*2+L386*2+M386*2+N386*2+O386)</x:f>
        <x:v>62</x:v>
      </x:c>
      <x:c r="Q386" s="16" t="n">
        <x:f>IF(COUNT(J386:O386)&lt;6,"",J386*5+K386*4+M386*4+L386*3+N386*2+O386*2)</x:f>
        <x:v>90</x:v>
      </x:c>
      <x:c r="R386" s="14" t="str">
        <x:v>high</x:v>
      </x:c>
      <x:c r="S386" s="14" t="str">
        <x:v>official_prozorro_award_2025_2026</x:v>
      </x:c>
      <x:c r="T386" s="14" t="str">
        <x:v>official_prozorro_api</x:v>
      </x:c>
      <x:c r="U386" s="14" t="str">
        <x:v>Не контактували</x:v>
      </x:c>
      <x:c r="V386" s="15" t="str">
        <x:v>Workflow-audit outreach по UA-2026-07-17-000299-a; попросити 1 пакет здачі та вимоги проєкту</x:v>
      </x:c>
      <x:c r="W386" s="15" t="str">
        <x:v>Власник / директор; керівник ПТО; відповідальний за договори</x:v>
      </x:c>
      <x:c r="X386" s="15" t="str">
        <x:v>1 підтверджених перемог/договорів у Prozorro на 545 978 грн; 1 проєктів зі строком виконання не раніше 24.08.2026.</x:v>
      </x:c>
      <x:c r="Y386" s="15" t="str">
        <x:v>Коригування робочого проєкту «Реконструкція ділянки теплової мережі по вул. Базарна від ТК2к17 до ТК2к22 у м. Одесі»; строк до 2026-10-01. Попросити один знеособлений пакет здачі за цим workflow.</x:v>
      </x:c>
      <x:c r="Z386" s="15" t="str">
        <x:v>https://prozorro.gov.ua/tender/UA-2026-07-17-000299-a</x:v>
      </x:c>
      <x:c r="AA386" s="14" t="str">
        <x:v>42802738</x:v>
      </x:c>
      <x:c r="AB386" s="14" t="str">
        <x:v>2026-08-24</x:v>
      </x:c>
      <x:c r="AC386" s="14" t="str"/>
      <x:c r="AD386" s="20" t="str"/>
      <x:c r="AE386" s="14" t="str"/>
      <x:c r="AF386" s="14" t="n">
        <x:v>60</x:v>
      </x:c>
      <x:c r="AG386" s="14" t="str">
        <x:v>I2</x:v>
      </x:c>
      <x:c r="AH386" s="14" t="n">
        <x:v>1</x:v>
      </x:c>
      <x:c r="AI386" s="14" t="n">
        <x:v>1</x:v>
      </x:c>
      <x:c r="AJ386" s="18" t="n">
        <x:v>545977.93</x:v>
      </x:c>
      <x:c r="AK386" s="14" t="str">
        <x:v>https://prozorro.gov.ua/tender/UA-2026-07-17-000299-a</x:v>
      </x:c>
      <x:c r="AL386" s="19" t="n">
        <x:v>46220.2418265625</x:v>
      </x:c>
      <x:c r="AM386" s="19" t="n">
        <x:v>46296</x:v>
      </x:c>
      <x:c r="AN386" s="15" t="str">
        <x:v>Теплові мережі</x:v>
      </x:c>
      <x:c r="AO386" s="15" t="str">
        <x:v>not_found_in_top_search</x:v>
      </x:c>
    </x:row>
    <x:row r="387">
      <x:c r="A387" s="14" t="str">
        <x:v>W3-115</x:v>
      </x:c>
      <x:c r="B387" s="14" t="str">
        <x:v>Prozorro winners — 24.08</x:v>
      </x:c>
      <x:c r="C387" s="14" t="str">
        <x:v>ТОВАРИСТВО З ОБМЕЖЕНОЮ ВІДПОВІДАЛЬНІСТЮ "БК НД-ГРУП"</x:v>
      </x:c>
      <x:c r="D387" s="14" t="str">
        <x:v>Мости / інфраструктура</x:v>
      </x:c>
      <x:c r="E387" s="14" t="str">
        <x:v>Expansion discovery</x:v>
      </x:c>
      <x:c r="F387" s="17" t="str">
        <x:f>IF(E387="Pilot now",IF(P387&gt;=84,"P1",IF(P387&gt;=72,"P2","P3")),IF(E387="Expansion discovery",IF(Q387&gt;=88,"D1",IF(Q387&gt;=78,"D2","D3")),IF(E387="Later / requirements","L","Legacy")))</x:f>
        <x:v>D2</x:v>
      </x:c>
      <x:c r="G387" s="14" t="str"/>
      <x:c r="H387" s="14" t="str">
        <x:v>Discovery розширення — 2 тижні</x:v>
      </x:c>
      <x:c r="I387" s="16" t="n">
        <x:v>1</x:v>
      </x:c>
      <x:c r="J387" s="16" t="n">
        <x:v>5</x:v>
      </x:c>
      <x:c r="K387" s="16" t="n">
        <x:v>4</x:v>
      </x:c>
      <x:c r="L387" s="16" t="n">
        <x:v>2</x:v>
      </x:c>
      <x:c r="M387" s="16" t="n">
        <x:v>5</x:v>
      </x:c>
      <x:c r="N387" s="16" t="n">
        <x:v>5</x:v>
      </x:c>
      <x:c r="O387" s="16" t="n">
        <x:v>5</x:v>
      </x:c>
      <x:c r="P387" s="16" t="n">
        <x:f>IF(COUNT(I387:O387)&lt;7,"",I387*8+J387*3+K387*2+L387*2+M387*2+N387*2+O387)</x:f>
        <x:v>60</x:v>
      </x:c>
      <x:c r="Q387" s="16" t="n">
        <x:f>IF(COUNT(J387:O387)&lt;6,"",J387*5+K387*4+M387*4+L387*3+N387*2+O387*2)</x:f>
        <x:v>87</x:v>
      </x:c>
      <x:c r="R387" s="14" t="str">
        <x:v>high</x:v>
      </x:c>
      <x:c r="S387" s="14" t="str">
        <x:v>official_prozorro_award_2025_2026</x:v>
      </x:c>
      <x:c r="T387" s="14" t="str">
        <x:v>official_prozorro_api</x:v>
      </x:c>
      <x:c r="U387" s="14" t="str">
        <x:v>Не контактували</x:v>
      </x:c>
      <x:c r="V387" s="15" t="str">
        <x:v>Workflow-audit outreach по UA-2026-05-01-004394-a; попросити 1 пакет здачі та вимоги проєкту</x:v>
      </x:c>
      <x:c r="W387" s="15" t="str">
        <x:v>Власник / директор; керівник ПТО; відповідальний за договори</x:v>
      </x:c>
      <x:c r="X387" s="15" t="str">
        <x:v>2 підтверджених перемог/договорів у Prozorro на 279 159 грн; 2 проєктів зі строком виконання не раніше 24.08.2026.</x:v>
      </x:c>
      <x:c r="Y387" s="15" t="str">
        <x:v>поточнй ремонт підїзду до мосту через річку Бучанка в м. Ірпінь; строк до 2026-12-31. Попросити один знеособлений пакет здачі за цим workflow.</x:v>
      </x:c>
      <x:c r="Z387" s="15" t="str">
        <x:v>https://prozorro.gov.ua/tender/UA-2026-05-01-004394-a</x:v>
      </x:c>
      <x:c r="AA387" s="14" t="str">
        <x:v>40392710</x:v>
      </x:c>
      <x:c r="AB387" s="14" t="str">
        <x:v>2026-08-24</x:v>
      </x:c>
      <x:c r="AC387" s="14" t="str"/>
      <x:c r="AD387" s="20" t="str"/>
      <x:c r="AE387" s="14" t="str"/>
      <x:c r="AF387" s="14" t="n">
        <x:v>60</x:v>
      </x:c>
      <x:c r="AG387" s="14" t="str">
        <x:v>I2</x:v>
      </x:c>
      <x:c r="AH387" s="14" t="n">
        <x:v>2</x:v>
      </x:c>
      <x:c r="AI387" s="14" t="n">
        <x:v>2</x:v>
      </x:c>
      <x:c r="AJ387" s="18" t="n">
        <x:v>279159.23</x:v>
      </x:c>
      <x:c r="AK387" s="14" t="str">
        <x:v>https://prozorro.gov.ua/tender/UA-2026-05-01-004394-a</x:v>
      </x:c>
      <x:c r="AL387" s="19" t="n">
        <x:v>46143.35628107639</x:v>
      </x:c>
      <x:c r="AM387" s="19" t="n">
        <x:v>46387</x:v>
      </x:c>
      <x:c r="AN387" s="15" t="str">
        <x:v>Мости / інфраструктура</x:v>
      </x:c>
      <x:c r="AO387" s="15" t="str">
        <x:v>not_found_in_top_search</x:v>
      </x:c>
    </x:row>
    <x:row r="388">
      <x:c r="A388" s="14" t="str">
        <x:v>W3-116</x:v>
      </x:c>
      <x:c r="B388" s="14" t="str">
        <x:v>Prozorro winners — 24.08</x:v>
      </x:c>
      <x:c r="C388" s="14" t="str">
        <x:v>ТОВАРИСТВО З ОБМЕЖЕНОЮ ВІДПОВІДАЛЬНІСТЮ "БЕЗПЕКА-ІФ"</x:v>
      </x:c>
      <x:c r="D388" s="14" t="str">
        <x:v>Безпека / СКУД / CCTV</x:v>
      </x:c>
      <x:c r="E388" s="14" t="str">
        <x:v>Expansion discovery</x:v>
      </x:c>
      <x:c r="F388" s="17" t="str">
        <x:f>IF(E388="Pilot now",IF(P388&gt;=84,"P1",IF(P388&gt;=72,"P2","P3")),IF(E388="Expansion discovery",IF(Q388&gt;=88,"D1",IF(Q388&gt;=78,"D2","D3")),IF(E388="Later / requirements","L","Legacy")))</x:f>
        <x:v>D2</x:v>
      </x:c>
      <x:c r="G388" s="14" t="str"/>
      <x:c r="H388" s="14" t="str">
        <x:v>Discovery розширення — 2 тижні</x:v>
      </x:c>
      <x:c r="I388" s="16" t="n">
        <x:v>1</x:v>
      </x:c>
      <x:c r="J388" s="16" t="n">
        <x:v>5</x:v>
      </x:c>
      <x:c r="K388" s="16" t="n">
        <x:v>4</x:v>
      </x:c>
      <x:c r="L388" s="16" t="n">
        <x:v>2</x:v>
      </x:c>
      <x:c r="M388" s="16" t="n">
        <x:v>5</x:v>
      </x:c>
      <x:c r="N388" s="16" t="n">
        <x:v>5</x:v>
      </x:c>
      <x:c r="O388" s="16" t="n">
        <x:v>5</x:v>
      </x:c>
      <x:c r="P388" s="16" t="n">
        <x:f>IF(COUNT(I388:O388)&lt;7,"",I388*8+J388*3+K388*2+L388*2+M388*2+N388*2+O388)</x:f>
        <x:v>60</x:v>
      </x:c>
      <x:c r="Q388" s="16" t="n">
        <x:f>IF(COUNT(J388:O388)&lt;6,"",J388*5+K388*4+M388*4+L388*3+N388*2+O388*2)</x:f>
        <x:v>87</x:v>
      </x:c>
      <x:c r="R388" s="14" t="str">
        <x:v>high</x:v>
      </x:c>
      <x:c r="S388" s="14" t="str">
        <x:v>official_prozorro_award_2025_2026</x:v>
      </x:c>
      <x:c r="T388" s="14" t="str">
        <x:v>official_prozorro_api</x:v>
      </x:c>
      <x:c r="U388" s="14" t="str">
        <x:v>Не контактували</x:v>
      </x:c>
      <x:c r="V388" s="15" t="str">
        <x:v>Workflow-audit outreach по UA-2026-04-29-008735-a; попросити 1 пакет здачі та вимоги проєкту</x:v>
      </x:c>
      <x:c r="W388" s="15" t="str">
        <x:v>Власник / директор; керівник ПТО; відповідальний за договори</x:v>
      </x:c>
      <x:c r="X388" s="15" t="str">
        <x:v>2 підтверджених перемог/договорів у Prozorro на 180 848 грн; 2 проєктів зі строком виконання не раніше 24.08.2026.</x:v>
      </x:c>
      <x:c r="Y388" s="15" t="str">
        <x:v>Послуги з монтажу та налаштування системи контролю доступу КНП "Дитяча лікарня Надвірнянського району" м. Надвірна, вул. Небесної Сотні, 24а; строк до 2026-12-31. Попросити один знеособлений пакет здачі за цим workflow.</x:v>
      </x:c>
      <x:c r="Z388" s="15" t="str">
        <x:v>https://prozorro.gov.ua/tender/UA-2026-04-29-008735-a</x:v>
      </x:c>
      <x:c r="AA388" s="14" t="str">
        <x:v>37262401</x:v>
      </x:c>
      <x:c r="AB388" s="14" t="str">
        <x:v>2026-08-24</x:v>
      </x:c>
      <x:c r="AC388" s="14" t="str"/>
      <x:c r="AD388" s="20" t="str"/>
      <x:c r="AE388" s="14" t="str"/>
      <x:c r="AF388" s="14" t="n">
        <x:v>60</x:v>
      </x:c>
      <x:c r="AG388" s="14" t="str">
        <x:v>I2</x:v>
      </x:c>
      <x:c r="AH388" s="14" t="n">
        <x:v>2</x:v>
      </x:c>
      <x:c r="AI388" s="14" t="n">
        <x:v>2</x:v>
      </x:c>
      <x:c r="AJ388" s="18" t="n">
        <x:v>180848.18</x:v>
      </x:c>
      <x:c r="AK388" s="14" t="str">
        <x:v>https://prozorro.gov.ua/tender/UA-2026-04-29-008735-a</x:v>
      </x:c>
      <x:c r="AL388" s="19" t="n">
        <x:v>46141.50274150463</x:v>
      </x:c>
      <x:c r="AM388" s="19" t="n">
        <x:v>46387</x:v>
      </x:c>
      <x:c r="AN388" s="15" t="str">
        <x:v>Безпека / СКУД / CCTV</x:v>
      </x:c>
      <x:c r="AO388" s="15" t="str">
        <x:v>not_found_in_top_search</x:v>
      </x:c>
    </x:row>
    <x:row r="389">
      <x:c r="A389" s="14" t="str">
        <x:v>W3-117</x:v>
      </x:c>
      <x:c r="B389" s="14" t="str">
        <x:v>Prozorro winners — 24.08</x:v>
      </x:c>
      <x:c r="C389" s="14" t="str">
        <x:v>ТОВАРИСТВО З ОБМЕЖЕНОЮ ВІДПОВІДАЛЬНІСТЮ "ТРЕЙДІНГ АССОШІЕЙШН АІМДЖИ"</x:v>
      </x:c>
      <x:c r="D389" s="14" t="str">
        <x:v>Зовнішні мережі</x:v>
      </x:c>
      <x:c r="E389" s="14" t="str">
        <x:v>Expansion discovery</x:v>
      </x:c>
      <x:c r="F389" s="17" t="str">
        <x:f>IF(E389="Pilot now",IF(P389&gt;=84,"P1",IF(P389&gt;=72,"P2","P3")),IF(E389="Expansion discovery",IF(Q389&gt;=88,"D1",IF(Q389&gt;=78,"D2","D3")),IF(E389="Later / requirements","L","Legacy")))</x:f>
        <x:v>D2</x:v>
      </x:c>
      <x:c r="G389" s="14" t="str"/>
      <x:c r="H389" s="14" t="str">
        <x:v>Discovery розширення — 2 тижні</x:v>
      </x:c>
      <x:c r="I389" s="16" t="n">
        <x:v>1</x:v>
      </x:c>
      <x:c r="J389" s="16" t="n">
        <x:v>5</x:v>
      </x:c>
      <x:c r="K389" s="16" t="n">
        <x:v>4</x:v>
      </x:c>
      <x:c r="L389" s="16" t="n">
        <x:v>2</x:v>
      </x:c>
      <x:c r="M389" s="16" t="n">
        <x:v>5</x:v>
      </x:c>
      <x:c r="N389" s="16" t="n">
        <x:v>5</x:v>
      </x:c>
      <x:c r="O389" s="16" t="n">
        <x:v>5</x:v>
      </x:c>
      <x:c r="P389" s="16" t="n">
        <x:f>IF(COUNT(I389:O389)&lt;7,"",I389*8+J389*3+K389*2+L389*2+M389*2+N389*2+O389)</x:f>
        <x:v>60</x:v>
      </x:c>
      <x:c r="Q389" s="16" t="n">
        <x:f>IF(COUNT(J389:O389)&lt;6,"",J389*5+K389*4+M389*4+L389*3+N389*2+O389*2)</x:f>
        <x:v>87</x:v>
      </x:c>
      <x:c r="R389" s="14" t="str">
        <x:v>high</x:v>
      </x:c>
      <x:c r="S389" s="14" t="str">
        <x:v>official_prozorro_award_2025_2026</x:v>
      </x:c>
      <x:c r="T389" s="14" t="str">
        <x:v>official_prozorro_api</x:v>
      </x:c>
      <x:c r="U389" s="14" t="str">
        <x:v>Не контактували</x:v>
      </x:c>
      <x:c r="V389" s="15" t="str">
        <x:v>Workflow-audit outreach по UA-2026-06-17-007129-a; попросити 1 пакет здачі та вимоги проєкту</x:v>
      </x:c>
      <x:c r="W389" s="15" t="str">
        <x:v>Власник / директор; керівник ПТО; відповідальний за договори</x:v>
      </x:c>
      <x:c r="X389" s="15" t="str">
        <x:v>2 підтверджених перемог/договорів у Prozorro на 174 440 грн; 2 проєктів зі строком виконання не раніше 24.08.2026.</x:v>
      </x:c>
      <x:c r="Y389" s="15" t="str">
        <x:v>Авторський нагляд за роботами на об’єкті: “Нове будівництво зовнішніх інженерних мереж електропостачання, військове містечко № 7, с. Тетерівка, Житомирська обл.”; строк до 2027-12-25. Попросити один знеособлений пакет здачі за цим workflow.</x:v>
      </x:c>
      <x:c r="Z389" s="15" t="str">
        <x:v>https://prozorro.gov.ua/tender/UA-2026-06-17-007129-a</x:v>
      </x:c>
      <x:c r="AA389" s="14" t="str">
        <x:v>39839464</x:v>
      </x:c>
      <x:c r="AB389" s="14" t="str">
        <x:v>2026-08-24</x:v>
      </x:c>
      <x:c r="AC389" s="14" t="str"/>
      <x:c r="AD389" s="20" t="str"/>
      <x:c r="AE389" s="14" t="str"/>
      <x:c r="AF389" s="14" t="n">
        <x:v>60</x:v>
      </x:c>
      <x:c r="AG389" s="14" t="str">
        <x:v>I2</x:v>
      </x:c>
      <x:c r="AH389" s="14" t="n">
        <x:v>2</x:v>
      </x:c>
      <x:c r="AI389" s="14" t="n">
        <x:v>2</x:v>
      </x:c>
      <x:c r="AJ389" s="18" t="n">
        <x:v>174440</x:v>
      </x:c>
      <x:c r="AK389" s="14" t="str">
        <x:v>https://prozorro.gov.ua/tender/UA-2026-06-17-007129-a</x:v>
      </x:c>
      <x:c r="AL389" s="19" t="n">
        <x:v>46190.44083119213</x:v>
      </x:c>
      <x:c r="AM389" s="19" t="n">
        <x:v>46746</x:v>
      </x:c>
      <x:c r="AN389" s="15" t="str">
        <x:v>Зовнішні мережі</x:v>
      </x:c>
      <x:c r="AO389" s="15" t="str">
        <x:v>not_found_in_top_search</x:v>
      </x:c>
    </x:row>
    <x:row r="390">
      <x:c r="A390" s="14" t="str">
        <x:v>W3-118</x:v>
      </x:c>
      <x:c r="B390" s="14" t="str">
        <x:v>Prozorro winners — 24.08</x:v>
      </x:c>
      <x:c r="C390" s="14" t="str">
        <x:v>УПРАВЛІННЯ ПОЛІЦІЇ ОХОРОНИ В ЖИТОМИРСЬКІЙ ОБЛАСТІ</x:v>
      </x:c>
      <x:c r="D390" s="14" t="str">
        <x:v>Електромонтаж</x:v>
      </x:c>
      <x:c r="E390" s="14" t="str">
        <x:v>Pilot now</x:v>
      </x:c>
      <x:c r="F390" s="17" t="str">
        <x:f>IF(E390="Pilot now",IF(P390&gt;=84,"P1",IF(P390&gt;=72,"P2","P3")),IF(E390="Expansion discovery",IF(Q390&gt;=88,"D1",IF(Q390&gt;=78,"D2","D3")),IF(E390="Later / requirements","L","Legacy")))</x:f>
        <x:v>P1</x:v>
      </x:c>
      <x:c r="G390" s="14" t="str"/>
      <x:c r="H390" s="14" t="str">
        <x:v>Пілот зараз — Н.15</x:v>
      </x:c>
      <x:c r="I390" s="16" t="n">
        <x:v>5</x:v>
      </x:c>
      <x:c r="J390" s="16" t="n">
        <x:v>5</x:v>
      </x:c>
      <x:c r="K390" s="16" t="n">
        <x:v>5</x:v>
      </x:c>
      <x:c r="L390" s="16" t="n">
        <x:v>1</x:v>
      </x:c>
      <x:c r="M390" s="16" t="n">
        <x:v>5</x:v>
      </x:c>
      <x:c r="N390" s="16" t="n">
        <x:v>5</x:v>
      </x:c>
      <x:c r="O390" s="16" t="n">
        <x:v>5</x:v>
      </x:c>
      <x:c r="P390" s="16" t="n">
        <x:f>IF(COUNT(I390:O390)&lt;7,"",I390*8+J390*3+K390*2+L390*2+M390*2+N390*2+O390)</x:f>
        <x:v>92</x:v>
      </x:c>
      <x:c r="Q390" s="16" t="n">
        <x:f>IF(COUNT(J390:O390)&lt;6,"",J390*5+K390*4+M390*4+L390*3+N390*2+O390*2)</x:f>
        <x:v>88</x:v>
      </x:c>
      <x:c r="R390" s="14" t="str">
        <x:v>high</x:v>
      </x:c>
      <x:c r="S390" s="14" t="str">
        <x:v>official_prozorro_award_2025_2026</x:v>
      </x:c>
      <x:c r="T390" s="14" t="str">
        <x:v>official_prozorro_api</x:v>
      </x:c>
      <x:c r="U390" s="14" t="str">
        <x:v>Не контактували</x:v>
      </x:c>
      <x:c r="V390" s="15" t="str">
        <x:v>Персоналізований free-pilot outreach по UA-2026-08-11-003514-a; попросити 1 пакет Н.14/Н.15</x:v>
      </x:c>
      <x:c r="W390" s="15" t="str">
        <x:v>Власник / директор; керівник ПТО; відповідальний за договори</x:v>
      </x:c>
      <x:c r="X390" s="15" t="str">
        <x:v>2 підтверджених перемог/договорів у Prozorro на 14 657 грн; 1 проєктів зі строком виконання не раніше 24.08.2026.</x:v>
      </x:c>
      <x:c r="Y390" s="15" t="str">
        <x:v>Електромонтажні роботи; строк до 2026-08-31. Попросити один знеособлений пакет здачі за цим workflow.</x:v>
      </x:c>
      <x:c r="Z390" s="15" t="str">
        <x:v>https://prozorro.gov.ua/tender/UA-2026-08-11-003514-a</x:v>
      </x:c>
      <x:c r="AA390" s="14" t="str">
        <x:v>40109091</x:v>
      </x:c>
      <x:c r="AB390" s="14" t="str">
        <x:v>2026-08-24</x:v>
      </x:c>
      <x:c r="AC390" s="14" t="str"/>
      <x:c r="AD390" s="20" t="str"/>
      <x:c r="AE390" s="14" t="str"/>
      <x:c r="AF390" s="14" t="n">
        <x:v>60</x:v>
      </x:c>
      <x:c r="AG390" s="14" t="str">
        <x:v>I2</x:v>
      </x:c>
      <x:c r="AH390" s="14" t="n">
        <x:v>2</x:v>
      </x:c>
      <x:c r="AI390" s="14" t="n">
        <x:v>1</x:v>
      </x:c>
      <x:c r="AJ390" s="18" t="n">
        <x:v>14657.3</x:v>
      </x:c>
      <x:c r="AK390" s="14" t="str">
        <x:v>https://prozorro.gov.ua/tender/UA-2026-08-11-003514-a</x:v>
      </x:c>
      <x:c r="AL390" s="19" t="n">
        <x:v>46245.3436465162</x:v>
      </x:c>
      <x:c r="AM390" s="19" t="n">
        <x:v>46265</x:v>
      </x:c>
      <x:c r="AN390" s="15" t="str">
        <x:v>Електромонтаж; Газопостачання / котельні</x:v>
      </x:c>
      <x:c r="AO390" s="15" t="str">
        <x:v>not_found_in_top_search</x:v>
      </x:c>
    </x:row>
    <x:row r="391">
      <x:c r="A391" s="14" t="str">
        <x:v>W3-119</x:v>
      </x:c>
      <x:c r="B391" s="14" t="str">
        <x:v>Prozorro winners — 24.08</x:v>
      </x:c>
      <x:c r="C391" s="14" t="str">
        <x:v>ТОВ "БУДІНЖЕНЕ­РМЕРЕЖА"</x:v>
      </x:c>
      <x:c r="D391" s="14" t="str">
        <x:v>ГНБ / безтраншейні роботи</x:v>
      </x:c>
      <x:c r="E391" s="14" t="str">
        <x:v>Expansion discovery</x:v>
      </x:c>
      <x:c r="F391" s="17" t="str">
        <x:f>IF(E391="Pilot now",IF(P391&gt;=84,"P1",IF(P391&gt;=72,"P2","P3")),IF(E391="Expansion discovery",IF(Q391&gt;=88,"D1",IF(Q391&gt;=78,"D2","D3")),IF(E391="Later / requirements","L","Legacy")))</x:f>
        <x:v>D1</x:v>
      </x:c>
      <x:c r="G391" s="14" t="str"/>
      <x:c r="H391" s="14" t="str">
        <x:v>Discovery розширення — 2 тижні</x:v>
      </x:c>
      <x:c r="I391" s="16" t="n">
        <x:v>1</x:v>
      </x:c>
      <x:c r="J391" s="16" t="n">
        <x:v>5</x:v>
      </x:c>
      <x:c r="K391" s="16" t="n">
        <x:v>4</x:v>
      </x:c>
      <x:c r="L391" s="16" t="n">
        <x:v>5</x:v>
      </x:c>
      <x:c r="M391" s="16" t="n">
        <x:v>5</x:v>
      </x:c>
      <x:c r="N391" s="16" t="n">
        <x:v>5</x:v>
      </x:c>
      <x:c r="O391" s="16" t="n">
        <x:v>5</x:v>
      </x:c>
      <x:c r="P391" s="16" t="n">
        <x:f>IF(COUNT(I391:O391)&lt;7,"",I391*8+J391*3+K391*2+L391*2+M391*2+N391*2+O391)</x:f>
        <x:v>66</x:v>
      </x:c>
      <x:c r="Q391" s="16" t="n">
        <x:f>IF(COUNT(J391:O391)&lt;6,"",J391*5+K391*4+M391*4+L391*3+N391*2+O391*2)</x:f>
        <x:v>96</x:v>
      </x:c>
      <x:c r="R391" s="14" t="str">
        <x:v>high</x:v>
      </x:c>
      <x:c r="S391" s="14" t="str">
        <x:v>official_prozorro_award_2025_2026</x:v>
      </x:c>
      <x:c r="T391" s="14" t="str">
        <x:v>official_prozorro_api</x:v>
      </x:c>
      <x:c r="U391" s="14" t="str">
        <x:v>Не контактували</x:v>
      </x:c>
      <x:c r="V391" s="15" t="str">
        <x:v>Workflow-audit outreach по UA-2025-12-29-000189-a; попросити 1 пакет здачі та вимоги проєкту</x:v>
      </x:c>
      <x:c r="W391" s="15" t="str">
        <x:v>Власник / директор; керівник ПТО; відповідальний за договори</x:v>
      </x:c>
      <x:c r="X391" s="15" t="str">
        <x:v>2 підтверджених перемог/договорів у Prozorro на 18 945 093 грн; 1 проєктів зі строком виконання не раніше 24.08.2026.</x:v>
      </x:c>
      <x:c r="Y391" s="15" t="str">
        <x:v>26П-043_45230000-8 Будівництво трубопроводів, ліній зв’язку та електропередач, шосе, доріг, аеродромів і залізничних доріг (Горизонтально-направлене буріння в Харківській області) ; строк до 2026-12-31. Попросити один знеособлений пакет здачі за цим workflow.</x:v>
      </x:c>
      <x:c r="Z391" s="15" t="str">
        <x:v>https://prozorro.gov.ua/tender/UA-2025-12-29-000189-a</x:v>
      </x:c>
      <x:c r="AA391" s="14" t="str">
        <x:v>38374561</x:v>
      </x:c>
      <x:c r="AB391" s="14" t="str">
        <x:v>2026-08-24</x:v>
      </x:c>
      <x:c r="AC391" s="14" t="str"/>
      <x:c r="AD391" s="20" t="str"/>
      <x:c r="AE391" s="14" t="str"/>
      <x:c r="AF391" s="14" t="n">
        <x:v>59</x:v>
      </x:c>
      <x:c r="AG391" s="14" t="str">
        <x:v>I2</x:v>
      </x:c>
      <x:c r="AH391" s="14" t="n">
        <x:v>2</x:v>
      </x:c>
      <x:c r="AI391" s="14" t="n">
        <x:v>1</x:v>
      </x:c>
      <x:c r="AJ391" s="18" t="n">
        <x:v>18945093</x:v>
      </x:c>
      <x:c r="AK391" s="14" t="str">
        <x:v>https://prozorro.gov.ua/tender/UA-2025-12-29-000189-a</x:v>
      </x:c>
      <x:c r="AL391" s="19" t="n">
        <x:v>46048.29862621528</x:v>
      </x:c>
      <x:c r="AM391" s="19" t="n">
        <x:v>46387</x:v>
      </x:c>
      <x:c r="AN391" s="15" t="str">
        <x:v>ГНБ / безтраншейні роботи</x:v>
      </x:c>
      <x:c r="AO391" s="15" t="str">
        <x:v>not_found_in_top_search</x:v>
      </x:c>
    </x:row>
    <x:row r="392">
      <x:c r="A392" s="14" t="str">
        <x:v>W3-120</x:v>
      </x:c>
      <x:c r="B392" s="14" t="str">
        <x:v>Prozorro winners — 24.08</x:v>
      </x:c>
      <x:c r="C392" s="14" t="str">
        <x:v>Фізична особа-підприємець Перерва Олександр Іванович</x:v>
      </x:c>
      <x:c r="D392" s="14" t="str">
        <x:v>Безпека / СКУД / CCTV</x:v>
      </x:c>
      <x:c r="E392" s="14" t="str">
        <x:v>Expansion discovery</x:v>
      </x:c>
      <x:c r="F392" s="17" t="str">
        <x:f>IF(E392="Pilot now",IF(P392&gt;=84,"P1",IF(P392&gt;=72,"P2","P3")),IF(E392="Expansion discovery",IF(Q392&gt;=88,"D1",IF(Q392&gt;=78,"D2","D3")),IF(E392="Later / requirements","L","Legacy")))</x:f>
        <x:v>D2</x:v>
      </x:c>
      <x:c r="G392" s="14" t="str"/>
      <x:c r="H392" s="14" t="str">
        <x:v>Discovery розширення — 2 тижні</x:v>
      </x:c>
      <x:c r="I392" s="16" t="n">
        <x:v>1</x:v>
      </x:c>
      <x:c r="J392" s="16" t="n">
        <x:v>5</x:v>
      </x:c>
      <x:c r="K392" s="16" t="n">
        <x:v>4</x:v>
      </x:c>
      <x:c r="L392" s="16" t="n">
        <x:v>1</x:v>
      </x:c>
      <x:c r="M392" s="16" t="n">
        <x:v>5</x:v>
      </x:c>
      <x:c r="N392" s="16" t="n">
        <x:v>3</x:v>
      </x:c>
      <x:c r="O392" s="16" t="n">
        <x:v>5</x:v>
      </x:c>
      <x:c r="P392" s="16" t="n">
        <x:f>IF(COUNT(I392:O392)&lt;7,"",I392*8+J392*3+K392*2+L392*2+M392*2+N392*2+O392)</x:f>
        <x:v>54</x:v>
      </x:c>
      <x:c r="Q392" s="16" t="n">
        <x:f>IF(COUNT(J392:O392)&lt;6,"",J392*5+K392*4+M392*4+L392*3+N392*2+O392*2)</x:f>
        <x:v>80</x:v>
      </x:c>
      <x:c r="R392" s="14" t="str">
        <x:v>high</x:v>
      </x:c>
      <x:c r="S392" s="14" t="str">
        <x:v>official_prozorro_award_2025_2026</x:v>
      </x:c>
      <x:c r="T392" s="14" t="str">
        <x:v>official_prozorro_api</x:v>
      </x:c>
      <x:c r="U392" s="14" t="str">
        <x:v>Не контактували</x:v>
      </x:c>
      <x:c r="V392" s="15" t="str">
        <x:v>Workflow-audit outreach по UA-2026-07-10-002250-a; попросити 1 пакет здачі та вимоги проєкту</x:v>
      </x:c>
      <x:c r="W392" s="15" t="str">
        <x:v>Власник / виконавець; відповідальний за договір</x:v>
      </x:c>
      <x:c r="X392" s="15" t="str">
        <x:v>2 підтверджених перемог/договорів у Prozorro на 62 880 грн; 2 проєктів зі строком виконання не раніше 24.08.2026.</x:v>
      </x:c>
      <x:c r="Y392" s="15" t="str">
        <x:v>Послуга з монтажу, установки системи відеоспостереження; строк до 2026-12-31. Попросити один знеособлений пакет здачі за цим workflow.</x:v>
      </x:c>
      <x:c r="Z392" s="15" t="str">
        <x:v>https://prozorro.gov.ua/tender/UA-2026-07-10-002250-a</x:v>
      </x:c>
      <x:c r="AA392" s="14" t="str">
        <x:v>2481811590</x:v>
      </x:c>
      <x:c r="AB392" s="14" t="str">
        <x:v>2026-08-24</x:v>
      </x:c>
      <x:c r="AC392" s="14" t="str"/>
      <x:c r="AD392" s="20" t="str"/>
      <x:c r="AE392" s="14" t="str"/>
      <x:c r="AF392" s="14" t="n">
        <x:v>59</x:v>
      </x:c>
      <x:c r="AG392" s="14" t="str">
        <x:v>I2</x:v>
      </x:c>
      <x:c r="AH392" s="14" t="n">
        <x:v>2</x:v>
      </x:c>
      <x:c r="AI392" s="14" t="n">
        <x:v>2</x:v>
      </x:c>
      <x:c r="AJ392" s="18" t="n">
        <x:v>62880</x:v>
      </x:c>
      <x:c r="AK392" s="14" t="str">
        <x:v>https://prozorro.gov.ua/tender/UA-2026-07-10-002250-a</x:v>
      </x:c>
      <x:c r="AL392" s="19" t="n">
        <x:v>46213.31861041667</x:v>
      </x:c>
      <x:c r="AM392" s="19" t="n">
        <x:v>46387.36189814815</x:v>
      </x:c>
      <x:c r="AN392" s="15" t="str">
        <x:v>Безпека / СКУД / CCTV</x:v>
      </x:c>
      <x:c r="AO392" s="15" t="str">
        <x:v>not_found_in_top_search</x:v>
      </x:c>
    </x:row>
    <x:row r="393">
      <x:c r="A393" s="14" t="str">
        <x:v>W3-121</x:v>
      </x:c>
      <x:c r="B393" s="14" t="str">
        <x:v>Prozorro winners — 24.08</x:v>
      </x:c>
      <x:c r="C393" s="14" t="str">
        <x:v>ГРИГА АНДРІЙ ПЕТРОВИЧ</x:v>
      </x:c>
      <x:c r="D393" s="14" t="str">
        <x:v>Безпека / СКУД / CCTV</x:v>
      </x:c>
      <x:c r="E393" s="14" t="str">
        <x:v>Expansion discovery</x:v>
      </x:c>
      <x:c r="F393" s="17" t="str">
        <x:f>IF(E393="Pilot now",IF(P393&gt;=84,"P1",IF(P393&gt;=72,"P2","P3")),IF(E393="Expansion discovery",IF(Q393&gt;=88,"D1",IF(Q393&gt;=78,"D2","D3")),IF(E393="Later / requirements","L","Legacy")))</x:f>
        <x:v>D2</x:v>
      </x:c>
      <x:c r="G393" s="14" t="str"/>
      <x:c r="H393" s="14" t="str">
        <x:v>Discovery розширення — 2 тижні</x:v>
      </x:c>
      <x:c r="I393" s="16" t="n">
        <x:v>1</x:v>
      </x:c>
      <x:c r="J393" s="16" t="n">
        <x:v>5</x:v>
      </x:c>
      <x:c r="K393" s="16" t="n">
        <x:v>4</x:v>
      </x:c>
      <x:c r="L393" s="16" t="n">
        <x:v>1</x:v>
      </x:c>
      <x:c r="M393" s="16" t="n">
        <x:v>5</x:v>
      </x:c>
      <x:c r="N393" s="16" t="n">
        <x:v>3</x:v>
      </x:c>
      <x:c r="O393" s="16" t="n">
        <x:v>5</x:v>
      </x:c>
      <x:c r="P393" s="16" t="n">
        <x:f>IF(COUNT(I393:O393)&lt;7,"",I393*8+J393*3+K393*2+L393*2+M393*2+N393*2+O393)</x:f>
        <x:v>54</x:v>
      </x:c>
      <x:c r="Q393" s="16" t="n">
        <x:f>IF(COUNT(J393:O393)&lt;6,"",J393*5+K393*4+M393*4+L393*3+N393*2+O393*2)</x:f>
        <x:v>80</x:v>
      </x:c>
      <x:c r="R393" s="14" t="str">
        <x:v>high</x:v>
      </x:c>
      <x:c r="S393" s="14" t="str">
        <x:v>official_prozorro_award_2025_2026</x:v>
      </x:c>
      <x:c r="T393" s="14" t="str">
        <x:v>official_prozorro_api</x:v>
      </x:c>
      <x:c r="U393" s="14" t="str">
        <x:v>Не контактували</x:v>
      </x:c>
      <x:c r="V393" s="15" t="str">
        <x:v>Workflow-audit outreach по UA-2026-08-18-005084-a; попросити 1 пакет здачі та вимоги проєкту</x:v>
      </x:c>
      <x:c r="W393" s="15" t="str">
        <x:v>Власник / виконавець; відповідальний за договір</x:v>
      </x:c>
      <x:c r="X393" s="15" t="str">
        <x:v>2 підтверджених перемог/договорів у Prozorro на 52 270 грн; 2 проєктів зі строком виконання не раніше 24.08.2026.</x:v>
      </x:c>
      <x:c r="Y393" s="15" t="str">
        <x:v>Монтаж системи відеоспостереження; строк до 2026-12-31. Попросити один знеособлений пакет здачі за цим workflow.</x:v>
      </x:c>
      <x:c r="Z393" s="15" t="str">
        <x:v>https://prozorro.gov.ua/tender/UA-2026-08-18-005084-a</x:v>
      </x:c>
      <x:c r="AA393" s="14" t="str">
        <x:v>2852611378</x:v>
      </x:c>
      <x:c r="AB393" s="14" t="str">
        <x:v>2026-08-24</x:v>
      </x:c>
      <x:c r="AC393" s="14" t="str"/>
      <x:c r="AD393" s="20" t="str"/>
      <x:c r="AE393" s="14" t="str"/>
      <x:c r="AF393" s="14" t="n">
        <x:v>59</x:v>
      </x:c>
      <x:c r="AG393" s="14" t="str">
        <x:v>I2</x:v>
      </x:c>
      <x:c r="AH393" s="14" t="n">
        <x:v>2</x:v>
      </x:c>
      <x:c r="AI393" s="14" t="n">
        <x:v>2</x:v>
      </x:c>
      <x:c r="AJ393" s="18" t="n">
        <x:v>52270</x:v>
      </x:c>
      <x:c r="AK393" s="14" t="str">
        <x:v>https://prozorro.gov.ua/tender/UA-2026-08-18-005084-a</x:v>
      </x:c>
      <x:c r="AL393" s="19" t="n">
        <x:v>46252.384626122686</x:v>
      </x:c>
      <x:c r="AM393" s="19" t="n">
        <x:v>46387</x:v>
      </x:c>
      <x:c r="AN393" s="15" t="str">
        <x:v>Безпека / СКУД / CCTV</x:v>
      </x:c>
      <x:c r="AO393" s="15" t="str">
        <x:v>not_found_in_top_search</x:v>
      </x:c>
    </x:row>
    <x:row r="394">
      <x:c r="A394" s="14" t="str">
        <x:v>W3-122</x:v>
      </x:c>
      <x:c r="B394" s="14" t="str">
        <x:v>Prozorro winners — 24.08</x:v>
      </x:c>
      <x:c r="C394" s="14" t="str">
        <x:v>КОНДРАТЮК ВОЛОДИМИР ОЛЕГОВИЧ</x:v>
      </x:c>
      <x:c r="D394" s="14" t="str">
        <x:v>HVAC / ОВіК</x:v>
      </x:c>
      <x:c r="E394" s="14" t="str">
        <x:v>Pilot now</x:v>
      </x:c>
      <x:c r="F394" s="17" t="str">
        <x:f>IF(E394="Pilot now",IF(P394&gt;=84,"P1",IF(P394&gt;=72,"P2","P3")),IF(E394="Expansion discovery",IF(Q394&gt;=88,"D1",IF(Q394&gt;=78,"D2","D3")),IF(E394="Later / requirements","L","Legacy")))</x:f>
        <x:v>P1</x:v>
      </x:c>
      <x:c r="G394" s="14" t="str"/>
      <x:c r="H394" s="14" t="str">
        <x:v>Пілот зараз — Н.14</x:v>
      </x:c>
      <x:c r="I394" s="16" t="n">
        <x:v>5</x:v>
      </x:c>
      <x:c r="J394" s="16" t="n">
        <x:v>5</x:v>
      </x:c>
      <x:c r="K394" s="16" t="n">
        <x:v>5</x:v>
      </x:c>
      <x:c r="L394" s="16" t="n">
        <x:v>1</x:v>
      </x:c>
      <x:c r="M394" s="16" t="n">
        <x:v>5</x:v>
      </x:c>
      <x:c r="N394" s="16" t="n">
        <x:v>3</x:v>
      </x:c>
      <x:c r="O394" s="16" t="n">
        <x:v>5</x:v>
      </x:c>
      <x:c r="P394" s="16" t="n">
        <x:f>IF(COUNT(I394:O394)&lt;7,"",I394*8+J394*3+K394*2+L394*2+M394*2+N394*2+O394)</x:f>
        <x:v>88</x:v>
      </x:c>
      <x:c r="Q394" s="16" t="n">
        <x:f>IF(COUNT(J394:O394)&lt;6,"",J394*5+K394*4+M394*4+L394*3+N394*2+O394*2)</x:f>
        <x:v>84</x:v>
      </x:c>
      <x:c r="R394" s="14" t="str">
        <x:v>high</x:v>
      </x:c>
      <x:c r="S394" s="14" t="str">
        <x:v>official_prozorro_award_2025_2026</x:v>
      </x:c>
      <x:c r="T394" s="14" t="str">
        <x:v>official_prozorro_api</x:v>
      </x:c>
      <x:c r="U394" s="14" t="str">
        <x:v>Не контактували</x:v>
      </x:c>
      <x:c r="V394" s="15" t="str">
        <x:v>Персоналізований free-pilot outreach по UA-2026-08-11-009745-a; попросити 1 пакет Н.14/Н.15</x:v>
      </x:c>
      <x:c r="W394" s="15" t="str">
        <x:v>Власник / виконавець; відповідальний за договір</x:v>
      </x:c>
      <x:c r="X394" s="15" t="str">
        <x:v>2 підтверджених перемог/договорів у Prozorro на 8 900 грн; 2 проєктів зі строком виконання не раніше 24.08.2026.</x:v>
      </x:c>
      <x:c r="Y394" s="15" t="str">
        <x:v>Послуги із демонтажу та монтажу теплового лічильника па період проведення ремонтних робіт в системі опалення для ЗДО № 16; строк до 2026-12-31. Попросити один знеособлений пакет здачі за цим workflow.</x:v>
      </x:c>
      <x:c r="Z394" s="15" t="str">
        <x:v>https://prozorro.gov.ua/tender/UA-2026-08-11-009745-a</x:v>
      </x:c>
      <x:c r="AA394" s="14" t="str">
        <x:v>3231213712</x:v>
      </x:c>
      <x:c r="AB394" s="14" t="str">
        <x:v>2026-08-24</x:v>
      </x:c>
      <x:c r="AC394" s="14" t="str"/>
      <x:c r="AD394" s="20" t="str"/>
      <x:c r="AE394" s="14" t="str"/>
      <x:c r="AF394" s="14" t="n">
        <x:v>59</x:v>
      </x:c>
      <x:c r="AG394" s="14" t="str">
        <x:v>I2</x:v>
      </x:c>
      <x:c r="AH394" s="14" t="n">
        <x:v>2</x:v>
      </x:c>
      <x:c r="AI394" s="14" t="n">
        <x:v>2</x:v>
      </x:c>
      <x:c r="AJ394" s="18" t="n">
        <x:v>8900</x:v>
      </x:c>
      <x:c r="AK394" s="14" t="str">
        <x:v>https://prozorro.gov.ua/tender/UA-2026-08-11-009745-a</x:v>
      </x:c>
      <x:c r="AL394" s="19" t="n">
        <x:v>46245.520564108796</x:v>
      </x:c>
      <x:c r="AM394" s="19" t="n">
        <x:v>46387</x:v>
      </x:c>
      <x:c r="AN394" s="15" t="str">
        <x:v>HVAC / ОВіК</x:v>
      </x:c>
      <x:c r="AO394" s="15" t="str">
        <x:v>not_found_in_top_search</x:v>
      </x:c>
    </x:row>
    <x:row r="395">
      <x:c r="A395" s="14" t="str">
        <x:v>W3-123</x:v>
      </x:c>
      <x:c r="B395" s="14" t="str">
        <x:v>Prozorro winners — 24.08</x:v>
      </x:c>
      <x:c r="C395" s="14" t="str">
        <x:v>ПРИВАТНЕ ПІДПРИЄМСТВО "АНАБУД"</x:v>
      </x:c>
      <x:c r="D395" s="14" t="str">
        <x:v>Теплові мережі</x:v>
      </x:c>
      <x:c r="E395" s="14" t="str">
        <x:v>Expansion discovery</x:v>
      </x:c>
      <x:c r="F395" s="17" t="str">
        <x:f>IF(E395="Pilot now",IF(P395&gt;=84,"P1",IF(P395&gt;=72,"P2","P3")),IF(E395="Expansion discovery",IF(Q395&gt;=88,"D1",IF(Q395&gt;=78,"D2","D3")),IF(E395="Later / requirements","L","Legacy")))</x:f>
        <x:v>D1</x:v>
      </x:c>
      <x:c r="G395" s="14" t="str"/>
      <x:c r="H395" s="14" t="str">
        <x:v>Discovery розширення — 2 тижні</x:v>
      </x:c>
      <x:c r="I395" s="16" t="n">
        <x:v>1</x:v>
      </x:c>
      <x:c r="J395" s="16" t="n">
        <x:v>5</x:v>
      </x:c>
      <x:c r="K395" s="16" t="n">
        <x:v>4</x:v>
      </x:c>
      <x:c r="L395" s="16" t="n">
        <x:v>4</x:v>
      </x:c>
      <x:c r="M395" s="16" t="n">
        <x:v>5</x:v>
      </x:c>
      <x:c r="N395" s="16" t="n">
        <x:v>5</x:v>
      </x:c>
      <x:c r="O395" s="16" t="n">
        <x:v>5</x:v>
      </x:c>
      <x:c r="P395" s="16" t="n">
        <x:f>IF(COUNT(I395:O395)&lt;7,"",I395*8+J395*3+K395*2+L395*2+M395*2+N395*2+O395)</x:f>
        <x:v>64</x:v>
      </x:c>
      <x:c r="Q395" s="16" t="n">
        <x:f>IF(COUNT(J395:O395)&lt;6,"",J395*5+K395*4+M395*4+L395*3+N395*2+O395*2)</x:f>
        <x:v>93</x:v>
      </x:c>
      <x:c r="R395" s="14" t="str">
        <x:v>high</x:v>
      </x:c>
      <x:c r="S395" s="14" t="str">
        <x:v>official_prozorro_award_2025_2026</x:v>
      </x:c>
      <x:c r="T395" s="14" t="str">
        <x:v>official_prozorro_api</x:v>
      </x:c>
      <x:c r="U395" s="14" t="str">
        <x:v>Не контактували</x:v>
      </x:c>
      <x:c r="V395" s="15" t="str">
        <x:v>Workflow-audit outreach по UA-2026-07-06-005423-a; попросити 1 пакет здачі та вимоги проєкту</x:v>
      </x:c>
      <x:c r="W395" s="15" t="str">
        <x:v>Власник / директор; керівник ПТО; відповідальний за договори</x:v>
      </x:c>
      <x:c r="X395" s="15" t="str">
        <x:v>1 підтверджених перемог/договорів у Prozorro на 9 335 862 грн; 1 проєктів зі строком виконання не раніше 24.08.2026.</x:v>
      </x:c>
      <x:c r="Y395" s="15" t="str">
        <x:v>Реконструкція із заміною теплової мережі по вул. Привокзальна площа,5,м.Ірпінь. Ділянка ТК1-ТК3; строк до 2026-09-30. Попросити один знеособлений пакет здачі за цим workflow.</x:v>
      </x:c>
      <x:c r="Z395" s="15" t="str">
        <x:v>https://prozorro.gov.ua/tender/UA-2026-07-06-005423-a</x:v>
      </x:c>
      <x:c r="AA395" s="14" t="str">
        <x:v>31564367</x:v>
      </x:c>
      <x:c r="AB395" s="14" t="str">
        <x:v>2026-08-24</x:v>
      </x:c>
      <x:c r="AC395" s="14" t="str"/>
      <x:c r="AD395" s="20" t="str"/>
      <x:c r="AE395" s="14" t="str"/>
      <x:c r="AF395" s="14" t="n">
        <x:v>58</x:v>
      </x:c>
      <x:c r="AG395" s="14" t="str">
        <x:v>I2</x:v>
      </x:c>
      <x:c r="AH395" s="14" t="n">
        <x:v>1</x:v>
      </x:c>
      <x:c r="AI395" s="14" t="n">
        <x:v>1</x:v>
      </x:c>
      <x:c r="AJ395" s="18" t="n">
        <x:v>9335862</x:v>
      </x:c>
      <x:c r="AK395" s="14" t="str">
        <x:v>https://prozorro.gov.ua/tender/UA-2026-07-06-005423-a</x:v>
      </x:c>
      <x:c r="AL395" s="19" t="n">
        <x:v>46209.45089113426</x:v>
      </x:c>
      <x:c r="AM395" s="19" t="n">
        <x:v>46295</x:v>
      </x:c>
      <x:c r="AN395" s="15" t="str">
        <x:v>Теплові мережі</x:v>
      </x:c>
      <x:c r="AO395" s="15" t="str">
        <x:v>not_found_in_top_search</x:v>
      </x:c>
    </x:row>
    <x:row r="396">
      <x:c r="A396" s="14" t="str">
        <x:v>W3-124</x:v>
      </x:c>
      <x:c r="B396" s="14" t="str">
        <x:v>Prozorro winners — 24.08</x:v>
      </x:c>
      <x:c r="C396" s="14" t="str">
        <x:v>ТОВ "ҐРІНТЕК"</x:v>
      </x:c>
      <x:c r="D396" s="14" t="str">
        <x:v>Сонячна енергетика</x:v>
      </x:c>
      <x:c r="E396" s="14" t="str">
        <x:v>Expansion discovery</x:v>
      </x:c>
      <x:c r="F396" s="17" t="str">
        <x:f>IF(E396="Pilot now",IF(P396&gt;=84,"P1",IF(P396&gt;=72,"P2","P3")),IF(E396="Expansion discovery",IF(Q396&gt;=88,"D1",IF(Q396&gt;=78,"D2","D3")),IF(E396="Later / requirements","L","Legacy")))</x:f>
        <x:v>D1</x:v>
      </x:c>
      <x:c r="G396" s="14" t="str">
        <x:v>greentech.in.ua</x:v>
      </x:c>
      <x:c r="H396" s="14" t="str">
        <x:v>Discovery розширення — 2 тижні</x:v>
      </x:c>
      <x:c r="I396" s="16" t="n">
        <x:v>1</x:v>
      </x:c>
      <x:c r="J396" s="16" t="n">
        <x:v>5</x:v>
      </x:c>
      <x:c r="K396" s="16" t="n">
        <x:v>4</x:v>
      </x:c>
      <x:c r="L396" s="16" t="n">
        <x:v>4</x:v>
      </x:c>
      <x:c r="M396" s="16" t="n">
        <x:v>5</x:v>
      </x:c>
      <x:c r="N396" s="16" t="n">
        <x:v>5</x:v>
      </x:c>
      <x:c r="O396" s="16" t="n">
        <x:v>5</x:v>
      </x:c>
      <x:c r="P396" s="16" t="n">
        <x:f>IF(COUNT(I396:O396)&lt;7,"",I396*8+J396*3+K396*2+L396*2+M396*2+N396*2+O396)</x:f>
        <x:v>64</x:v>
      </x:c>
      <x:c r="Q396" s="16" t="n">
        <x:f>IF(COUNT(J396:O396)&lt;6,"",J396*5+K396*4+M396*4+L396*3+N396*2+O396*2)</x:f>
        <x:v>93</x:v>
      </x:c>
      <x:c r="R396" s="14" t="str">
        <x:v>high</x:v>
      </x:c>
      <x:c r="S396" s="14" t="str">
        <x:v>official_prozorro_award_2025_2026</x:v>
      </x:c>
      <x:c r="T396" s="14" t="str">
        <x:v>official_prozorro_api</x:v>
      </x:c>
      <x:c r="U396" s="14" t="str">
        <x:v>Не контактували</x:v>
      </x:c>
      <x:c r="V396" s="15" t="str">
        <x:v>Workflow-audit outreach по UA-2026-04-29-011113-a; попросити 1 пакет здачі та вимоги проєкту</x:v>
      </x:c>
      <x:c r="W396" s="15" t="str">
        <x:v>Власник / директор; керівник ПТО; відповідальний за договори</x:v>
      </x:c>
      <x:c r="X396" s="15" t="str">
        <x:v>1 підтверджених перемог/договорів у Prozorro на 5 588 637 грн; 1 проєктів зі строком виконання не раніше 24.08.2026.</x:v>
      </x:c>
      <x:c r="Y396" s="15" t="str">
        <x:v>Монтаж системи альтернативного джерела енергії - сонячної електростанції (капітальний ремонт) КНП «Сокирянська лікарня» по вул. О.Кобилянської, 41 в м. Сокиряни; строк до 2026-12-25. Попросити один знеособлений пакет здачі за цим workflow.</x:v>
      </x:c>
      <x:c r="Z396" s="15" t="str">
        <x:v>https://prozorro.gov.ua/tender/UA-2026-04-29-011113-a</x:v>
      </x:c>
      <x:c r="AA396" s="14" t="str">
        <x:v>42820558</x:v>
      </x:c>
      <x:c r="AB396" s="14" t="str">
        <x:v>2026-08-24</x:v>
      </x:c>
      <x:c r="AC396" s="14" t="str"/>
      <x:c r="AD396" s="20" t="str"/>
      <x:c r="AE396" s="14" t="str"/>
      <x:c r="AF396" s="14" t="n">
        <x:v>58</x:v>
      </x:c>
      <x:c r="AG396" s="14" t="str">
        <x:v>I2</x:v>
      </x:c>
      <x:c r="AH396" s="14" t="n">
        <x:v>1</x:v>
      </x:c>
      <x:c r="AI396" s="14" t="n">
        <x:v>1</x:v>
      </x:c>
      <x:c r="AJ396" s="18" t="n">
        <x:v>5588637</x:v>
      </x:c>
      <x:c r="AK396" s="14" t="str">
        <x:v>https://prozorro.gov.ua/tender/UA-2026-04-29-011113-a</x:v>
      </x:c>
      <x:c r="AL396" s="19" t="n">
        <x:v>46162.60837363426</x:v>
      </x:c>
      <x:c r="AM396" s="19" t="n">
        <x:v>46381.607094907406</x:v>
      </x:c>
      <x:c r="AN396" s="15" t="str">
        <x:v>Сонячна енергетика</x:v>
      </x:c>
      <x:c r="AO396" s="15" t="str">
        <x:v>supplier_provided_url</x:v>
      </x:c>
    </x:row>
    <x:row r="397">
      <x:c r="A397" s="14" t="str">
        <x:v>W3-125</x:v>
      </x:c>
      <x:c r="B397" s="14" t="str">
        <x:v>Prozorro winners — 24.08</x:v>
      </x:c>
      <x:c r="C397" s="14" t="str">
        <x:v>ТОВАРИСТВО З ОБМЕЖЕНОЮ ВІДПОВІДАЛЬНІСТЮ "КОТЕЛЬНІ ЛІКАРНЯНОГО КОМПЛЕКСУ"</x:v>
      </x:c>
      <x:c r="D397" s="14" t="str">
        <x:v>Газопостачання / котельні</x:v>
      </x:c>
      <x:c r="E397" s="14" t="str">
        <x:v>Expansion discovery</x:v>
      </x:c>
      <x:c r="F397" s="17" t="str">
        <x:f>IF(E397="Pilot now",IF(P397&gt;=84,"P1",IF(P397&gt;=72,"P2","P3")),IF(E397="Expansion discovery",IF(Q397&gt;=88,"D1",IF(Q397&gt;=78,"D2","D3")),IF(E397="Later / requirements","L","Legacy")))</x:f>
        <x:v>D1</x:v>
      </x:c>
      <x:c r="G397" s="14" t="str"/>
      <x:c r="H397" s="14" t="str">
        <x:v>Discovery розширення — 2 тижні</x:v>
      </x:c>
      <x:c r="I397" s="16" t="n">
        <x:v>1</x:v>
      </x:c>
      <x:c r="J397" s="16" t="n">
        <x:v>5</x:v>
      </x:c>
      <x:c r="K397" s="16" t="n">
        <x:v>4</x:v>
      </x:c>
      <x:c r="L397" s="16" t="n">
        <x:v>4</x:v>
      </x:c>
      <x:c r="M397" s="16" t="n">
        <x:v>5</x:v>
      </x:c>
      <x:c r="N397" s="16" t="n">
        <x:v>5</x:v>
      </x:c>
      <x:c r="O397" s="16" t="n">
        <x:v>5</x:v>
      </x:c>
      <x:c r="P397" s="16" t="n">
        <x:f>IF(COUNT(I397:O397)&lt;7,"",I397*8+J397*3+K397*2+L397*2+M397*2+N397*2+O397)</x:f>
        <x:v>64</x:v>
      </x:c>
      <x:c r="Q397" s="16" t="n">
        <x:f>IF(COUNT(J397:O397)&lt;6,"",J397*5+K397*4+M397*4+L397*3+N397*2+O397*2)</x:f>
        <x:v>93</x:v>
      </x:c>
      <x:c r="R397" s="14" t="str">
        <x:v>high</x:v>
      </x:c>
      <x:c r="S397" s="14" t="str">
        <x:v>official_prozorro_award_2025_2026</x:v>
      </x:c>
      <x:c r="T397" s="14" t="str">
        <x:v>official_prozorro_api</x:v>
      </x:c>
      <x:c r="U397" s="14" t="str">
        <x:v>Не контактували</x:v>
      </x:c>
      <x:c r="V397" s="15" t="str">
        <x:v>Workflow-audit outreach по UA-2026-05-28-009026-a; попросити 1 пакет здачі та вимоги проєкту</x:v>
      </x:c>
      <x:c r="W397" s="15" t="str">
        <x:v>Власник / директор; керівник ПТО; відповідальний за договори</x:v>
      </x:c>
      <x:c r="X397" s="15" t="str">
        <x:v>2 підтверджених перемог/договорів у Prozorro на 4 336 760 грн; 0 проєктів зі строком виконання не раніше 24.08.2026.</x:v>
      </x:c>
      <x:c r="Y397" s="15" t="str">
        <x:v>Нове будівництво модульної транспортабельної котельні у м. Харкові за адресою: вул. ********** (резервне живлення). Монтаж БМК (код ДК 021:2015 – 45251000-1 "Будівництво електростанцій і теплових станцій").; строк до 2026-06-30. Попросити один знеособлений пакет здачі за цим workflow.</x:v>
      </x:c>
      <x:c r="Z397" s="15" t="str">
        <x:v>https://prozorro.gov.ua/tender/UA-2026-05-28-009026-a</x:v>
      </x:c>
      <x:c r="AA397" s="14" t="str">
        <x:v>31555944</x:v>
      </x:c>
      <x:c r="AB397" s="14" t="str">
        <x:v>2026-08-24</x:v>
      </x:c>
      <x:c r="AC397" s="14" t="str"/>
      <x:c r="AD397" s="20" t="str"/>
      <x:c r="AE397" s="14" t="str"/>
      <x:c r="AF397" s="14" t="n">
        <x:v>58</x:v>
      </x:c>
      <x:c r="AG397" s="14" t="str">
        <x:v>I2</x:v>
      </x:c>
      <x:c r="AH397" s="14" t="n">
        <x:v>2</x:v>
      </x:c>
      <x:c r="AI397" s="14" t="n">
        <x:v>0</x:v>
      </x:c>
      <x:c r="AJ397" s="18" t="n">
        <x:v>4336759.87</x:v>
      </x:c>
      <x:c r="AK397" s="14" t="str">
        <x:v>https://prozorro.gov.ua/tender/UA-2026-05-28-009026-a</x:v>
      </x:c>
      <x:c r="AL397" s="19" t="n">
        <x:v>46170.524269594905</x:v>
      </x:c>
      <x:c r="AM397" s="19" t="n">
        <x:v>46203</x:v>
      </x:c>
      <x:c r="AN397" s="15" t="str">
        <x:v>Газопостачання / котельні</x:v>
      </x:c>
      <x:c r="AO397" s="15" t="str">
        <x:v>not_found_in_top_search</x:v>
      </x:c>
    </x:row>
    <x:row r="398">
      <x:c r="A398" s="14" t="str">
        <x:v>W3-126</x:v>
      </x:c>
      <x:c r="B398" s="14" t="str">
        <x:v>Prozorro winners — 24.08</x:v>
      </x:c>
      <x:c r="C398" s="14" t="str">
        <x:v>ТОВАРИСТВО З ОБМЕЖЕНОЮ ВІДПОВІДАЛЬНІСТЮ «ПРОЕКТНО-КОНСТРУКТОРСЬКИЙ, НАУКОВО-ДОСЛІДНИЙ ІНСТИТУТ «ЕНЕРГОТЕХПРОЕКТ»</x:v>
      </x:c>
      <x:c r="D398" s="14" t="str">
        <x:v>Теплові мережі</x:v>
      </x:c>
      <x:c r="E398" s="14" t="str">
        <x:v>Expansion discovery</x:v>
      </x:c>
      <x:c r="F398" s="17" t="str">
        <x:f>IF(E398="Pilot now",IF(P398&gt;=84,"P1",IF(P398&gt;=72,"P2","P3")),IF(E398="Expansion discovery",IF(Q398&gt;=88,"D1",IF(Q398&gt;=78,"D2","D3")),IF(E398="Later / requirements","L","Legacy")))</x:f>
        <x:v>D1</x:v>
      </x:c>
      <x:c r="G398" s="14" t="str"/>
      <x:c r="H398" s="14" t="str">
        <x:v>Discovery розширення — 2 тижні</x:v>
      </x:c>
      <x:c r="I398" s="16" t="n">
        <x:v>1</x:v>
      </x:c>
      <x:c r="J398" s="16" t="n">
        <x:v>5</x:v>
      </x:c>
      <x:c r="K398" s="16" t="n">
        <x:v>4</x:v>
      </x:c>
      <x:c r="L398" s="16" t="n">
        <x:v>4</x:v>
      </x:c>
      <x:c r="M398" s="16" t="n">
        <x:v>5</x:v>
      </x:c>
      <x:c r="N398" s="16" t="n">
        <x:v>5</x:v>
      </x:c>
      <x:c r="O398" s="16" t="n">
        <x:v>5</x:v>
      </x:c>
      <x:c r="P398" s="16" t="n">
        <x:f>IF(COUNT(I398:O398)&lt;7,"",I398*8+J398*3+K398*2+L398*2+M398*2+N398*2+O398)</x:f>
        <x:v>64</x:v>
      </x:c>
      <x:c r="Q398" s="16" t="n">
        <x:f>IF(COUNT(J398:O398)&lt;6,"",J398*5+K398*4+M398*4+L398*3+N398*2+O398*2)</x:f>
        <x:v>93</x:v>
      </x:c>
      <x:c r="R398" s="14" t="str">
        <x:v>high</x:v>
      </x:c>
      <x:c r="S398" s="14" t="str">
        <x:v>official_prozorro_award_2025_2026</x:v>
      </x:c>
      <x:c r="T398" s="14" t="str">
        <x:v>official_prozorro_api</x:v>
      </x:c>
      <x:c r="U398" s="14" t="str">
        <x:v>Не контактували</x:v>
      </x:c>
      <x:c r="V398" s="15" t="str">
        <x:v>Workflow-audit outreach по UA-2026-07-06-005320-a; попросити 1 пакет здачі та вимоги проєкту</x:v>
      </x:c>
      <x:c r="W398" s="15" t="str">
        <x:v>Власник / директор; керівник ПТО; відповідальний за договори</x:v>
      </x:c>
      <x:c r="X398" s="15" t="str">
        <x:v>1 підтверджених перемог/договорів у Prozorro на 3 049 049 грн; 1 проєктів зі строком виконання не раніше 24.08.2026.</x:v>
      </x:c>
      <x:c r="Y398" s="15" t="str">
        <x:v>Виконання робіт з розробки проєктної документації за об'єктом: «Реконструкція *** із збільшенням теплової потужності та встановлення когенераційного обладнання за адресою: м. Київ, ***. Реконструкція теплових мереж»; строк до 2026-12-30. Попросити один знеособлений пакет здачі за цим workflow.</x:v>
      </x:c>
      <x:c r="Z398" s="15" t="str">
        <x:v>https://prozorro.gov.ua/tender/UA-2026-07-06-005320-a</x:v>
      </x:c>
      <x:c r="AA398" s="14" t="str">
        <x:v>13679387</x:v>
      </x:c>
      <x:c r="AB398" s="14" t="str">
        <x:v>2026-08-24</x:v>
      </x:c>
      <x:c r="AC398" s="14" t="str"/>
      <x:c r="AD398" s="20" t="str"/>
      <x:c r="AE398" s="14" t="str"/>
      <x:c r="AF398" s="14" t="n">
        <x:v>58</x:v>
      </x:c>
      <x:c r="AG398" s="14" t="str">
        <x:v>I2</x:v>
      </x:c>
      <x:c r="AH398" s="14" t="n">
        <x:v>1</x:v>
      </x:c>
      <x:c r="AI398" s="14" t="n">
        <x:v>1</x:v>
      </x:c>
      <x:c r="AJ398" s="18" t="n">
        <x:v>3049048.9</x:v>
      </x:c>
      <x:c r="AK398" s="14" t="str">
        <x:v>https://prozorro.gov.ua/tender/UA-2026-07-06-005320-a</x:v>
      </x:c>
      <x:c r="AL398" s="19" t="n">
        <x:v>46209.446364386575</x:v>
      </x:c>
      <x:c r="AM398" s="19" t="n">
        <x:v>46386</x:v>
      </x:c>
      <x:c r="AN398" s="15" t="str">
        <x:v>Теплові мережі</x:v>
      </x:c>
      <x:c r="AO398" s="15" t="str">
        <x:v>not_found_in_top_search</x:v>
      </x:c>
    </x:row>
    <x:row r="399">
      <x:c r="A399" s="14" t="str">
        <x:v>W3-127</x:v>
      </x:c>
      <x:c r="B399" s="14" t="str">
        <x:v>Prozorro winners — 24.08</x:v>
      </x:c>
      <x:c r="C399" s="14" t="str">
        <x:v>ТОВ "ЕНЕРГІЯ ПРИРОДИ ПЛЮС"</x:v>
      </x:c>
      <x:c r="D399" s="14" t="str">
        <x:v>Сонячна енергетика</x:v>
      </x:c>
      <x:c r="E399" s="14" t="str">
        <x:v>Expansion discovery</x:v>
      </x:c>
      <x:c r="F399" s="17" t="str">
        <x:f>IF(E399="Pilot now",IF(P399&gt;=84,"P1",IF(P399&gt;=72,"P2","P3")),IF(E399="Expansion discovery",IF(Q399&gt;=88,"D1",IF(Q399&gt;=78,"D2","D3")),IF(E399="Later / requirements","L","Legacy")))</x:f>
        <x:v>D1</x:v>
      </x:c>
      <x:c r="G399" s="14" t="str"/>
      <x:c r="H399" s="14" t="str">
        <x:v>Discovery розширення — 2 тижні</x:v>
      </x:c>
      <x:c r="I399" s="16" t="n">
        <x:v>1</x:v>
      </x:c>
      <x:c r="J399" s="16" t="n">
        <x:v>5</x:v>
      </x:c>
      <x:c r="K399" s="16" t="n">
        <x:v>4</x:v>
      </x:c>
      <x:c r="L399" s="16" t="n">
        <x:v>4</x:v>
      </x:c>
      <x:c r="M399" s="16" t="n">
        <x:v>5</x:v>
      </x:c>
      <x:c r="N399" s="16" t="n">
        <x:v>5</x:v>
      </x:c>
      <x:c r="O399" s="16" t="n">
        <x:v>5</x:v>
      </x:c>
      <x:c r="P399" s="16" t="n">
        <x:f>IF(COUNT(I399:O399)&lt;7,"",I399*8+J399*3+K399*2+L399*2+M399*2+N399*2+O399)</x:f>
        <x:v>64</x:v>
      </x:c>
      <x:c r="Q399" s="16" t="n">
        <x:f>IF(COUNT(J399:O399)&lt;6,"",J399*5+K399*4+M399*4+L399*3+N399*2+O399*2)</x:f>
        <x:v>93</x:v>
      </x:c>
      <x:c r="R399" s="14" t="str">
        <x:v>high</x:v>
      </x:c>
      <x:c r="S399" s="14" t="str">
        <x:v>official_prozorro_award_2025_2026</x:v>
      </x:c>
      <x:c r="T399" s="14" t="str">
        <x:v>official_prozorro_api</x:v>
      </x:c>
      <x:c r="U399" s="14" t="str">
        <x:v>Не контактували</x:v>
      </x:c>
      <x:c r="V399" s="15" t="str">
        <x:v>Workflow-audit outreach по UA-2026-05-28-009497-a; попросити 1 пакет здачі та вимоги проєкту</x:v>
      </x:c>
      <x:c r="W399" s="15" t="str">
        <x:v>Власник / директор; керівник ПТО; відповідальний за договори</x:v>
      </x:c>
      <x:c r="X399" s="15" t="str">
        <x:v>1 підтверджених перемог/договорів у Prozorro на 2 572 971 грн; 1 проєктів зі строком виконання не раніше 24.08.2026.</x:v>
      </x:c>
      <x:c r="Y399" s="15" t="str">
        <x:v>Придбання та монтаж енергоефективного обладнання для гібридної сонячної електростанції; строк до 2026-08-31. Попросити один знеособлений пакет здачі за цим workflow.</x:v>
      </x:c>
      <x:c r="Z399" s="15" t="str">
        <x:v>https://prozorro.gov.ua/tender/UA-2026-05-28-009497-a</x:v>
      </x:c>
      <x:c r="AA399" s="14" t="str">
        <x:v>43599450</x:v>
      </x:c>
      <x:c r="AB399" s="14" t="str">
        <x:v>2026-08-24</x:v>
      </x:c>
      <x:c r="AC399" s="14" t="str"/>
      <x:c r="AD399" s="20" t="str"/>
      <x:c r="AE399" s="14" t="str"/>
      <x:c r="AF399" s="14" t="n">
        <x:v>58</x:v>
      </x:c>
      <x:c r="AG399" s="14" t="str">
        <x:v>I2</x:v>
      </x:c>
      <x:c r="AH399" s="14" t="n">
        <x:v>1</x:v>
      </x:c>
      <x:c r="AI399" s="14" t="n">
        <x:v>1</x:v>
      </x:c>
      <x:c r="AJ399" s="18" t="n">
        <x:v>2572971.3</x:v>
      </x:c>
      <x:c r="AK399" s="14" t="str">
        <x:v>https://prozorro.gov.ua/tender/UA-2026-05-28-009497-a</x:v>
      </x:c>
      <x:c r="AL399" s="19" t="n">
        <x:v>46185.33913443287</x:v>
      </x:c>
      <x:c r="AM399" s="19" t="n">
        <x:v>46265.52082175926</x:v>
      </x:c>
      <x:c r="AN399" s="15" t="str">
        <x:v>Сонячна енергетика</x:v>
      </x:c>
      <x:c r="AO399" s="15" t="str">
        <x:v>not_found_in_top_search</x:v>
      </x:c>
    </x:row>
    <x:row r="400">
      <x:c r="A400" s="14" t="str">
        <x:v>W3-128</x:v>
      </x:c>
      <x:c r="B400" s="14" t="str">
        <x:v>Prozorro winners — 24.08</x:v>
      </x:c>
      <x:c r="C400" s="14" t="str">
        <x:v>ТОВАРИСТВО З ОБМЕЖЕНОЮ ВІДПОВІДАЛЬНІСТЮ "УК ЕКСПЕРТИЗА"</x:v>
      </x:c>
      <x:c r="D400" s="14" t="str">
        <x:v>Водоочищення / очисні споруди</x:v>
      </x:c>
      <x:c r="E400" s="14" t="str">
        <x:v>Expansion discovery</x:v>
      </x:c>
      <x:c r="F400" s="17" t="str">
        <x:f>IF(E400="Pilot now",IF(P400&gt;=84,"P1",IF(P400&gt;=72,"P2","P3")),IF(E400="Expansion discovery",IF(Q400&gt;=88,"D1",IF(Q400&gt;=78,"D2","D3")),IF(E400="Later / requirements","L","Legacy")))</x:f>
        <x:v>D2</x:v>
      </x:c>
      <x:c r="G400" s="14" t="str"/>
      <x:c r="H400" s="14" t="str">
        <x:v>Discovery розширення — 2 тижні</x:v>
      </x:c>
      <x:c r="I400" s="16" t="n">
        <x:v>1</x:v>
      </x:c>
      <x:c r="J400" s="16" t="n">
        <x:v>5</x:v>
      </x:c>
      <x:c r="K400" s="16" t="n">
        <x:v>4</x:v>
      </x:c>
      <x:c r="L400" s="16" t="n">
        <x:v>2</x:v>
      </x:c>
      <x:c r="M400" s="16" t="n">
        <x:v>5</x:v>
      </x:c>
      <x:c r="N400" s="16" t="n">
        <x:v>5</x:v>
      </x:c>
      <x:c r="O400" s="16" t="n">
        <x:v>5</x:v>
      </x:c>
      <x:c r="P400" s="16" t="n">
        <x:f>IF(COUNT(I400:O400)&lt;7,"",I400*8+J400*3+K400*2+L400*2+M400*2+N400*2+O400)</x:f>
        <x:v>60</x:v>
      </x:c>
      <x:c r="Q400" s="16" t="n">
        <x:f>IF(COUNT(J400:O400)&lt;6,"",J400*5+K400*4+M400*4+L400*3+N400*2+O400*2)</x:f>
        <x:v>87</x:v>
      </x:c>
      <x:c r="R400" s="14" t="str">
        <x:v>high</x:v>
      </x:c>
      <x:c r="S400" s="14" t="str">
        <x:v>official_prozorro_award_2025_2026</x:v>
      </x:c>
      <x:c r="T400" s="14" t="str">
        <x:v>official_prozorro_api</x:v>
      </x:c>
      <x:c r="U400" s="14" t="str">
        <x:v>Не контактували</x:v>
      </x:c>
      <x:c r="V400" s="15" t="str">
        <x:v>Workflow-audit outreach по UA-2026-06-15-011390-a; попросити 1 пакет здачі та вимоги проєкту</x:v>
      </x:c>
      <x:c r="W400" s="15" t="str">
        <x:v>Власник / директор; керівник ПТО; відповідальний за договори</x:v>
      </x:c>
      <x:c r="X400" s="15" t="str">
        <x:v>2 підтверджених перемог/договорів у Prozorro на 102 068 грн; 1 проєктів зі строком виконання не раніше 24.08.2026.</x:v>
      </x:c>
      <x:c r="Y400" s="15" t="str">
        <x:v>Послуги по проведенню експертизи проекту будівництва:"Реконструкція каналізаційної насосної станції №2 в місті Малин по вул. 10 ОГШБ, буд.59Б, Малинська ТГ, Коростенського району, Житомирської області"; строк до 2026-12-31. Попросити один знеособлений пакет здачі за цим workflow.</x:v>
      </x:c>
      <x:c r="Z400" s="15" t="str">
        <x:v>https://prozorro.gov.ua/tender/UA-2026-06-15-011390-a</x:v>
      </x:c>
      <x:c r="AA400" s="14" t="str">
        <x:v>42431096</x:v>
      </x:c>
      <x:c r="AB400" s="14" t="str">
        <x:v>2026-08-24</x:v>
      </x:c>
      <x:c r="AC400" s="14" t="str"/>
      <x:c r="AD400" s="20" t="str"/>
      <x:c r="AE400" s="14" t="str"/>
      <x:c r="AF400" s="14" t="n">
        <x:v>58</x:v>
      </x:c>
      <x:c r="AG400" s="14" t="str">
        <x:v>I2</x:v>
      </x:c>
      <x:c r="AH400" s="14" t="n">
        <x:v>2</x:v>
      </x:c>
      <x:c r="AI400" s="14" t="n">
        <x:v>1</x:v>
      </x:c>
      <x:c r="AJ400" s="18" t="n">
        <x:v>102068</x:v>
      </x:c>
      <x:c r="AK400" s="14" t="str">
        <x:v>https://prozorro.gov.ua/tender/UA-2026-06-15-011390-a</x:v>
      </x:c>
      <x:c r="AL400" s="19" t="n">
        <x:v>46188.56181832176</x:v>
      </x:c>
      <x:c r="AM400" s="19" t="n">
        <x:v>46387</x:v>
      </x:c>
      <x:c r="AN400" s="15" t="str">
        <x:v>Водоочищення / очисні споруди; Насосні станції</x:v>
      </x:c>
      <x:c r="AO400" s="15" t="str">
        <x:v>not_found_in_top_search</x:v>
      </x:c>
    </x:row>
    <x:row r="401">
      <x:c r="A401" s="14" t="str">
        <x:v>W3-129</x:v>
      </x:c>
      <x:c r="B401" s="14" t="str">
        <x:v>Prozorro winners — 24.08</x:v>
      </x:c>
      <x:c r="C401" s="14" t="str">
        <x:v>ТОВАРИСТВО З ОБМЕЖЕНОЮ ВІДПОВІДАЛЬНІСТЮ -ФІРМА "КОРТАКОЗ"</x:v>
      </x:c>
      <x:c r="D401" s="14" t="str">
        <x:v>Водоочищення / очисні споруди</x:v>
      </x:c>
      <x:c r="E401" s="14" t="str">
        <x:v>Expansion discovery</x:v>
      </x:c>
      <x:c r="F401" s="17" t="str">
        <x:f>IF(E401="Pilot now",IF(P401&gt;=84,"P1",IF(P401&gt;=72,"P2","P3")),IF(E401="Expansion discovery",IF(Q401&gt;=88,"D1",IF(Q401&gt;=78,"D2","D3")),IF(E401="Later / requirements","L","Legacy")))</x:f>
        <x:v>D1</x:v>
      </x:c>
      <x:c r="G401" s="14" t="str"/>
      <x:c r="H401" s="14" t="str">
        <x:v>Discovery розширення — 2 тижні</x:v>
      </x:c>
      <x:c r="I401" s="16" t="n">
        <x:v>1</x:v>
      </x:c>
      <x:c r="J401" s="16" t="n">
        <x:v>5</x:v>
      </x:c>
      <x:c r="K401" s="16" t="n">
        <x:v>4</x:v>
      </x:c>
      <x:c r="L401" s="16" t="n">
        <x:v>5</x:v>
      </x:c>
      <x:c r="M401" s="16" t="n">
        <x:v>5</x:v>
      </x:c>
      <x:c r="N401" s="16" t="n">
        <x:v>5</x:v>
      </x:c>
      <x:c r="O401" s="16" t="n">
        <x:v>5</x:v>
      </x:c>
      <x:c r="P401" s="16" t="n">
        <x:f>IF(COUNT(I401:O401)&lt;7,"",I401*8+J401*3+K401*2+L401*2+M401*2+N401*2+O401)</x:f>
        <x:v>66</x:v>
      </x:c>
      <x:c r="Q401" s="16" t="n">
        <x:f>IF(COUNT(J401:O401)&lt;6,"",J401*5+K401*4+M401*4+L401*3+N401*2+O401*2)</x:f>
        <x:v>96</x:v>
      </x:c>
      <x:c r="R401" s="14" t="str">
        <x:v>high</x:v>
      </x:c>
      <x:c r="S401" s="14" t="str">
        <x:v>official_prozorro_award_2025_2026</x:v>
      </x:c>
      <x:c r="T401" s="14" t="str">
        <x:v>official_prozorro_api</x:v>
      </x:c>
      <x:c r="U401" s="14" t="str">
        <x:v>Не контактували</x:v>
      </x:c>
      <x:c r="V401" s="15" t="str">
        <x:v>Workflow-audit outreach по UA-2026-07-03-009470-a; попросити 1 пакет здачі та вимоги проєкту</x:v>
      </x:c>
      <x:c r="W401" s="15" t="str">
        <x:v>Власник / директор; керівник ПТО; відповідальний за договори</x:v>
      </x:c>
      <x:c r="X401" s="15" t="str">
        <x:v>1 підтверджених перемог/договорів у Prozorro на 11 653 496 грн; 0 проєктів зі строком виконання не раніше 24.08.2026.</x:v>
      </x:c>
      <x:c r="Y401" s="15" t="str">
        <x:v>«Реконструкція очисних каналізаційних споруд повної біологічної очистки м. Арциз Одеської області» Коригування; строк до 2026-07-31. Попросити один знеособлений пакет здачі за цим workflow.</x:v>
      </x:c>
      <x:c r="Z401" s="15" t="str">
        <x:v>https://prozorro.gov.ua/tender/UA-2026-07-03-009470-a</x:v>
      </x:c>
      <x:c r="AA401" s="14" t="str">
        <x:v>13993936</x:v>
      </x:c>
      <x:c r="AB401" s="14" t="str">
        <x:v>2026-08-24</x:v>
      </x:c>
      <x:c r="AC401" s="14" t="str"/>
      <x:c r="AD401" s="20" t="str"/>
      <x:c r="AE401" s="14" t="str"/>
      <x:c r="AF401" s="14" t="n">
        <x:v>57</x:v>
      </x:c>
      <x:c r="AG401" s="14" t="str">
        <x:v>I3</x:v>
      </x:c>
      <x:c r="AH401" s="14" t="n">
        <x:v>1</x:v>
      </x:c>
      <x:c r="AI401" s="14" t="n">
        <x:v>0</x:v>
      </x:c>
      <x:c r="AJ401" s="18" t="n">
        <x:v>11653496.4</x:v>
      </x:c>
      <x:c r="AK401" s="14" t="str">
        <x:v>https://prozorro.gov.ua/tender/UA-2026-07-03-009470-a</x:v>
      </x:c>
      <x:c r="AL401" s="19" t="n">
        <x:v>46206.54986206019</x:v>
      </x:c>
      <x:c r="AM401" s="19" t="n">
        <x:v>46234</x:v>
      </x:c>
      <x:c r="AN401" s="15" t="str">
        <x:v>Водоочищення / очисні споруди</x:v>
      </x:c>
      <x:c r="AO401" s="15" t="str">
        <x:v>not_found_in_top_search</x:v>
      </x:c>
    </x:row>
    <x:row r="402">
      <x:c r="A402" s="14" t="str">
        <x:v>W3-130</x:v>
      </x:c>
      <x:c r="B402" s="14" t="str">
        <x:v>Prozorro winners — 24.08</x:v>
      </x:c>
      <x:c r="C402" s="14" t="str">
        <x:v>АВЕТІСЯН ГЕВОРГ ФУРМАНОВИЧ</x:v>
      </x:c>
      <x:c r="D402" s="14" t="str">
        <x:v>Мости / інфраструктура</x:v>
      </x:c>
      <x:c r="E402" s="14" t="str">
        <x:v>Expansion discovery</x:v>
      </x:c>
      <x:c r="F402" s="17" t="str">
        <x:f>IF(E402="Pilot now",IF(P402&gt;=84,"P1",IF(P402&gt;=72,"P2","P3")),IF(E402="Expansion discovery",IF(Q402&gt;=88,"D1",IF(Q402&gt;=78,"D2","D3")),IF(E402="Later / requirements","L","Legacy")))</x:f>
        <x:v>D2</x:v>
      </x:c>
      <x:c r="G402" s="14" t="str"/>
      <x:c r="H402" s="14" t="str">
        <x:v>Discovery розширення — 2 тижні</x:v>
      </x:c>
      <x:c r="I402" s="16" t="n">
        <x:v>1</x:v>
      </x:c>
      <x:c r="J402" s="16" t="n">
        <x:v>5</x:v>
      </x:c>
      <x:c r="K402" s="16" t="n">
        <x:v>4</x:v>
      </x:c>
      <x:c r="L402" s="16" t="n">
        <x:v>2</x:v>
      </x:c>
      <x:c r="M402" s="16" t="n">
        <x:v>5</x:v>
      </x:c>
      <x:c r="N402" s="16" t="n">
        <x:v>3</x:v>
      </x:c>
      <x:c r="O402" s="16" t="n">
        <x:v>5</x:v>
      </x:c>
      <x:c r="P402" s="16" t="n">
        <x:f>IF(COUNT(I402:O402)&lt;7,"",I402*8+J402*3+K402*2+L402*2+M402*2+N402*2+O402)</x:f>
        <x:v>56</x:v>
      </x:c>
      <x:c r="Q402" s="16" t="n">
        <x:f>IF(COUNT(J402:O402)&lt;6,"",J402*5+K402*4+M402*4+L402*3+N402*2+O402*2)</x:f>
        <x:v>83</x:v>
      </x:c>
      <x:c r="R402" s="14" t="str">
        <x:v>high</x:v>
      </x:c>
      <x:c r="S402" s="14" t="str">
        <x:v>official_prozorro_award_2025_2026</x:v>
      </x:c>
      <x:c r="T402" s="14" t="str">
        <x:v>official_prozorro_api</x:v>
      </x:c>
      <x:c r="U402" s="14" t="str">
        <x:v>Не контактували</x:v>
      </x:c>
      <x:c r="V402" s="15" t="str">
        <x:v>Workflow-audit outreach по UA-2026-07-09-000490-a; попросити 1 пакет здачі та вимоги проєкту</x:v>
      </x:c>
      <x:c r="W402" s="15" t="str">
        <x:v>Власник / виконавець; відповідальний за договір</x:v>
      </x:c>
      <x:c r="X402" s="15" t="str">
        <x:v>2 підтверджених перемог/договорів у Prozorro на 399 190 грн; 2 проєктів зі строком виконання не раніше 24.08.2026.</x:v>
      </x:c>
      <x:c r="Y402" s="15" t="str">
        <x:v>Поточний ремонт відбійників та перил мосту № 1 через річку Синюха в місті Первомайськ Миколаївської області; строк до 2026-12-31. Попросити один знеособлений пакет здачі за цим workflow.</x:v>
      </x:c>
      <x:c r="Z402" s="15" t="str">
        <x:v>https://prozorro.gov.ua/tender/UA-2026-07-09-000490-a</x:v>
      </x:c>
      <x:c r="AA402" s="14" t="str">
        <x:v>2729522173</x:v>
      </x:c>
      <x:c r="AB402" s="14" t="str">
        <x:v>2026-08-24</x:v>
      </x:c>
      <x:c r="AC402" s="14" t="str"/>
      <x:c r="AD402" s="20" t="str"/>
      <x:c r="AE402" s="14" t="str"/>
      <x:c r="AF402" s="14" t="n">
        <x:v>57</x:v>
      </x:c>
      <x:c r="AG402" s="14" t="str">
        <x:v>I3</x:v>
      </x:c>
      <x:c r="AH402" s="14" t="n">
        <x:v>2</x:v>
      </x:c>
      <x:c r="AI402" s="14" t="n">
        <x:v>2</x:v>
      </x:c>
      <x:c r="AJ402" s="18" t="n">
        <x:v>399190.25</x:v>
      </x:c>
      <x:c r="AK402" s="14" t="str">
        <x:v>https://prozorro.gov.ua/tender/UA-2026-07-09-000490-a</x:v>
      </x:c>
      <x:c r="AL402" s="19" t="n">
        <x:v>46212.252966168984</x:v>
      </x:c>
      <x:c r="AM402" s="19" t="n">
        <x:v>46387</x:v>
      </x:c>
      <x:c r="AN402" s="15" t="str">
        <x:v>Мости / інфраструктура</x:v>
      </x:c>
      <x:c r="AO402" s="15" t="str">
        <x:v>not_found_in_top_search</x:v>
      </x:c>
    </x:row>
    <x:row r="403">
      <x:c r="A403" s="14" t="str">
        <x:v>W3-131</x:v>
      </x:c>
      <x:c r="B403" s="14" t="str">
        <x:v>Prozorro winners — 24.08</x:v>
      </x:c>
      <x:c r="C403" s="14" t="str">
        <x:v>ПАВЛЕНКО ВОЛОДИМИР ЯКОВИЧ</x:v>
      </x:c>
      <x:c r="D403" s="14" t="str">
        <x:v>Газопостачання / котельні</x:v>
      </x:c>
      <x:c r="E403" s="14" t="str">
        <x:v>Expansion discovery</x:v>
      </x:c>
      <x:c r="F403" s="17" t="str">
        <x:f>IF(E403="Pilot now",IF(P403&gt;=84,"P1",IF(P403&gt;=72,"P2","P3")),IF(E403="Expansion discovery",IF(Q403&gt;=88,"D1",IF(Q403&gt;=78,"D2","D3")),IF(E403="Later / requirements","L","Legacy")))</x:f>
        <x:v>D2</x:v>
      </x:c>
      <x:c r="G403" s="14" t="str"/>
      <x:c r="H403" s="14" t="str">
        <x:v>Discovery розширення — 2 тижні</x:v>
      </x:c>
      <x:c r="I403" s="16" t="n">
        <x:v>1</x:v>
      </x:c>
      <x:c r="J403" s="16" t="n">
        <x:v>5</x:v>
      </x:c>
      <x:c r="K403" s="16" t="n">
        <x:v>4</x:v>
      </x:c>
      <x:c r="L403" s="16" t="n">
        <x:v>2</x:v>
      </x:c>
      <x:c r="M403" s="16" t="n">
        <x:v>5</x:v>
      </x:c>
      <x:c r="N403" s="16" t="n">
        <x:v>3</x:v>
      </x:c>
      <x:c r="O403" s="16" t="n">
        <x:v>5</x:v>
      </x:c>
      <x:c r="P403" s="16" t="n">
        <x:f>IF(COUNT(I403:O403)&lt;7,"",I403*8+J403*3+K403*2+L403*2+M403*2+N403*2+O403)</x:f>
        <x:v>56</x:v>
      </x:c>
      <x:c r="Q403" s="16" t="n">
        <x:f>IF(COUNT(J403:O403)&lt;6,"",J403*5+K403*4+M403*4+L403*3+N403*2+O403*2)</x:f>
        <x:v>83</x:v>
      </x:c>
      <x:c r="R403" s="14" t="str">
        <x:v>high</x:v>
      </x:c>
      <x:c r="S403" s="14" t="str">
        <x:v>official_prozorro_award_2025_2026</x:v>
      </x:c>
      <x:c r="T403" s="14" t="str">
        <x:v>official_prozorro_api</x:v>
      </x:c>
      <x:c r="U403" s="14" t="str">
        <x:v>Не контактували</x:v>
      </x:c>
      <x:c r="V403" s="15" t="str">
        <x:v>Workflow-audit outreach по UA-2026-07-03-007395-a; попросити 1 пакет здачі та вимоги проєкту</x:v>
      </x:c>
      <x:c r="W403" s="15" t="str">
        <x:v>Власник / виконавець; відповідальний за договір</x:v>
      </x:c>
      <x:c r="X403" s="15" t="str">
        <x:v>2 підтверджених перемог/договорів у Prozorro на 207 978 грн; 2 проєктів зі строком виконання не раніше 24.08.2026.</x:v>
      </x:c>
      <x:c r="Y403" s="15" t="str">
        <x:v>Капітальний ремонт. «Монтаж твердопаливного котла   ТМ УКРТЕРМО 600 кВт, серія WP-16W  у котельні Вільшанського ліцеюза адресою: вул. Київський шлях,14,  с. Вільшана, Роменського району, Сумської області»; строк до 2026-09-01. Попросити один знеособлений пакет здачі за цим workflow.</x:v>
      </x:c>
      <x:c r="Z403" s="15" t="str">
        <x:v>https://prozorro.gov.ua/tender/UA-2026-07-03-007395-a</x:v>
      </x:c>
      <x:c r="AA403" s="14" t="str">
        <x:v>2332113210</x:v>
      </x:c>
      <x:c r="AB403" s="14" t="str">
        <x:v>2026-08-24</x:v>
      </x:c>
      <x:c r="AC403" s="14" t="str"/>
      <x:c r="AD403" s="20" t="str"/>
      <x:c r="AE403" s="14" t="str"/>
      <x:c r="AF403" s="14" t="n">
        <x:v>57</x:v>
      </x:c>
      <x:c r="AG403" s="14" t="str">
        <x:v>I3</x:v>
      </x:c>
      <x:c r="AH403" s="14" t="n">
        <x:v>2</x:v>
      </x:c>
      <x:c r="AI403" s="14" t="n">
        <x:v>2</x:v>
      </x:c>
      <x:c r="AJ403" s="18" t="n">
        <x:v>207977.5</x:v>
      </x:c>
      <x:c r="AK403" s="14" t="str">
        <x:v>https://prozorro.gov.ua/tender/UA-2026-07-03-007395-a</x:v>
      </x:c>
      <x:c r="AL403" s="19" t="n">
        <x:v>46206.48941188657</x:v>
      </x:c>
      <x:c r="AM403" s="19" t="n">
        <x:v>46266</x:v>
      </x:c>
      <x:c r="AN403" s="15" t="str">
        <x:v>Газопостачання / котельні</x:v>
      </x:c>
      <x:c r="AO403" s="15" t="str">
        <x:v>not_found_in_top_search</x:v>
      </x:c>
    </x:row>
    <x:row r="404">
      <x:c r="A404" s="14" t="str">
        <x:v>W3-132</x:v>
      </x:c>
      <x:c r="B404" s="14" t="str">
        <x:v>Prozorro winners — 24.08</x:v>
      </x:c>
      <x:c r="C404" s="14" t="str">
        <x:v>ФОП Штандель Сергій Олегович</x:v>
      </x:c>
      <x:c r="D404" s="14" t="str">
        <x:v>Теплові мережі</x:v>
      </x:c>
      <x:c r="E404" s="14" t="str">
        <x:v>Expansion discovery</x:v>
      </x:c>
      <x:c r="F404" s="17" t="str">
        <x:f>IF(E404="Pilot now",IF(P404&gt;=84,"P1",IF(P404&gt;=72,"P2","P3")),IF(E404="Expansion discovery",IF(Q404&gt;=88,"D1",IF(Q404&gt;=78,"D2","D3")),IF(E404="Later / requirements","L","Legacy")))</x:f>
        <x:v>D2</x:v>
      </x:c>
      <x:c r="G404" s="14" t="str"/>
      <x:c r="H404" s="14" t="str">
        <x:v>Discovery розширення — 2 тижні</x:v>
      </x:c>
      <x:c r="I404" s="16" t="n">
        <x:v>1</x:v>
      </x:c>
      <x:c r="J404" s="16" t="n">
        <x:v>5</x:v>
      </x:c>
      <x:c r="K404" s="16" t="n">
        <x:v>4</x:v>
      </x:c>
      <x:c r="L404" s="16" t="n">
        <x:v>2</x:v>
      </x:c>
      <x:c r="M404" s="16" t="n">
        <x:v>5</x:v>
      </x:c>
      <x:c r="N404" s="16" t="n">
        <x:v>3</x:v>
      </x:c>
      <x:c r="O404" s="16" t="n">
        <x:v>5</x:v>
      </x:c>
      <x:c r="P404" s="16" t="n">
        <x:f>IF(COUNT(I404:O404)&lt;7,"",I404*8+J404*3+K404*2+L404*2+M404*2+N404*2+O404)</x:f>
        <x:v>56</x:v>
      </x:c>
      <x:c r="Q404" s="16" t="n">
        <x:f>IF(COUNT(J404:O404)&lt;6,"",J404*5+K404*4+M404*4+L404*3+N404*2+O404*2)</x:f>
        <x:v>83</x:v>
      </x:c>
      <x:c r="R404" s="14" t="str">
        <x:v>high</x:v>
      </x:c>
      <x:c r="S404" s="14" t="str">
        <x:v>official_prozorro_award_2025_2026</x:v>
      </x:c>
      <x:c r="T404" s="14" t="str">
        <x:v>official_prozorro_api</x:v>
      </x:c>
      <x:c r="U404" s="14" t="str">
        <x:v>Не контактували</x:v>
      </x:c>
      <x:c r="V404" s="15" t="str">
        <x:v>Workflow-audit outreach по UA-2026-07-06-004888-a; попросити 1 пакет здачі та вимоги проєкту</x:v>
      </x:c>
      <x:c r="W404" s="15" t="str">
        <x:v>Власник / виконавець; відповідальний за договір</x:v>
      </x:c>
      <x:c r="X404" s="15" t="str">
        <x:v>2 підтверджених перемог/договорів у Prozorro на 187 697 грн; 2 проєктів зі строком виконання не раніше 24.08.2026.</x:v>
      </x:c>
      <x:c r="Y404" s="15" t="str">
        <x:v>Технічний нагляд за об’єктом: «Реконструкція ділянки теплової мережі ТК19-ТК20 від котельні по вул. Монастирська, 6 в м. Полтава»; строк до 2026-12-31. Попросити один знеособлений пакет здачі за цим workflow.</x:v>
      </x:c>
      <x:c r="Z404" s="15" t="str">
        <x:v>https://prozorro.gov.ua/tender/UA-2026-07-06-004888-a</x:v>
      </x:c>
      <x:c r="AA404" s="14" t="str">
        <x:v>2601704198</x:v>
      </x:c>
      <x:c r="AB404" s="14" t="str">
        <x:v>2026-08-24</x:v>
      </x:c>
      <x:c r="AC404" s="14" t="str"/>
      <x:c r="AD404" s="20" t="str"/>
      <x:c r="AE404" s="14" t="str"/>
      <x:c r="AF404" s="14" t="n">
        <x:v>57</x:v>
      </x:c>
      <x:c r="AG404" s="14" t="str">
        <x:v>I3</x:v>
      </x:c>
      <x:c r="AH404" s="14" t="n">
        <x:v>2</x:v>
      </x:c>
      <x:c r="AI404" s="14" t="n">
        <x:v>2</x:v>
      </x:c>
      <x:c r="AJ404" s="18" t="n">
        <x:v>187696.97</x:v>
      </x:c>
      <x:c r="AK404" s="14" t="str">
        <x:v>https://prozorro.gov.ua/tender/UA-2026-07-06-004888-a</x:v>
      </x:c>
      <x:c r="AL404" s="19" t="n">
        <x:v>46209.42884983796</x:v>
      </x:c>
      <x:c r="AM404" s="19" t="n">
        <x:v>46387.472766203704</x:v>
      </x:c>
      <x:c r="AN404" s="15" t="str">
        <x:v>Теплові мережі</x:v>
      </x:c>
      <x:c r="AO404" s="15" t="str">
        <x:v>not_found_in_top_search</x:v>
      </x:c>
    </x:row>
    <x:row r="405">
      <x:c r="A405" s="14" t="str">
        <x:v>W3-133</x:v>
      </x:c>
      <x:c r="B405" s="14" t="str">
        <x:v>Prozorro winners — 24.08</x:v>
      </x:c>
      <x:c r="C405" s="14" t="str">
        <x:v>КУРІЛЕЦЬ СЕРГІЙ БОГДАНОВИЧ</x:v>
      </x:c>
      <x:c r="D405" s="14" t="str">
        <x:v>Безпека / СКУД / CCTV</x:v>
      </x:c>
      <x:c r="E405" s="14" t="str">
        <x:v>Expansion discovery</x:v>
      </x:c>
      <x:c r="F405" s="17" t="str">
        <x:f>IF(E405="Pilot now",IF(P405&gt;=84,"P1",IF(P405&gt;=72,"P2","P3")),IF(E405="Expansion discovery",IF(Q405&gt;=88,"D1",IF(Q405&gt;=78,"D2","D3")),IF(E405="Later / requirements","L","Legacy")))</x:f>
        <x:v>D2</x:v>
      </x:c>
      <x:c r="G405" s="14" t="str"/>
      <x:c r="H405" s="14" t="str">
        <x:v>Discovery розширення — 2 тижні</x:v>
      </x:c>
      <x:c r="I405" s="16" t="n">
        <x:v>1</x:v>
      </x:c>
      <x:c r="J405" s="16" t="n">
        <x:v>5</x:v>
      </x:c>
      <x:c r="K405" s="16" t="n">
        <x:v>4</x:v>
      </x:c>
      <x:c r="L405" s="16" t="n">
        <x:v>2</x:v>
      </x:c>
      <x:c r="M405" s="16" t="n">
        <x:v>5</x:v>
      </x:c>
      <x:c r="N405" s="16" t="n">
        <x:v>3</x:v>
      </x:c>
      <x:c r="O405" s="16" t="n">
        <x:v>5</x:v>
      </x:c>
      <x:c r="P405" s="16" t="n">
        <x:f>IF(COUNT(I405:O405)&lt;7,"",I405*8+J405*3+K405*2+L405*2+M405*2+N405*2+O405)</x:f>
        <x:v>56</x:v>
      </x:c>
      <x:c r="Q405" s="16" t="n">
        <x:f>IF(COUNT(J405:O405)&lt;6,"",J405*5+K405*4+M405*4+L405*3+N405*2+O405*2)</x:f>
        <x:v>83</x:v>
      </x:c>
      <x:c r="R405" s="14" t="str">
        <x:v>high</x:v>
      </x:c>
      <x:c r="S405" s="14" t="str">
        <x:v>official_prozorro_award_2025_2026</x:v>
      </x:c>
      <x:c r="T405" s="14" t="str">
        <x:v>official_prozorro_api</x:v>
      </x:c>
      <x:c r="U405" s="14" t="str">
        <x:v>Не контактували</x:v>
      </x:c>
      <x:c r="V405" s="15" t="str">
        <x:v>Workflow-audit outreach по UA-2026-06-15-013408-a; попросити 1 пакет здачі та вимоги проєкту</x:v>
      </x:c>
      <x:c r="W405" s="15" t="str">
        <x:v>Власник / виконавець; відповідальний за договір</x:v>
      </x:c>
      <x:c r="X405" s="15" t="str">
        <x:v>2 підтверджених перемог/договорів у Prozorro на 123 196 грн; 2 проєктів зі строком виконання не раніше 24.08.2026.</x:v>
      </x:c>
      <x:c r="Y405" s="15" t="str">
        <x:v>Послуги з монтажу та налаштування системи відеоспостереження; строк до 2026-12-31. Попросити один знеособлений пакет здачі за цим workflow.</x:v>
      </x:c>
      <x:c r="Z405" s="15" t="str">
        <x:v>https://prozorro.gov.ua/tender/UA-2026-06-15-013408-a</x:v>
      </x:c>
      <x:c r="AA405" s="14" t="str">
        <x:v>3019912477</x:v>
      </x:c>
      <x:c r="AB405" s="14" t="str">
        <x:v>2026-08-24</x:v>
      </x:c>
      <x:c r="AC405" s="14" t="str"/>
      <x:c r="AD405" s="20" t="str"/>
      <x:c r="AE405" s="14" t="str"/>
      <x:c r="AF405" s="14" t="n">
        <x:v>57</x:v>
      </x:c>
      <x:c r="AG405" s="14" t="str">
        <x:v>I3</x:v>
      </x:c>
      <x:c r="AH405" s="14" t="n">
        <x:v>2</x:v>
      </x:c>
      <x:c r="AI405" s="14" t="n">
        <x:v>2</x:v>
      </x:c>
      <x:c r="AJ405" s="18" t="n">
        <x:v>123196</x:v>
      </x:c>
      <x:c r="AK405" s="14" t="str">
        <x:v>https://prozorro.gov.ua/tender/UA-2026-06-15-013408-a</x:v>
      </x:c>
      <x:c r="AL405" s="19" t="n">
        <x:v>46188.78293744213</x:v>
      </x:c>
      <x:c r="AM405" s="19" t="n">
        <x:v>46387</x:v>
      </x:c>
      <x:c r="AN405" s="15" t="str">
        <x:v>Безпека / СКУД / CCTV</x:v>
      </x:c>
      <x:c r="AO405" s="15" t="str">
        <x:v>not_found_in_top_search</x:v>
      </x:c>
    </x:row>
    <x:row r="406">
      <x:c r="A406" s="14" t="str">
        <x:v>W3-134</x:v>
      </x:c>
      <x:c r="B406" s="14" t="str">
        <x:v>Prozorro winners — 24.08</x:v>
      </x:c>
      <x:c r="C406" s="14" t="str">
        <x:v>Фізична особа-підприємець Сойка Дарія Олегівна</x:v>
      </x:c>
      <x:c r="D406" s="14" t="str">
        <x:v>HVAC / ОВіК</x:v>
      </x:c>
      <x:c r="E406" s="14" t="str">
        <x:v>Pilot now</x:v>
      </x:c>
      <x:c r="F406" s="17" t="str">
        <x:f>IF(E406="Pilot now",IF(P406&gt;=84,"P1",IF(P406&gt;=72,"P2","P3")),IF(E406="Expansion discovery",IF(Q406&gt;=88,"D1",IF(Q406&gt;=78,"D2","D3")),IF(E406="Later / requirements","L","Legacy")))</x:f>
        <x:v>P1</x:v>
      </x:c>
      <x:c r="G406" s="14" t="str"/>
      <x:c r="H406" s="14" t="str">
        <x:v>Пілот зараз — Н.14</x:v>
      </x:c>
      <x:c r="I406" s="16" t="n">
        <x:v>5</x:v>
      </x:c>
      <x:c r="J406" s="16" t="n">
        <x:v>5</x:v>
      </x:c>
      <x:c r="K406" s="16" t="n">
        <x:v>5</x:v>
      </x:c>
      <x:c r="L406" s="16" t="n">
        <x:v>2</x:v>
      </x:c>
      <x:c r="M406" s="16" t="n">
        <x:v>5</x:v>
      </x:c>
      <x:c r="N406" s="16" t="n">
        <x:v>3</x:v>
      </x:c>
      <x:c r="O406" s="16" t="n">
        <x:v>5</x:v>
      </x:c>
      <x:c r="P406" s="16" t="n">
        <x:f>IF(COUNT(I406:O406)&lt;7,"",I406*8+J406*3+K406*2+L406*2+M406*2+N406*2+O406)</x:f>
        <x:v>90</x:v>
      </x:c>
      <x:c r="Q406" s="16" t="n">
        <x:f>IF(COUNT(J406:O406)&lt;6,"",J406*5+K406*4+M406*4+L406*3+N406*2+O406*2)</x:f>
        <x:v>87</x:v>
      </x:c>
      <x:c r="R406" s="14" t="str">
        <x:v>high</x:v>
      </x:c>
      <x:c r="S406" s="14" t="str">
        <x:v>official_prozorro_award_2025_2026</x:v>
      </x:c>
      <x:c r="T406" s="14" t="str">
        <x:v>official_prozorro_api</x:v>
      </x:c>
      <x:c r="U406" s="14" t="str">
        <x:v>Не контактували</x:v>
      </x:c>
      <x:c r="V406" s="15" t="str">
        <x:v>Персоналізований free-pilot outreach по UA-2026-05-06-007489-a; попросити 1 пакет Н.14/Н.15</x:v>
      </x:c>
      <x:c r="W406" s="15" t="str">
        <x:v>Власник / виконавець; відповідальний за договір</x:v>
      </x:c>
      <x:c r="X406" s="15" t="str">
        <x:v>2 підтверджених перемог/договорів у Prozorro на 107 000 грн; 2 проєктів зі строком виконання не раніше 24.08.2026.</x:v>
      </x:c>
      <x:c r="Y406" s="15" t="str">
        <x:v>Розробка передпроектної пропозиції "Капітальний ремонт приміщень роздягальні стадіону (монтаж системи водопостачання, водовідведення, електропостачання, вентиляції, опалення та кондиціювання, влаштування бетонної стяжки підлоги, облицювання підлоги керамічною плиткою)"; строк до 2026-12-31. Попросити один знеособлений пакет здачі за цим workflow.</x:v>
      </x:c>
      <x:c r="Z406" s="15" t="str">
        <x:v>https://prozorro.gov.ua/tender/UA-2026-05-06-007489-a</x:v>
      </x:c>
      <x:c r="AA406" s="14" t="str">
        <x:v>3503506967</x:v>
      </x:c>
      <x:c r="AB406" s="14" t="str">
        <x:v>2026-08-24</x:v>
      </x:c>
      <x:c r="AC406" s="14" t="str"/>
      <x:c r="AD406" s="20" t="str"/>
      <x:c r="AE406" s="14" t="str"/>
      <x:c r="AF406" s="14" t="n">
        <x:v>57</x:v>
      </x:c>
      <x:c r="AG406" s="14" t="str">
        <x:v>I3</x:v>
      </x:c>
      <x:c r="AH406" s="14" t="n">
        <x:v>2</x:v>
      </x:c>
      <x:c r="AI406" s="14" t="n">
        <x:v>2</x:v>
      </x:c>
      <x:c r="AJ406" s="18" t="n">
        <x:v>107000</x:v>
      </x:c>
      <x:c r="AK406" s="14" t="str">
        <x:v>https://prozorro.gov.ua/tender/UA-2026-05-06-007489-a</x:v>
      </x:c>
      <x:c r="AL406" s="19" t="n">
        <x:v>46148.43676380787</x:v>
      </x:c>
      <x:c r="AM406" s="19" t="n">
        <x:v>46387</x:v>
      </x:c>
      <x:c r="AN406" s="15" t="str">
        <x:v>HVAC / ОВіК</x:v>
      </x:c>
      <x:c r="AO406" s="15" t="str">
        <x:v>not_found_in_top_search</x:v>
      </x:c>
    </x:row>
    <x:row r="407">
      <x:c r="A407" s="14" t="str">
        <x:v>W3-135</x:v>
      </x:c>
      <x:c r="B407" s="14" t="str">
        <x:v>Prozorro winners — 24.08</x:v>
      </x:c>
      <x:c r="C407" s="14" t="str">
        <x:v>ТОВАРИСТВО З ОБМЕЖЕНОЮ ВІДПОВІДАЛЬНІСТЮ "ПРОМТЕПЛОТЕХСЕРВІС"</x:v>
      </x:c>
      <x:c r="D407" s="14" t="str">
        <x:v>Газопостачання / котельні</x:v>
      </x:c>
      <x:c r="E407" s="14" t="str">
        <x:v>Expansion discovery</x:v>
      </x:c>
      <x:c r="F407" s="17" t="str">
        <x:f>IF(E407="Pilot now",IF(P407&gt;=84,"P1",IF(P407&gt;=72,"P2","P3")),IF(E407="Expansion discovery",IF(Q407&gt;=88,"D1",IF(Q407&gt;=78,"D2","D3")),IF(E407="Later / requirements","L","Legacy")))</x:f>
        <x:v>D2</x:v>
      </x:c>
      <x:c r="G407" s="14" t="str"/>
      <x:c r="H407" s="14" t="str">
        <x:v>Discovery розширення — 2 тижні</x:v>
      </x:c>
      <x:c r="I407" s="16" t="n">
        <x:v>1</x:v>
      </x:c>
      <x:c r="J407" s="16" t="n">
        <x:v>5</x:v>
      </x:c>
      <x:c r="K407" s="16" t="n">
        <x:v>4</x:v>
      </x:c>
      <x:c r="L407" s="16" t="n">
        <x:v>1</x:v>
      </x:c>
      <x:c r="M407" s="16" t="n">
        <x:v>5</x:v>
      </x:c>
      <x:c r="N407" s="16" t="n">
        <x:v>5</x:v>
      </x:c>
      <x:c r="O407" s="16" t="n">
        <x:v>5</x:v>
      </x:c>
      <x:c r="P407" s="16" t="n">
        <x:f>IF(COUNT(I407:O407)&lt;7,"",I407*8+J407*3+K407*2+L407*2+M407*2+N407*2+O407)</x:f>
        <x:v>58</x:v>
      </x:c>
      <x:c r="Q407" s="16" t="n">
        <x:f>IF(COUNT(J407:O407)&lt;6,"",J407*5+K407*4+M407*4+L407*3+N407*2+O407*2)</x:f>
        <x:v>84</x:v>
      </x:c>
      <x:c r="R407" s="14" t="str">
        <x:v>high</x:v>
      </x:c>
      <x:c r="S407" s="14" t="str">
        <x:v>official_prozorro_award_2025_2026</x:v>
      </x:c>
      <x:c r="T407" s="14" t="str">
        <x:v>official_prozorro_api</x:v>
      </x:c>
      <x:c r="U407" s="14" t="str">
        <x:v>Не контактували</x:v>
      </x:c>
      <x:c r="V407" s="15" t="str">
        <x:v>Workflow-audit outreach по UA-2026-08-06-005202-a; попросити 1 пакет здачі та вимоги проєкту</x:v>
      </x:c>
      <x:c r="W407" s="15" t="str">
        <x:v>Власник / директор; керівник ПТО; відповідальний за договори</x:v>
      </x:c>
      <x:c r="X407" s="15" t="str">
        <x:v>3 підтверджених перемог/договорів у Prozorro на 26 130 грн; 0 проєктів зі строком виконання не раніше 24.08.2026.</x:v>
      </x:c>
      <x:c r="Y407" s="15" t="str">
        <x:v>демонтаж,підготовка до повірки, повірка та монтаж приладів КВПіА - 6 штук, встановлених в котельні ; строк до 2026-08-20. Попросити один знеособлений пакет здачі за цим workflow.</x:v>
      </x:c>
      <x:c r="Z407" s="15" t="str">
        <x:v>https://prozorro.gov.ua/tender/UA-2026-08-06-005202-a</x:v>
      </x:c>
      <x:c r="AA407" s="14" t="str">
        <x:v>37087967</x:v>
      </x:c>
      <x:c r="AB407" s="14" t="str">
        <x:v>2026-08-24</x:v>
      </x:c>
      <x:c r="AC407" s="14" t="str"/>
      <x:c r="AD407" s="20" t="str"/>
      <x:c r="AE407" s="14" t="str"/>
      <x:c r="AF407" s="14" t="n">
        <x:v>57</x:v>
      </x:c>
      <x:c r="AG407" s="14" t="str">
        <x:v>I3</x:v>
      </x:c>
      <x:c r="AH407" s="14" t="n">
        <x:v>3</x:v>
      </x:c>
      <x:c r="AI407" s="14" t="n">
        <x:v>0</x:v>
      </x:c>
      <x:c r="AJ407" s="18" t="n">
        <x:v>26130</x:v>
      </x:c>
      <x:c r="AK407" s="14" t="str">
        <x:v>https://prozorro.gov.ua/tender/UA-2026-08-06-005202-a</x:v>
      </x:c>
      <x:c r="AL407" s="19" t="n">
        <x:v>46240.39848201389</x:v>
      </x:c>
      <x:c r="AM407" s="19" t="n">
        <x:v>46254</x:v>
      </x:c>
      <x:c r="AN407" s="15" t="str">
        <x:v>Газопостачання / котельні</x:v>
      </x:c>
      <x:c r="AO407" s="15" t="str">
        <x:v>not_found_in_top_search</x:v>
      </x:c>
    </x:row>
    <x:row r="408">
      <x:c r="A408" s="14" t="str">
        <x:v>W3-136</x:v>
      </x:c>
      <x:c r="B408" s="14" t="str">
        <x:v>Prozorro winners — 24.08</x:v>
      </x:c>
      <x:c r="C408" s="14" t="str">
        <x:v>ТОВАРИСТВО З ОБМЕЖЕНОЮ ВІДПОВІДАЛЬНІСТЮ "БУДІВЕЛЬНА ФІРМА "БУД ГРУПП"</x:v>
      </x:c>
      <x:c r="D408" s="14" t="str">
        <x:v>Теплові мережі</x:v>
      </x:c>
      <x:c r="E408" s="14" t="str">
        <x:v>Expansion discovery</x:v>
      </x:c>
      <x:c r="F408" s="17" t="str">
        <x:f>IF(E408="Pilot now",IF(P408&gt;=84,"P1",IF(P408&gt;=72,"P2","P3")),IF(E408="Expansion discovery",IF(Q408&gt;=88,"D1",IF(Q408&gt;=78,"D2","D3")),IF(E408="Later / requirements","L","Legacy")))</x:f>
        <x:v>D2</x:v>
      </x:c>
      <x:c r="G408" s="14" t="str"/>
      <x:c r="H408" s="14" t="str">
        <x:v>Discovery розширення — 2 тижні</x:v>
      </x:c>
      <x:c r="I408" s="16" t="n">
        <x:v>1</x:v>
      </x:c>
      <x:c r="J408" s="16" t="n">
        <x:v>5</x:v>
      </x:c>
      <x:c r="K408" s="16" t="n">
        <x:v>4</x:v>
      </x:c>
      <x:c r="L408" s="16" t="n">
        <x:v>2</x:v>
      </x:c>
      <x:c r="M408" s="16" t="n">
        <x:v>5</x:v>
      </x:c>
      <x:c r="N408" s="16" t="n">
        <x:v>5</x:v>
      </x:c>
      <x:c r="O408" s="16" t="n">
        <x:v>5</x:v>
      </x:c>
      <x:c r="P408" s="16" t="n">
        <x:f>IF(COUNT(I408:O408)&lt;7,"",I408*8+J408*3+K408*2+L408*2+M408*2+N408*2+O408)</x:f>
        <x:v>60</x:v>
      </x:c>
      <x:c r="Q408" s="16" t="n">
        <x:f>IF(COUNT(J408:O408)&lt;6,"",J408*5+K408*4+M408*4+L408*3+N408*2+O408*2)</x:f>
        <x:v>87</x:v>
      </x:c>
      <x:c r="R408" s="14" t="str">
        <x:v>high</x:v>
      </x:c>
      <x:c r="S408" s="14" t="str">
        <x:v>official_prozorro_award_2025_2026</x:v>
      </x:c>
      <x:c r="T408" s="14" t="str">
        <x:v>official_prozorro_api</x:v>
      </x:c>
      <x:c r="U408" s="14" t="str">
        <x:v>Не контактували</x:v>
      </x:c>
      <x:c r="V408" s="15" t="str">
        <x:v>Workflow-audit outreach по UA-2026-08-21-005103-a; попросити 1 пакет здачі та вимоги проєкту</x:v>
      </x:c>
      <x:c r="W408" s="15" t="str">
        <x:v>Власник / директор; керівник ПТО; відповідальний за договори</x:v>
      </x:c>
      <x:c r="X408" s="15" t="str">
        <x:v>1 підтверджених перемог/договорів у Prozorro на 496 243 грн; 1 проєктів зі строком виконання не раніше 24.08.2026.</x:v>
      </x:c>
      <x:c r="Y408" s="15" t="str">
        <x:v>«Реконструкція (відновлення) теплової мережі тепломагістралі №32 на ділянці в районі ТК 3201Г вздовж проспекту Індустріального у м. Харкові. (інв. №0304269)»(код ДК: 021:2015-45454000-4-Реконструкція); строк до 2026-09-18. Попросити один знеособлений пакет здачі за цим workflow.</x:v>
      </x:c>
      <x:c r="Z408" s="15" t="str">
        <x:v>https://prozorro.gov.ua/tender/UA-2026-08-21-005103-a</x:v>
      </x:c>
      <x:c r="AA408" s="14" t="str">
        <x:v>40703020</x:v>
      </x:c>
      <x:c r="AB408" s="14" t="str">
        <x:v>2026-08-24</x:v>
      </x:c>
      <x:c r="AC408" s="14" t="str"/>
      <x:c r="AD408" s="20" t="str"/>
      <x:c r="AE408" s="14" t="str"/>
      <x:c r="AF408" s="14" t="n">
        <x:v>56</x:v>
      </x:c>
      <x:c r="AG408" s="14" t="str">
        <x:v>I3</x:v>
      </x:c>
      <x:c r="AH408" s="14" t="n">
        <x:v>1</x:v>
      </x:c>
      <x:c r="AI408" s="14" t="n">
        <x:v>1</x:v>
      </x:c>
      <x:c r="AJ408" s="18" t="n">
        <x:v>496242.53</x:v>
      </x:c>
      <x:c r="AK408" s="14" t="str">
        <x:v>https://prozorro.gov.ua/tender/UA-2026-08-21-005103-a</x:v>
      </x:c>
      <x:c r="AL408" s="19" t="n">
        <x:v>46255.37273883102</x:v>
      </x:c>
      <x:c r="AM408" s="19" t="n">
        <x:v>46283</x:v>
      </x:c>
      <x:c r="AN408" s="15" t="str">
        <x:v>Теплові мережі</x:v>
      </x:c>
      <x:c r="AO408" s="15" t="str">
        <x:v>not_found_in_top_search</x:v>
      </x:c>
    </x:row>
    <x:row r="409">
      <x:c r="A409" s="14" t="str">
        <x:v>W3-137</x:v>
      </x:c>
      <x:c r="B409" s="14" t="str">
        <x:v>Prozorro winners — 24.08</x:v>
      </x:c>
      <x:c r="C409" s="14" t="str">
        <x:v>ТОВ "КОМПАНІЯ ТЕРА-БУД"</x:v>
      </x:c>
      <x:c r="D409" s="14" t="str">
        <x:v>Резервне живлення</x:v>
      </x:c>
      <x:c r="E409" s="14" t="str">
        <x:v>Expansion discovery</x:v>
      </x:c>
      <x:c r="F409" s="17" t="str">
        <x:f>IF(E409="Pilot now",IF(P409&gt;=84,"P1",IF(P409&gt;=72,"P2","P3")),IF(E409="Expansion discovery",IF(Q409&gt;=88,"D1",IF(Q409&gt;=78,"D2","D3")),IF(E409="Later / requirements","L","Legacy")))</x:f>
        <x:v>D2</x:v>
      </x:c>
      <x:c r="G409" s="14" t="str"/>
      <x:c r="H409" s="14" t="str">
        <x:v>Discovery розширення — 2 тижні</x:v>
      </x:c>
      <x:c r="I409" s="16" t="n">
        <x:v>1</x:v>
      </x:c>
      <x:c r="J409" s="16" t="n">
        <x:v>5</x:v>
      </x:c>
      <x:c r="K409" s="16" t="n">
        <x:v>4</x:v>
      </x:c>
      <x:c r="L409" s="16" t="n">
        <x:v>2</x:v>
      </x:c>
      <x:c r="M409" s="16" t="n">
        <x:v>5</x:v>
      </x:c>
      <x:c r="N409" s="16" t="n">
        <x:v>5</x:v>
      </x:c>
      <x:c r="O409" s="16" t="n">
        <x:v>5</x:v>
      </x:c>
      <x:c r="P409" s="16" t="n">
        <x:f>IF(COUNT(I409:O409)&lt;7,"",I409*8+J409*3+K409*2+L409*2+M409*2+N409*2+O409)</x:f>
        <x:v>60</x:v>
      </x:c>
      <x:c r="Q409" s="16" t="n">
        <x:f>IF(COUNT(J409:O409)&lt;6,"",J409*5+K409*4+M409*4+L409*3+N409*2+O409*2)</x:f>
        <x:v>87</x:v>
      </x:c>
      <x:c r="R409" s="14" t="str">
        <x:v>high</x:v>
      </x:c>
      <x:c r="S409" s="14" t="str">
        <x:v>official_prozorro_award_2025_2026</x:v>
      </x:c>
      <x:c r="T409" s="14" t="str">
        <x:v>official_prozorro_api</x:v>
      </x:c>
      <x:c r="U409" s="14" t="str">
        <x:v>Не контактували</x:v>
      </x:c>
      <x:c r="V409" s="15" t="str">
        <x:v>Workflow-audit outreach по UA-2026-06-30-009773-a; попросити 1 пакет здачі та вимоги проєкту</x:v>
      </x:c>
      <x:c r="W409" s="15" t="str">
        <x:v>Власник / директор; керівник ПТО; відповідальний за договори</x:v>
      </x:c>
      <x:c r="X409" s="15" t="str">
        <x:v>1 підтверджених перемог/договорів у Prozorro на 493 087 грн; 1 проєктів зі строком виконання не раніше 24.08.2026.</x:v>
      </x:c>
      <x:c r="Y409" s="15" t="str">
        <x:v>Система резервного живлення з монтажем: 31150000-2 Баласти для розрядних ламп чи трубок за ДК 021:2015 Єдиного закупівельного словника (номеклатурний код: 31154000-0 Джерела безперебійного живлення); строк до 2026-09-30. Попросити один знеособлений пакет здачі за цим workflow.</x:v>
      </x:c>
      <x:c r="Z409" s="15" t="str">
        <x:v>https://prozorro.gov.ua/tender/UA-2026-06-30-009773-a</x:v>
      </x:c>
      <x:c r="AA409" s="14" t="str">
        <x:v>41405937</x:v>
      </x:c>
      <x:c r="AB409" s="14" t="str">
        <x:v>2026-08-24</x:v>
      </x:c>
      <x:c r="AC409" s="14" t="str"/>
      <x:c r="AD409" s="20" t="str"/>
      <x:c r="AE409" s="14" t="str"/>
      <x:c r="AF409" s="14" t="n">
        <x:v>56</x:v>
      </x:c>
      <x:c r="AG409" s="14" t="str">
        <x:v>I3</x:v>
      </x:c>
      <x:c r="AH409" s="14" t="n">
        <x:v>1</x:v>
      </x:c>
      <x:c r="AI409" s="14" t="n">
        <x:v>1</x:v>
      </x:c>
      <x:c r="AJ409" s="18" t="n">
        <x:v>493086.67</x:v>
      </x:c>
      <x:c r="AK409" s="14" t="str">
        <x:v>https://prozorro.gov.ua/tender/UA-2026-06-30-009773-a</x:v>
      </x:c>
      <x:c r="AL409" s="19" t="n">
        <x:v>46218.459691979166</x:v>
      </x:c>
      <x:c r="AM409" s="19" t="n">
        <x:v>46295.50371527778</x:v>
      </x:c>
      <x:c r="AN409" s="15" t="str">
        <x:v>Резервне живлення</x:v>
      </x:c>
      <x:c r="AO409" s="15" t="str">
        <x:v>not_found_in_top_search</x:v>
      </x:c>
    </x:row>
    <x:row r="410">
      <x:c r="A410" s="14" t="str">
        <x:v>W3-138</x:v>
      </x:c>
      <x:c r="B410" s="14" t="str">
        <x:v>Prozorro winners — 24.08</x:v>
      </x:c>
      <x:c r="C410" s="14" t="str">
        <x:v>ТОВАРИСТВО З ДОДАТКОВОЮ ВІДПОВІДАЛЬНІСТЮ "ІНСТИТУТ ДНІПРОДІПРОТРАНС"</x:v>
      </x:c>
      <x:c r="D410" s="14" t="str">
        <x:v>Мости / інфраструктура</x:v>
      </x:c>
      <x:c r="E410" s="14" t="str">
        <x:v>Expansion discovery</x:v>
      </x:c>
      <x:c r="F410" s="17" t="str">
        <x:f>IF(E410="Pilot now",IF(P410&gt;=84,"P1",IF(P410&gt;=72,"P2","P3")),IF(E410="Expansion discovery",IF(Q410&gt;=88,"D1",IF(Q410&gt;=78,"D2","D3")),IF(E410="Later / requirements","L","Legacy")))</x:f>
        <x:v>D2</x:v>
      </x:c>
      <x:c r="G410" s="14" t="str"/>
      <x:c r="H410" s="14" t="str">
        <x:v>Discovery розширення — 2 тижні</x:v>
      </x:c>
      <x:c r="I410" s="16" t="n">
        <x:v>1</x:v>
      </x:c>
      <x:c r="J410" s="16" t="n">
        <x:v>5</x:v>
      </x:c>
      <x:c r="K410" s="16" t="n">
        <x:v>4</x:v>
      </x:c>
      <x:c r="L410" s="16" t="n">
        <x:v>2</x:v>
      </x:c>
      <x:c r="M410" s="16" t="n">
        <x:v>5</x:v>
      </x:c>
      <x:c r="N410" s="16" t="n">
        <x:v>5</x:v>
      </x:c>
      <x:c r="O410" s="16" t="n">
        <x:v>5</x:v>
      </x:c>
      <x:c r="P410" s="16" t="n">
        <x:f>IF(COUNT(I410:O410)&lt;7,"",I410*8+J410*3+K410*2+L410*2+M410*2+N410*2+O410)</x:f>
        <x:v>60</x:v>
      </x:c>
      <x:c r="Q410" s="16" t="n">
        <x:f>IF(COUNT(J410:O410)&lt;6,"",J410*5+K410*4+M410*4+L410*3+N410*2+O410*2)</x:f>
        <x:v>87</x:v>
      </x:c>
      <x:c r="R410" s="14" t="str">
        <x:v>high</x:v>
      </x:c>
      <x:c r="S410" s="14" t="str">
        <x:v>official_prozorro_award_2025_2026</x:v>
      </x:c>
      <x:c r="T410" s="14" t="str">
        <x:v>official_prozorro_api</x:v>
      </x:c>
      <x:c r="U410" s="14" t="str">
        <x:v>Не контактували</x:v>
      </x:c>
      <x:c r="V410" s="15" t="str">
        <x:v>Workflow-audit outreach по UA-2026-07-14-009585-a; попросити 1 пакет здачі та вимоги проєкту</x:v>
      </x:c>
      <x:c r="W410" s="15" t="str">
        <x:v>Власник / директор; керівник ПТО; відповідальний за договори</x:v>
      </x:c>
      <x:c r="X410" s="15" t="str">
        <x:v>1 підтверджених перемог/договорів у Prozorro на 469 920 грн; 1 проєктів зі строком виконання не раніше 24.08.2026.</x:v>
      </x:c>
      <x:c r="Y410" s="15" t="str">
        <x:v>Виконання авторського нагляду по об'єкту: «Капітальний ремонт трамвайної лінії на мосту № 1 через р. Дніпро в м. Дніпрі»; строк до 2027-12-31. Попросити один знеособлений пакет здачі за цим workflow.</x:v>
      </x:c>
      <x:c r="Z410" s="15" t="str">
        <x:v>https://prozorro.gov.ua/tender/UA-2026-07-14-009585-a</x:v>
      </x:c>
      <x:c r="AA410" s="14" t="str">
        <x:v>01388420</x:v>
      </x:c>
      <x:c r="AB410" s="14" t="str">
        <x:v>2026-08-24</x:v>
      </x:c>
      <x:c r="AC410" s="14" t="str"/>
      <x:c r="AD410" s="20" t="str"/>
      <x:c r="AE410" s="14" t="str"/>
      <x:c r="AF410" s="14" t="n">
        <x:v>56</x:v>
      </x:c>
      <x:c r="AG410" s="14" t="str">
        <x:v>I3</x:v>
      </x:c>
      <x:c r="AH410" s="14" t="n">
        <x:v>1</x:v>
      </x:c>
      <x:c r="AI410" s="14" t="n">
        <x:v>1</x:v>
      </x:c>
      <x:c r="AJ410" s="18" t="n">
        <x:v>469920</x:v>
      </x:c>
      <x:c r="AK410" s="14" t="str">
        <x:v>https://prozorro.gov.ua/tender/UA-2026-07-14-009585-a</x:v>
      </x:c>
      <x:c r="AL410" s="19" t="n">
        <x:v>46217.53339412037</x:v>
      </x:c>
      <x:c r="AM410" s="19" t="n">
        <x:v>46752.573333333334</x:v>
      </x:c>
      <x:c r="AN410" s="15" t="str">
        <x:v>Мости / інфраструктура</x:v>
      </x:c>
      <x:c r="AO410" s="15" t="str">
        <x:v>not_found_in_top_search</x:v>
      </x:c>
    </x:row>
    <x:row r="411">
      <x:c r="A411" s="14" t="str">
        <x:v>W3-139</x:v>
      </x:c>
      <x:c r="B411" s="14" t="str">
        <x:v>Prozorro winners — 24.08</x:v>
      </x:c>
      <x:c r="C411" s="14" t="str">
        <x:v>ТОВАРИСТВО З ОБМЕЖЕНОЮ ВІДПОВІДАЛЬНІСТЮ "ШРБУ-48"</x:v>
      </x:c>
      <x:c r="D411" s="14" t="str">
        <x:v>Електромонтаж</x:v>
      </x:c>
      <x:c r="E411" s="14" t="str">
        <x:v>Pilot now</x:v>
      </x:c>
      <x:c r="F411" s="17" t="str">
        <x:f>IF(E411="Pilot now",IF(P411&gt;=84,"P1",IF(P411&gt;=72,"P2","P3")),IF(E411="Expansion discovery",IF(Q411&gt;=88,"D1",IF(Q411&gt;=78,"D2","D3")),IF(E411="Later / requirements","L","Legacy")))</x:f>
        <x:v>P1</x:v>
      </x:c>
      <x:c r="G411" s="14" t="str"/>
      <x:c r="H411" s="14" t="str">
        <x:v>Пілот зараз — Н.15</x:v>
      </x:c>
      <x:c r="I411" s="16" t="n">
        <x:v>5</x:v>
      </x:c>
      <x:c r="J411" s="16" t="n">
        <x:v>5</x:v>
      </x:c>
      <x:c r="K411" s="16" t="n">
        <x:v>5</x:v>
      </x:c>
      <x:c r="L411" s="16" t="n">
        <x:v>2</x:v>
      </x:c>
      <x:c r="M411" s="16" t="n">
        <x:v>5</x:v>
      </x:c>
      <x:c r="N411" s="16" t="n">
        <x:v>5</x:v>
      </x:c>
      <x:c r="O411" s="16" t="n">
        <x:v>5</x:v>
      </x:c>
      <x:c r="P411" s="16" t="n">
        <x:f>IF(COUNT(I411:O411)&lt;7,"",I411*8+J411*3+K411*2+L411*2+M411*2+N411*2+O411)</x:f>
        <x:v>94</x:v>
      </x:c>
      <x:c r="Q411" s="16" t="n">
        <x:f>IF(COUNT(J411:O411)&lt;6,"",J411*5+K411*4+M411*4+L411*3+N411*2+O411*2)</x:f>
        <x:v>91</x:v>
      </x:c>
      <x:c r="R411" s="14" t="str">
        <x:v>high</x:v>
      </x:c>
      <x:c r="S411" s="14" t="str">
        <x:v>official_prozorro_award_2025_2026</x:v>
      </x:c>
      <x:c r="T411" s="14" t="str">
        <x:v>official_prozorro_api</x:v>
      </x:c>
      <x:c r="U411" s="14" t="str">
        <x:v>Не контактували</x:v>
      </x:c>
      <x:c r="V411" s="15" t="str">
        <x:v>Персоналізований free-pilot outreach по UA-2026-08-06-007672-a; попросити 1 пакет Н.14/Н.15</x:v>
      </x:c>
      <x:c r="W411" s="15" t="str">
        <x:v>Власник / директор; керівник ПТО; відповідальний за договори</x:v>
      </x:c>
      <x:c r="X411" s="15" t="str">
        <x:v>1 підтверджених перемог/договорів у Prozorro на 460 954 грн; 1 проєктів зі строком виконання не раніше 24.08.2026.</x:v>
      </x:c>
      <x:c r="Y411" s="15" t="str">
        <x:v>Реконструкція ПЛ-10 кВ Л-31 «Пугачівка» та монтаж розвантажувальної ТП-10/0,4 кВ з будівництвом ПЛІ-0,4 кВ для стандартного приєднання до електричних мереж житлового будинку за адресою: пров.Шевченка, 7 с.Пугачівка Дмитрушківська ТГ Уманський район Черкаська область
; строк до 2026-11-02. Попросити один знеособлений пакет здачі за цим workflow.</x:v>
      </x:c>
      <x:c r="Z411" s="15" t="str">
        <x:v>https://prozorro.gov.ua/tender/UA-2026-08-06-007672-a</x:v>
      </x:c>
      <x:c r="AA411" s="14" t="str">
        <x:v>39835082</x:v>
      </x:c>
      <x:c r="AB411" s="14" t="str">
        <x:v>2026-08-24</x:v>
      </x:c>
      <x:c r="AC411" s="14" t="str"/>
      <x:c r="AD411" s="20" t="str"/>
      <x:c r="AE411" s="14" t="str"/>
      <x:c r="AF411" s="14" t="n">
        <x:v>56</x:v>
      </x:c>
      <x:c r="AG411" s="14" t="str">
        <x:v>I3</x:v>
      </x:c>
      <x:c r="AH411" s="14" t="n">
        <x:v>1</x:v>
      </x:c>
      <x:c r="AI411" s="14" t="n">
        <x:v>1</x:v>
      </x:c>
      <x:c r="AJ411" s="18" t="n">
        <x:v>460953.83</x:v>
      </x:c>
      <x:c r="AK411" s="14" t="str">
        <x:v>https://prozorro.gov.ua/tender/UA-2026-08-06-007672-a</x:v>
      </x:c>
      <x:c r="AL411" s="19" t="n">
        <x:v>46240.48546009259</x:v>
      </x:c>
      <x:c r="AM411" s="19" t="n">
        <x:v>46328</x:v>
      </x:c>
      <x:c r="AN411" s="15" t="str">
        <x:v>Електромонтаж</x:v>
      </x:c>
      <x:c r="AO411" s="15" t="str">
        <x:v>not_found_in_top_search</x:v>
      </x:c>
    </x:row>
    <x:row r="412">
      <x:c r="A412" s="14" t="str">
        <x:v>W3-140</x:v>
      </x:c>
      <x:c r="B412" s="14" t="str">
        <x:v>Prozorro winners — 24.08</x:v>
      </x:c>
      <x:c r="C412" s="14" t="str">
        <x:v>ТОВАРИСТВО З ОБМЕЖЕНОЮ ВІДПОВІДАЛЬНІСТЮ «ВДАЛИЙ ПРОЕКТ»</x:v>
      </x:c>
      <x:c r="D412" s="14" t="str">
        <x:v>Насосні станції</x:v>
      </x:c>
      <x:c r="E412" s="14" t="str">
        <x:v>Expansion discovery</x:v>
      </x:c>
      <x:c r="F412" s="17" t="str">
        <x:f>IF(E412="Pilot now",IF(P412&gt;=84,"P1",IF(P412&gt;=72,"P2","P3")),IF(E412="Expansion discovery",IF(Q412&gt;=88,"D1",IF(Q412&gt;=78,"D2","D3")),IF(E412="Later / requirements","L","Legacy")))</x:f>
        <x:v>D2</x:v>
      </x:c>
      <x:c r="G412" s="14" t="str"/>
      <x:c r="H412" s="14" t="str">
        <x:v>Discovery розширення — 2 тижні</x:v>
      </x:c>
      <x:c r="I412" s="16" t="n">
        <x:v>1</x:v>
      </x:c>
      <x:c r="J412" s="16" t="n">
        <x:v>5</x:v>
      </x:c>
      <x:c r="K412" s="16" t="n">
        <x:v>4</x:v>
      </x:c>
      <x:c r="L412" s="16" t="n">
        <x:v>2</x:v>
      </x:c>
      <x:c r="M412" s="16" t="n">
        <x:v>5</x:v>
      </x:c>
      <x:c r="N412" s="16" t="n">
        <x:v>5</x:v>
      </x:c>
      <x:c r="O412" s="16" t="n">
        <x:v>5</x:v>
      </x:c>
      <x:c r="P412" s="16" t="n">
        <x:f>IF(COUNT(I412:O412)&lt;7,"",I412*8+J412*3+K412*2+L412*2+M412*2+N412*2+O412)</x:f>
        <x:v>60</x:v>
      </x:c>
      <x:c r="Q412" s="16" t="n">
        <x:f>IF(COUNT(J412:O412)&lt;6,"",J412*5+K412*4+M412*4+L412*3+N412*2+O412*2)</x:f>
        <x:v>87</x:v>
      </x:c>
      <x:c r="R412" s="14" t="str">
        <x:v>high</x:v>
      </x:c>
      <x:c r="S412" s="14" t="str">
        <x:v>official_prozorro_award_2025_2026</x:v>
      </x:c>
      <x:c r="T412" s="14" t="str">
        <x:v>official_prozorro_api</x:v>
      </x:c>
      <x:c r="U412" s="14" t="str">
        <x:v>Не контактували</x:v>
      </x:c>
      <x:c r="V412" s="15" t="str">
        <x:v>Workflow-audit outreach по UA-2026-07-20-009480-a; попросити 1 пакет здачі та вимоги проєкту</x:v>
      </x:c>
      <x:c r="W412" s="15" t="str">
        <x:v>Власник / директор; керівник ПТО; відповідальний за договори</x:v>
      </x:c>
      <x:c r="X412" s="15" t="str">
        <x:v>1 підтверджених перемог/договорів у Prozorro на 455 649 грн; 1 проєктів зі строком виконання не раніше 24.08.2026.</x:v>
      </x:c>
      <x:c r="Y412" s="15" t="str">
        <x:v>Виготовлення проєктної документації по об’єкту: «Реконструкція електропостачання водопровідної насосної станції ІІІ-го підйому «Магала» із прокладкою високовольтної кабельної лінії КЛ 6 кВ за адресою: м. Чернівці, вул. Кобзарська, 2».; строк до 2026-11-05. Попросити один знеособлений пакет здачі за цим workflow.</x:v>
      </x:c>
      <x:c r="Z412" s="15" t="str">
        <x:v>https://prozorro.gov.ua/tender/UA-2026-07-20-009480-a</x:v>
      </x:c>
      <x:c r="AA412" s="14" t="str">
        <x:v>45389868</x:v>
      </x:c>
      <x:c r="AB412" s="14" t="str">
        <x:v>2026-08-24</x:v>
      </x:c>
      <x:c r="AC412" s="14" t="str"/>
      <x:c r="AD412" s="20" t="str"/>
      <x:c r="AE412" s="14" t="str"/>
      <x:c r="AF412" s="14" t="n">
        <x:v>56</x:v>
      </x:c>
      <x:c r="AG412" s="14" t="str">
        <x:v>I3</x:v>
      </x:c>
      <x:c r="AH412" s="14" t="n">
        <x:v>1</x:v>
      </x:c>
      <x:c r="AI412" s="14" t="n">
        <x:v>1</x:v>
      </x:c>
      <x:c r="AJ412" s="18" t="n">
        <x:v>455649</x:v>
      </x:c>
      <x:c r="AK412" s="14" t="str">
        <x:v>https://prozorro.gov.ua/tender/UA-2026-07-20-009480-a</x:v>
      </x:c>
      <x:c r="AL412" s="19" t="n">
        <x:v>46223.55782042824</x:v>
      </x:c>
      <x:c r="AM412" s="19" t="n">
        <x:v>46331</x:v>
      </x:c>
      <x:c r="AN412" s="15" t="str">
        <x:v>Насосні станції</x:v>
      </x:c>
      <x:c r="AO412" s="15" t="str">
        <x:v>not_found_in_top_search</x:v>
      </x:c>
    </x:row>
    <x:row r="413">
      <x:c r="A413" s="14" t="str">
        <x:v>W3-141</x:v>
      </x:c>
      <x:c r="B413" s="14" t="str">
        <x:v>Prozorro winners — 24.08</x:v>
      </x:c>
      <x:c r="C413" s="14" t="str">
        <x:v>ТОВ "ФАЛЬКОН-М"</x:v>
      </x:c>
      <x:c r="D413" s="14" t="str">
        <x:v>Електромонтаж</x:v>
      </x:c>
      <x:c r="E413" s="14" t="str">
        <x:v>Pilot now</x:v>
      </x:c>
      <x:c r="F413" s="17" t="str">
        <x:f>IF(E413="Pilot now",IF(P413&gt;=84,"P1",IF(P413&gt;=72,"P2","P3")),IF(E413="Expansion discovery",IF(Q413&gt;=88,"D1",IF(Q413&gt;=78,"D2","D3")),IF(E413="Later / requirements","L","Legacy")))</x:f>
        <x:v>P1</x:v>
      </x:c>
      <x:c r="G413" s="14" t="str">
        <x:v>falcon.net.ua</x:v>
      </x:c>
      <x:c r="H413" s="14" t="str">
        <x:v>Пілот зараз — Н.15</x:v>
      </x:c>
      <x:c r="I413" s="16" t="n">
        <x:v>5</x:v>
      </x:c>
      <x:c r="J413" s="16" t="n">
        <x:v>5</x:v>
      </x:c>
      <x:c r="K413" s="16" t="n">
        <x:v>5</x:v>
      </x:c>
      <x:c r="L413" s="16" t="n">
        <x:v>2</x:v>
      </x:c>
      <x:c r="M413" s="16" t="n">
        <x:v>5</x:v>
      </x:c>
      <x:c r="N413" s="16" t="n">
        <x:v>5</x:v>
      </x:c>
      <x:c r="O413" s="16" t="n">
        <x:v>5</x:v>
      </x:c>
      <x:c r="P413" s="16" t="n">
        <x:f>IF(COUNT(I413:O413)&lt;7,"",I413*8+J413*3+K413*2+L413*2+M413*2+N413*2+O413)</x:f>
        <x:v>94</x:v>
      </x:c>
      <x:c r="Q413" s="16" t="n">
        <x:f>IF(COUNT(J413:O413)&lt;6,"",J413*5+K413*4+M413*4+L413*3+N413*2+O413*2)</x:f>
        <x:v>91</x:v>
      </x:c>
      <x:c r="R413" s="14" t="str">
        <x:v>high</x:v>
      </x:c>
      <x:c r="S413" s="14" t="str">
        <x:v>official_prozorro_award_2025_2026</x:v>
      </x:c>
      <x:c r="T413" s="14" t="str">
        <x:v>official_prozorro_api</x:v>
      </x:c>
      <x:c r="U413" s="14" t="str">
        <x:v>Не контактували</x:v>
      </x:c>
      <x:c r="V413" s="15" t="str">
        <x:v>Персоналізований free-pilot outreach по UA-2026-08-03-005283-a; попросити 1 пакет Н.14/Н.15</x:v>
      </x:c>
      <x:c r="W413" s="15" t="str">
        <x:v>Власник / директор; керівник ПТО; відповідальний за договори</x:v>
      </x:c>
      <x:c r="X413" s="15" t="str">
        <x:v>1 підтверджених перемог/договорів у Prozorro на 399 131 грн; 1 проєктів зі строком виконання не раніше 24.08.2026.</x:v>
      </x:c>
      <x:c r="Y413" s="15" t="str">
        <x:v>Електромонтажні роботи  ; строк до 2026-08-30. Попросити один знеособлений пакет здачі за цим workflow.</x:v>
      </x:c>
      <x:c r="Z413" s="15" t="str">
        <x:v>https://prozorro.gov.ua/tender/UA-2026-08-03-005283-a</x:v>
      </x:c>
      <x:c r="AA413" s="14" t="str">
        <x:v>40772555</x:v>
      </x:c>
      <x:c r="AB413" s="14" t="str">
        <x:v>2026-08-24</x:v>
      </x:c>
      <x:c r="AC413" s="14" t="str"/>
      <x:c r="AD413" s="20" t="str"/>
      <x:c r="AE413" s="14" t="str"/>
      <x:c r="AF413" s="14" t="n">
        <x:v>56</x:v>
      </x:c>
      <x:c r="AG413" s="14" t="str">
        <x:v>I3</x:v>
      </x:c>
      <x:c r="AH413" s="14" t="n">
        <x:v>1</x:v>
      </x:c>
      <x:c r="AI413" s="14" t="n">
        <x:v>1</x:v>
      </x:c>
      <x:c r="AJ413" s="18" t="n">
        <x:v>399130.57</x:v>
      </x:c>
      <x:c r="AK413" s="14" t="str">
        <x:v>https://prozorro.gov.ua/tender/UA-2026-08-03-005283-a</x:v>
      </x:c>
      <x:c r="AL413" s="19" t="n">
        <x:v>46247.34792717593</x:v>
      </x:c>
      <x:c r="AM413" s="19" t="n">
        <x:v>46264</x:v>
      </x:c>
      <x:c r="AN413" s="15" t="str">
        <x:v>Електромонтаж</x:v>
      </x:c>
      <x:c r="AO413" s="15" t="str">
        <x:v>supplier_provided_url</x:v>
      </x:c>
    </x:row>
    <x:row r="414">
      <x:c r="A414" s="14" t="str">
        <x:v>W3-142</x:v>
      </x:c>
      <x:c r="B414" s="14" t="str">
        <x:v>Prozorro winners — 24.08</x:v>
      </x:c>
      <x:c r="C414" s="14" t="str">
        <x:v>ТОВ "ІНЖИНІРИНГ ПОРТ СЕРВІС"</x:v>
      </x:c>
      <x:c r="D414" s="14" t="str">
        <x:v>HVAC / ОВіК</x:v>
      </x:c>
      <x:c r="E414" s="14" t="str">
        <x:v>Pilot now</x:v>
      </x:c>
      <x:c r="F414" s="17" t="str">
        <x:f>IF(E414="Pilot now",IF(P414&gt;=84,"P1",IF(P414&gt;=72,"P2","P3")),IF(E414="Expansion discovery",IF(Q414&gt;=88,"D1",IF(Q414&gt;=78,"D2","D3")),IF(E414="Later / requirements","L","Legacy")))</x:f>
        <x:v>P1</x:v>
      </x:c>
      <x:c r="G414" s="14" t="str"/>
      <x:c r="H414" s="14" t="str">
        <x:v>Пілот зараз — Н.14</x:v>
      </x:c>
      <x:c r="I414" s="16" t="n">
        <x:v>5</x:v>
      </x:c>
      <x:c r="J414" s="16" t="n">
        <x:v>5</x:v>
      </x:c>
      <x:c r="K414" s="16" t="n">
        <x:v>5</x:v>
      </x:c>
      <x:c r="L414" s="16" t="n">
        <x:v>2</x:v>
      </x:c>
      <x:c r="M414" s="16" t="n">
        <x:v>5</x:v>
      </x:c>
      <x:c r="N414" s="16" t="n">
        <x:v>5</x:v>
      </x:c>
      <x:c r="O414" s="16" t="n">
        <x:v>5</x:v>
      </x:c>
      <x:c r="P414" s="16" t="n">
        <x:f>IF(COUNT(I414:O414)&lt;7,"",I414*8+J414*3+K414*2+L414*2+M414*2+N414*2+O414)</x:f>
        <x:v>94</x:v>
      </x:c>
      <x:c r="Q414" s="16" t="n">
        <x:f>IF(COUNT(J414:O414)&lt;6,"",J414*5+K414*4+M414*4+L414*3+N414*2+O414*2)</x:f>
        <x:v>91</x:v>
      </x:c>
      <x:c r="R414" s="14" t="str">
        <x:v>high</x:v>
      </x:c>
      <x:c r="S414" s="14" t="str">
        <x:v>official_prozorro_award_2025_2026</x:v>
      </x:c>
      <x:c r="T414" s="14" t="str">
        <x:v>official_prozorro_api</x:v>
      </x:c>
      <x:c r="U414" s="14" t="str">
        <x:v>Не контактували</x:v>
      </x:c>
      <x:c r="V414" s="15" t="str">
        <x:v>Персоналізований free-pilot outreach по UA-2026-07-27-004787-a; попросити 1 пакет Н.14/Н.15</x:v>
      </x:c>
      <x:c r="W414" s="15" t="str">
        <x:v>Власник / директор; керівник ПТО; відповідальний за договори</x:v>
      </x:c>
      <x:c r="X414" s="15" t="str">
        <x:v>1 підтверджених перемог/договорів у Prozorro на 393 225 грн; 1 проєктів зі строком виконання не раніше 24.08.2026.</x:v>
      </x:c>
      <x:c r="Y414" s="15" t="str">
        <x:v>"Послуги з проектування та монтажу системи автономного повітряного опалення на малі катери морської охорони проєкту «Metal Shark Defiant 38» (спецпризначення)»"; строк до 2026-11-30. Попросити один знеособлений пакет здачі за цим workflow.</x:v>
      </x:c>
      <x:c r="Z414" s="15" t="str">
        <x:v>https://prozorro.gov.ua/tender/UA-2026-07-27-004787-a</x:v>
      </x:c>
      <x:c r="AA414" s="14" t="str">
        <x:v>38755441</x:v>
      </x:c>
      <x:c r="AB414" s="14" t="str">
        <x:v>2026-08-24</x:v>
      </x:c>
      <x:c r="AC414" s="14" t="str"/>
      <x:c r="AD414" s="20" t="str"/>
      <x:c r="AE414" s="14" t="str"/>
      <x:c r="AF414" s="14" t="n">
        <x:v>56</x:v>
      </x:c>
      <x:c r="AG414" s="14" t="str">
        <x:v>I3</x:v>
      </x:c>
      <x:c r="AH414" s="14" t="n">
        <x:v>1</x:v>
      </x:c>
      <x:c r="AI414" s="14" t="n">
        <x:v>1</x:v>
      </x:c>
      <x:c r="AJ414" s="18" t="n">
        <x:v>393225</x:v>
      </x:c>
      <x:c r="AK414" s="14" t="str">
        <x:v>https://prozorro.gov.ua/tender/UA-2026-07-27-004787-a</x:v>
      </x:c>
      <x:c r="AL414" s="19" t="n">
        <x:v>46240.31860636574</x:v>
      </x:c>
      <x:c r="AM414" s="19" t="n">
        <x:v>46356</x:v>
      </x:c>
      <x:c r="AN414" s="15" t="str">
        <x:v>HVAC / ОВіК</x:v>
      </x:c>
      <x:c r="AO414" s="15" t="str">
        <x:v>not_found_in_top_search</x:v>
      </x:c>
    </x:row>
    <x:row r="415">
      <x:c r="A415" s="14" t="str">
        <x:v>W3-143</x:v>
      </x:c>
      <x:c r="B415" s="14" t="str">
        <x:v>Prozorro winners — 24.08</x:v>
      </x:c>
      <x:c r="C415" s="14" t="str">
        <x:v>ТОВАРИСТВО З ОБМЕЖЕНОЮ ВІДПОВІДАЛЬНІСТЮ "ФЕЛКІНС"</x:v>
      </x:c>
      <x:c r="D415" s="14" t="str">
        <x:v>Насосні станції</x:v>
      </x:c>
      <x:c r="E415" s="14" t="str">
        <x:v>Expansion discovery</x:v>
      </x:c>
      <x:c r="F415" s="17" t="str">
        <x:f>IF(E415="Pilot now",IF(P415&gt;=84,"P1",IF(P415&gt;=72,"P2","P3")),IF(E415="Expansion discovery",IF(Q415&gt;=88,"D1",IF(Q415&gt;=78,"D2","D3")),IF(E415="Later / requirements","L","Legacy")))</x:f>
        <x:v>D2</x:v>
      </x:c>
      <x:c r="G415" s="14" t="str"/>
      <x:c r="H415" s="14" t="str">
        <x:v>Discovery розширення — 2 тижні</x:v>
      </x:c>
      <x:c r="I415" s="16" t="n">
        <x:v>1</x:v>
      </x:c>
      <x:c r="J415" s="16" t="n">
        <x:v>5</x:v>
      </x:c>
      <x:c r="K415" s="16" t="n">
        <x:v>4</x:v>
      </x:c>
      <x:c r="L415" s="16" t="n">
        <x:v>2</x:v>
      </x:c>
      <x:c r="M415" s="16" t="n">
        <x:v>5</x:v>
      </x:c>
      <x:c r="N415" s="16" t="n">
        <x:v>5</x:v>
      </x:c>
      <x:c r="O415" s="16" t="n">
        <x:v>5</x:v>
      </x:c>
      <x:c r="P415" s="16" t="n">
        <x:f>IF(COUNT(I415:O415)&lt;7,"",I415*8+J415*3+K415*2+L415*2+M415*2+N415*2+O415)</x:f>
        <x:v>60</x:v>
      </x:c>
      <x:c r="Q415" s="16" t="n">
        <x:f>IF(COUNT(J415:O415)&lt;6,"",J415*5+K415*4+M415*4+L415*3+N415*2+O415*2)</x:f>
        <x:v>87</x:v>
      </x:c>
      <x:c r="R415" s="14" t="str">
        <x:v>high</x:v>
      </x:c>
      <x:c r="S415" s="14" t="str">
        <x:v>official_prozorro_award_2025_2026</x:v>
      </x:c>
      <x:c r="T415" s="14" t="str">
        <x:v>official_prozorro_api</x:v>
      </x:c>
      <x:c r="U415" s="14" t="str">
        <x:v>Не контактували</x:v>
      </x:c>
      <x:c r="V415" s="15" t="str">
        <x:v>Workflow-audit outreach по UA-2026-07-16-008704-a; попросити 1 пакет здачі та вимоги проєкту</x:v>
      </x:c>
      <x:c r="W415" s="15" t="str">
        <x:v>Власник / директор; керівник ПТО; відповідальний за договори</x:v>
      </x:c>
      <x:c r="X415" s="15" t="str">
        <x:v>1 підтверджених перемог/договорів у Prozorro на 299 707 грн; 1 проєктів зі строком виконання не раніше 24.08.2026.</x:v>
      </x:c>
      <x:c r="Y415" s="15" t="str">
        <x:v>Виготовлення проєктно-кошторисної документації по об'єкту благоустрою: "Реконструкція насосної станції в Наводницькому парку, пункту заправки і водопроводу технічної води в Печерському районі" Коригування 2 (за кодом ДК 021:2015, 71320000-7- Послуги з інженерного проектування)
; строк до 2026-09-01. Попросити один знеособлений пакет здачі за цим workflow.</x:v>
      </x:c>
      <x:c r="Z415" s="15" t="str">
        <x:v>https://prozorro.gov.ua/tender/UA-2026-07-16-008704-a</x:v>
      </x:c>
      <x:c r="AA415" s="14" t="str">
        <x:v>43828720</x:v>
      </x:c>
      <x:c r="AB415" s="14" t="str">
        <x:v>2026-08-24</x:v>
      </x:c>
      <x:c r="AC415" s="14" t="str"/>
      <x:c r="AD415" s="20" t="str"/>
      <x:c r="AE415" s="14" t="str"/>
      <x:c r="AF415" s="14" t="n">
        <x:v>56</x:v>
      </x:c>
      <x:c r="AG415" s="14" t="str">
        <x:v>I3</x:v>
      </x:c>
      <x:c r="AH415" s="14" t="n">
        <x:v>1</x:v>
      </x:c>
      <x:c r="AI415" s="14" t="n">
        <x:v>1</x:v>
      </x:c>
      <x:c r="AJ415" s="18" t="n">
        <x:v>299707.45</x:v>
      </x:c>
      <x:c r="AK415" s="14" t="str">
        <x:v>https://prozorro.gov.ua/tender/UA-2026-07-16-008704-a</x:v>
      </x:c>
      <x:c r="AL415" s="19" t="n">
        <x:v>46219.54142023148</x:v>
      </x:c>
      <x:c r="AM415" s="19" t="n">
        <x:v>46266</x:v>
      </x:c>
      <x:c r="AN415" s="15" t="str">
        <x:v>Насосні станції</x:v>
      </x:c>
      <x:c r="AO415" s="15" t="str">
        <x:v>not_found_in_top_search</x:v>
      </x:c>
    </x:row>
    <x:row r="416">
      <x:c r="A416" s="14" t="str">
        <x:v>W3-144</x:v>
      </x:c>
      <x:c r="B416" s="14" t="str">
        <x:v>Prozorro winners — 24.08</x:v>
      </x:c>
      <x:c r="C416" s="14" t="str">
        <x:v>ТОВ "ВІТЯЗЬ-КБ"</x:v>
      </x:c>
      <x:c r="D416" s="14" t="str">
        <x:v>Безпека / СКУД / CCTV</x:v>
      </x:c>
      <x:c r="E416" s="14" t="str">
        <x:v>Expansion discovery</x:v>
      </x:c>
      <x:c r="F416" s="17" t="str">
        <x:f>IF(E416="Pilot now",IF(P416&gt;=84,"P1",IF(P416&gt;=72,"P2","P3")),IF(E416="Expansion discovery",IF(Q416&gt;=88,"D1",IF(Q416&gt;=78,"D2","D3")),IF(E416="Later / requirements","L","Legacy")))</x:f>
        <x:v>D2</x:v>
      </x:c>
      <x:c r="G416" s="14" t="str"/>
      <x:c r="H416" s="14" t="str">
        <x:v>Discovery розширення — 2 тижні</x:v>
      </x:c>
      <x:c r="I416" s="16" t="n">
        <x:v>1</x:v>
      </x:c>
      <x:c r="J416" s="16" t="n">
        <x:v>5</x:v>
      </x:c>
      <x:c r="K416" s="16" t="n">
        <x:v>4</x:v>
      </x:c>
      <x:c r="L416" s="16" t="n">
        <x:v>2</x:v>
      </x:c>
      <x:c r="M416" s="16" t="n">
        <x:v>5</x:v>
      </x:c>
      <x:c r="N416" s="16" t="n">
        <x:v>5</x:v>
      </x:c>
      <x:c r="O416" s="16" t="n">
        <x:v>5</x:v>
      </x:c>
      <x:c r="P416" s="16" t="n">
        <x:f>IF(COUNT(I416:O416)&lt;7,"",I416*8+J416*3+K416*2+L416*2+M416*2+N416*2+O416)</x:f>
        <x:v>60</x:v>
      </x:c>
      <x:c r="Q416" s="16" t="n">
        <x:f>IF(COUNT(J416:O416)&lt;6,"",J416*5+K416*4+M416*4+L416*3+N416*2+O416*2)</x:f>
        <x:v>87</x:v>
      </x:c>
      <x:c r="R416" s="14" t="str">
        <x:v>high</x:v>
      </x:c>
      <x:c r="S416" s="14" t="str">
        <x:v>official_prozorro_award_2025_2026</x:v>
      </x:c>
      <x:c r="T416" s="14" t="str">
        <x:v>official_prozorro_api</x:v>
      </x:c>
      <x:c r="U416" s="14" t="str">
        <x:v>Не контактували</x:v>
      </x:c>
      <x:c r="V416" s="15" t="str">
        <x:v>Workflow-audit outreach по UA-2026-07-07-010998-a; попросити 1 пакет здачі та вимоги проєкту</x:v>
      </x:c>
      <x:c r="W416" s="15" t="str">
        <x:v>Власник / директор; керівник ПТО; відповідальний за договори</x:v>
      </x:c>
      <x:c r="X416" s="15" t="str">
        <x:v>1 підтверджених перемог/договорів у Prozorro на 291 607 грн; 1 проєктів зі строком виконання не раніше 24.08.2026.</x:v>
      </x:c>
      <x:c r="Y416" s="15" t="str">
        <x:v>Послуги з монтажу та введення в експлуатацію системи відеоспостереження; строк до 2026-09-30. Попросити один знеособлений пакет здачі за цим workflow.</x:v>
      </x:c>
      <x:c r="Z416" s="15" t="str">
        <x:v>https://prozorro.gov.ua/tender/UA-2026-07-07-010998-a</x:v>
      </x:c>
      <x:c r="AA416" s="14" t="str">
        <x:v>37961573</x:v>
      </x:c>
      <x:c r="AB416" s="14" t="str">
        <x:v>2026-08-24</x:v>
      </x:c>
      <x:c r="AC416" s="14" t="str"/>
      <x:c r="AD416" s="20" t="str"/>
      <x:c r="AE416" s="14" t="str"/>
      <x:c r="AF416" s="14" t="n">
        <x:v>56</x:v>
      </x:c>
      <x:c r="AG416" s="14" t="str">
        <x:v>I3</x:v>
      </x:c>
      <x:c r="AH416" s="14" t="n">
        <x:v>1</x:v>
      </x:c>
      <x:c r="AI416" s="14" t="n">
        <x:v>1</x:v>
      </x:c>
      <x:c r="AJ416" s="18" t="n">
        <x:v>291606.65</x:v>
      </x:c>
      <x:c r="AK416" s="14" t="str">
        <x:v>https://prozorro.gov.ua/tender/UA-2026-07-07-010998-a</x:v>
      </x:c>
      <x:c r="AL416" s="19" t="n">
        <x:v>46220.40103577546</x:v>
      </x:c>
      <x:c r="AM416" s="19" t="n">
        <x:v>46295</x:v>
      </x:c>
      <x:c r="AN416" s="15" t="str">
        <x:v>Безпека / СКУД / CCTV</x:v>
      </x:c>
      <x:c r="AO416" s="15" t="str">
        <x:v>not_found_in_top_search</x:v>
      </x:c>
    </x:row>
    <x:row r="417">
      <x:c r="A417" s="14" t="str">
        <x:v>W3-145</x:v>
      </x:c>
      <x:c r="B417" s="14" t="str">
        <x:v>Prozorro winners — 24.08</x:v>
      </x:c>
      <x:c r="C417" s="14" t="str">
        <x:v>ТОВ НЕКСОРА ТЕХ</x:v>
      </x:c>
      <x:c r="D417" s="14" t="str">
        <x:v>Промисловий холод</x:v>
      </x:c>
      <x:c r="E417" s="14" t="str">
        <x:v>Expansion discovery</x:v>
      </x:c>
      <x:c r="F417" s="17" t="str">
        <x:f>IF(E417="Pilot now",IF(P417&gt;=84,"P1",IF(P417&gt;=72,"P2","P3")),IF(E417="Expansion discovery",IF(Q417&gt;=88,"D1",IF(Q417&gt;=78,"D2","D3")),IF(E417="Later / requirements","L","Legacy")))</x:f>
        <x:v>D2</x:v>
      </x:c>
      <x:c r="G417" s="14" t="str"/>
      <x:c r="H417" s="14" t="str">
        <x:v>Discovery розширення — 2 тижні</x:v>
      </x:c>
      <x:c r="I417" s="16" t="n">
        <x:v>1</x:v>
      </x:c>
      <x:c r="J417" s="16" t="n">
        <x:v>5</x:v>
      </x:c>
      <x:c r="K417" s="16" t="n">
        <x:v>4</x:v>
      </x:c>
      <x:c r="L417" s="16" t="n">
        <x:v>2</x:v>
      </x:c>
      <x:c r="M417" s="16" t="n">
        <x:v>5</x:v>
      </x:c>
      <x:c r="N417" s="16" t="n">
        <x:v>5</x:v>
      </x:c>
      <x:c r="O417" s="16" t="n">
        <x:v>5</x:v>
      </x:c>
      <x:c r="P417" s="16" t="n">
        <x:f>IF(COUNT(I417:O417)&lt;7,"",I417*8+J417*3+K417*2+L417*2+M417*2+N417*2+O417)</x:f>
        <x:v>60</x:v>
      </x:c>
      <x:c r="Q417" s="16" t="n">
        <x:f>IF(COUNT(J417:O417)&lt;6,"",J417*5+K417*4+M417*4+L417*3+N417*2+O417*2)</x:f>
        <x:v>87</x:v>
      </x:c>
      <x:c r="R417" s="14" t="str">
        <x:v>high</x:v>
      </x:c>
      <x:c r="S417" s="14" t="str">
        <x:v>official_prozorro_award_2025_2026</x:v>
      </x:c>
      <x:c r="T417" s="14" t="str">
        <x:v>official_prozorro_api</x:v>
      </x:c>
      <x:c r="U417" s="14" t="str">
        <x:v>Не контактували</x:v>
      </x:c>
      <x:c r="V417" s="15" t="str">
        <x:v>Workflow-audit outreach по UA-2026-07-09-002223-a; попросити 1 пакет здачі та вимоги проєкту</x:v>
      </x:c>
      <x:c r="W417" s="15" t="str">
        <x:v>Власник / директор; керівник ПТО; відповідальний за договори</x:v>
      </x:c>
      <x:c r="X417" s="15" t="str">
        <x:v>1 підтверджених перемог/договорів у Prozorro на 228 960 грн; 1 проєктів зі строком виконання не раніше 24.08.2026.</x:v>
      </x:c>
      <x:c r="Y417" s="15" t="str">
        <x:v>Кондиціонери (з монтажем) – код за ЄЗС ДК 021:2015 42510000-4 Теплообмінники, кондиціонери повітря, холодильне обладнання та фільтрувальні пристрої; строк до 2026-08-31. Попросити один знеособлений пакет здачі за цим workflow.</x:v>
      </x:c>
      <x:c r="Z417" s="15" t="str">
        <x:v>https://prozorro.gov.ua/tender/UA-2026-07-09-002223-a</x:v>
      </x:c>
      <x:c r="AA417" s="14" t="str">
        <x:v>45851285</x:v>
      </x:c>
      <x:c r="AB417" s="14" t="str">
        <x:v>2026-08-24</x:v>
      </x:c>
      <x:c r="AC417" s="14" t="str"/>
      <x:c r="AD417" s="20" t="str"/>
      <x:c r="AE417" s="14" t="str"/>
      <x:c r="AF417" s="14" t="n">
        <x:v>56</x:v>
      </x:c>
      <x:c r="AG417" s="14" t="str">
        <x:v>I3</x:v>
      </x:c>
      <x:c r="AH417" s="14" t="n">
        <x:v>1</x:v>
      </x:c>
      <x:c r="AI417" s="14" t="n">
        <x:v>1</x:v>
      </x:c>
      <x:c r="AJ417" s="18" t="n">
        <x:v>228960</x:v>
      </x:c>
      <x:c r="AK417" s="14" t="str">
        <x:v>https://prozorro.gov.ua/tender/UA-2026-07-09-002223-a</x:v>
      </x:c>
      <x:c r="AL417" s="19" t="n">
        <x:v>46224.580835127315</x:v>
      </x:c>
      <x:c r="AM417" s="19" t="n">
        <x:v>46265</x:v>
      </x:c>
      <x:c r="AN417" s="15" t="str">
        <x:v>Промисловий холод</x:v>
      </x:c>
      <x:c r="AO417" s="15" t="str">
        <x:v>not_found_in_top_search</x:v>
      </x:c>
    </x:row>
    <x:row r="418">
      <x:c r="A418" s="14" t="str">
        <x:v>W3-146</x:v>
      </x:c>
      <x:c r="B418" s="14" t="str">
        <x:v>Prozorro winners — 24.08</x:v>
      </x:c>
      <x:c r="C418" s="14" t="str">
        <x:v>ПРИВАТНЕ ПІДПРИЄМСТВО «МВМ Шляхбуд»</x:v>
      </x:c>
      <x:c r="D418" s="14" t="str">
        <x:v>Мости / інфраструктура</x:v>
      </x:c>
      <x:c r="E418" s="14" t="str">
        <x:v>Expansion discovery</x:v>
      </x:c>
      <x:c r="F418" s="17" t="str">
        <x:f>IF(E418="Pilot now",IF(P418&gt;=84,"P1",IF(P418&gt;=72,"P2","P3")),IF(E418="Expansion discovery",IF(Q418&gt;=88,"D1",IF(Q418&gt;=78,"D2","D3")),IF(E418="Later / requirements","L","Legacy")))</x:f>
        <x:v>D2</x:v>
      </x:c>
      <x:c r="G418" s="14" t="str"/>
      <x:c r="H418" s="14" t="str">
        <x:v>Discovery розширення — 2 тижні</x:v>
      </x:c>
      <x:c r="I418" s="16" t="n">
        <x:v>1</x:v>
      </x:c>
      <x:c r="J418" s="16" t="n">
        <x:v>5</x:v>
      </x:c>
      <x:c r="K418" s="16" t="n">
        <x:v>4</x:v>
      </x:c>
      <x:c r="L418" s="16" t="n">
        <x:v>2</x:v>
      </x:c>
      <x:c r="M418" s="16" t="n">
        <x:v>5</x:v>
      </x:c>
      <x:c r="N418" s="16" t="n">
        <x:v>5</x:v>
      </x:c>
      <x:c r="O418" s="16" t="n">
        <x:v>5</x:v>
      </x:c>
      <x:c r="P418" s="16" t="n">
        <x:f>IF(COUNT(I418:O418)&lt;7,"",I418*8+J418*3+K418*2+L418*2+M418*2+N418*2+O418)</x:f>
        <x:v>60</x:v>
      </x:c>
      <x:c r="Q418" s="16" t="n">
        <x:f>IF(COUNT(J418:O418)&lt;6,"",J418*5+K418*4+M418*4+L418*3+N418*2+O418*2)</x:f>
        <x:v>87</x:v>
      </x:c>
      <x:c r="R418" s="14" t="str">
        <x:v>high</x:v>
      </x:c>
      <x:c r="S418" s="14" t="str">
        <x:v>official_prozorro_award_2025_2026</x:v>
      </x:c>
      <x:c r="T418" s="14" t="str">
        <x:v>official_prozorro_api</x:v>
      </x:c>
      <x:c r="U418" s="14" t="str">
        <x:v>Не контактували</x:v>
      </x:c>
      <x:c r="V418" s="15" t="str">
        <x:v>Workflow-audit outreach по UA-2026-07-27-000913-a; попросити 1 пакет здачі та вимоги проєкту</x:v>
      </x:c>
      <x:c r="W418" s="15" t="str">
        <x:v>Власник / директор; керівник ПТО; відповідальний за договори</x:v>
      </x:c>
      <x:c r="X418" s="15" t="str">
        <x:v>1 підтверджених перемог/договорів у Prozorro на 199 942 грн; 1 проєктів зі строком виконання не раніше 24.08.2026.</x:v>
      </x:c>
      <x:c r="Y418" s="15" t="str">
        <x:v>Поточний ремонт пішохідної доріжки в районі пішохідного мосту через річку Устю в м.Рівному; строк до 2026-12-20. Попросити один знеособлений пакет здачі за цим workflow.</x:v>
      </x:c>
      <x:c r="Z418" s="15" t="str">
        <x:v>https://prozorro.gov.ua/tender/UA-2026-07-27-000913-a</x:v>
      </x:c>
      <x:c r="AA418" s="14" t="str">
        <x:v>38402090</x:v>
      </x:c>
      <x:c r="AB418" s="14" t="str">
        <x:v>2026-08-24</x:v>
      </x:c>
      <x:c r="AC418" s="14" t="str"/>
      <x:c r="AD418" s="20" t="str"/>
      <x:c r="AE418" s="14" t="str"/>
      <x:c r="AF418" s="14" t="n">
        <x:v>56</x:v>
      </x:c>
      <x:c r="AG418" s="14" t="str">
        <x:v>I3</x:v>
      </x:c>
      <x:c r="AH418" s="14" t="n">
        <x:v>1</x:v>
      </x:c>
      <x:c r="AI418" s="14" t="n">
        <x:v>1</x:v>
      </x:c>
      <x:c r="AJ418" s="18" t="n">
        <x:v>199941.6</x:v>
      </x:c>
      <x:c r="AK418" s="14" t="str">
        <x:v>https://prozorro.gov.ua/tender/UA-2026-07-27-000913-a</x:v>
      </x:c>
      <x:c r="AL418" s="19" t="n">
        <x:v>46230.27637519676</x:v>
      </x:c>
      <x:c r="AM418" s="19" t="n">
        <x:v>46376</x:v>
      </x:c>
      <x:c r="AN418" s="15" t="str">
        <x:v>Мости / інфраструктура</x:v>
      </x:c>
      <x:c r="AO418" s="15" t="str">
        <x:v>not_found_in_top_search</x:v>
      </x:c>
    </x:row>
    <x:row r="419">
      <x:c r="A419" s="14" t="str">
        <x:v>W3-147</x:v>
      </x:c>
      <x:c r="B419" s="14" t="str">
        <x:v>Prozorro winners — 24.08</x:v>
      </x:c>
      <x:c r="C419" s="14" t="str">
        <x:v>Товариство з обмеженою відповідальністю "АВАКС ПРОФ"</x:v>
      </x:c>
      <x:c r="D419" s="14" t="str">
        <x:v>Мости / інфраструктура</x:v>
      </x:c>
      <x:c r="E419" s="14" t="str">
        <x:v>Expansion discovery</x:v>
      </x:c>
      <x:c r="F419" s="17" t="str">
        <x:f>IF(E419="Pilot now",IF(P419&gt;=84,"P1",IF(P419&gt;=72,"P2","P3")),IF(E419="Expansion discovery",IF(Q419&gt;=88,"D1",IF(Q419&gt;=78,"D2","D3")),IF(E419="Later / requirements","L","Legacy")))</x:f>
        <x:v>D2</x:v>
      </x:c>
      <x:c r="G419" s="14" t="str"/>
      <x:c r="H419" s="14" t="str">
        <x:v>Discovery розширення — 2 тижні</x:v>
      </x:c>
      <x:c r="I419" s="16" t="n">
        <x:v>1</x:v>
      </x:c>
      <x:c r="J419" s="16" t="n">
        <x:v>5</x:v>
      </x:c>
      <x:c r="K419" s="16" t="n">
        <x:v>4</x:v>
      </x:c>
      <x:c r="L419" s="16" t="n">
        <x:v>2</x:v>
      </x:c>
      <x:c r="M419" s="16" t="n">
        <x:v>5</x:v>
      </x:c>
      <x:c r="N419" s="16" t="n">
        <x:v>5</x:v>
      </x:c>
      <x:c r="O419" s="16" t="n">
        <x:v>5</x:v>
      </x:c>
      <x:c r="P419" s="16" t="n">
        <x:f>IF(COUNT(I419:O419)&lt;7,"",I419*8+J419*3+K419*2+L419*2+M419*2+N419*2+O419)</x:f>
        <x:v>60</x:v>
      </x:c>
      <x:c r="Q419" s="16" t="n">
        <x:f>IF(COUNT(J419:O419)&lt;6,"",J419*5+K419*4+M419*4+L419*3+N419*2+O419*2)</x:f>
        <x:v>87</x:v>
      </x:c>
      <x:c r="R419" s="14" t="str">
        <x:v>high</x:v>
      </x:c>
      <x:c r="S419" s="14" t="str">
        <x:v>official_prozorro_award_2025_2026</x:v>
      </x:c>
      <x:c r="T419" s="14" t="str">
        <x:v>official_prozorro_api</x:v>
      </x:c>
      <x:c r="U419" s="14" t="str">
        <x:v>Не контактували</x:v>
      </x:c>
      <x:c r="V419" s="15" t="str">
        <x:v>Workflow-audit outreach по UA-2026-08-12-010249-a; попросити 1 пакет здачі та вимоги проєкту</x:v>
      </x:c>
      <x:c r="W419" s="15" t="str">
        <x:v>Власник / директор; керівник ПТО; відповідальний за договори</x:v>
      </x:c>
      <x:c r="X419" s="15" t="str">
        <x:v>1 підтверджених перемог/договорів у Prozorro на 198 574 грн; 1 проєктів зі строком виконання не раніше 24.08.2026.</x:v>
      </x:c>
      <x:c r="Y419" s="15" t="str">
        <x:v>Поточний ремонт дорожнього полотна на підходах до мосту по вул. Енергетична в м. Шумськ Кременецького району Тернопільської області; строк до 2026-12-31. Попросити один знеособлений пакет здачі за цим workflow.</x:v>
      </x:c>
      <x:c r="Z419" s="15" t="str">
        <x:v>https://prozorro.gov.ua/tender/UA-2026-08-12-010249-a</x:v>
      </x:c>
      <x:c r="AA419" s="14" t="str">
        <x:v>37306789</x:v>
      </x:c>
      <x:c r="AB419" s="14" t="str">
        <x:v>2026-08-24</x:v>
      </x:c>
      <x:c r="AC419" s="14" t="str"/>
      <x:c r="AD419" s="20" t="str"/>
      <x:c r="AE419" s="14" t="str"/>
      <x:c r="AF419" s="14" t="n">
        <x:v>56</x:v>
      </x:c>
      <x:c r="AG419" s="14" t="str">
        <x:v>I3</x:v>
      </x:c>
      <x:c r="AH419" s="14" t="n">
        <x:v>1</x:v>
      </x:c>
      <x:c r="AI419" s="14" t="n">
        <x:v>1</x:v>
      </x:c>
      <x:c r="AJ419" s="18" t="n">
        <x:v>198574.46</x:v>
      </x:c>
      <x:c r="AK419" s="14" t="str">
        <x:v>https://prozorro.gov.ua/tender/UA-2026-08-12-010249-a</x:v>
      </x:c>
      <x:c r="AL419" s="19" t="n">
        <x:v>46246.54667043981</x:v>
      </x:c>
      <x:c r="AM419" s="19" t="n">
        <x:v>46387</x:v>
      </x:c>
      <x:c r="AN419" s="15" t="str">
        <x:v>Мости / інфраструктура</x:v>
      </x:c>
      <x:c r="AO419" s="15" t="str">
        <x:v>not_found_in_top_search</x:v>
      </x:c>
    </x:row>
    <x:row r="420">
      <x:c r="A420" s="14" t="str">
        <x:v>W3-148</x:v>
      </x:c>
      <x:c r="B420" s="14" t="str">
        <x:v>Prozorro winners — 24.08</x:v>
      </x:c>
      <x:c r="C420" s="14" t="str">
        <x:v>ТОВАРИСТВО З ОБМЕЖЕНОЮ ВІДПОВІДАЛЬНІСТЮ "ГЛОБАЛ ІНЖИНІРИНГ ПРОЕКТ"</x:v>
      </x:c>
      <x:c r="D420" s="14" t="str">
        <x:v>Теплові мережі</x:v>
      </x:c>
      <x:c r="E420" s="14" t="str">
        <x:v>Expansion discovery</x:v>
      </x:c>
      <x:c r="F420" s="17" t="str">
        <x:f>IF(E420="Pilot now",IF(P420&gt;=84,"P1",IF(P420&gt;=72,"P2","P3")),IF(E420="Expansion discovery",IF(Q420&gt;=88,"D1",IF(Q420&gt;=78,"D2","D3")),IF(E420="Later / requirements","L","Legacy")))</x:f>
        <x:v>D2</x:v>
      </x:c>
      <x:c r="G420" s="14" t="str"/>
      <x:c r="H420" s="14" t="str">
        <x:v>Discovery розширення — 2 тижні</x:v>
      </x:c>
      <x:c r="I420" s="16" t="n">
        <x:v>1</x:v>
      </x:c>
      <x:c r="J420" s="16" t="n">
        <x:v>5</x:v>
      </x:c>
      <x:c r="K420" s="16" t="n">
        <x:v>4</x:v>
      </x:c>
      <x:c r="L420" s="16" t="n">
        <x:v>2</x:v>
      </x:c>
      <x:c r="M420" s="16" t="n">
        <x:v>5</x:v>
      </x:c>
      <x:c r="N420" s="16" t="n">
        <x:v>5</x:v>
      </x:c>
      <x:c r="O420" s="16" t="n">
        <x:v>5</x:v>
      </x:c>
      <x:c r="P420" s="16" t="n">
        <x:f>IF(COUNT(I420:O420)&lt;7,"",I420*8+J420*3+K420*2+L420*2+M420*2+N420*2+O420)</x:f>
        <x:v>60</x:v>
      </x:c>
      <x:c r="Q420" s="16" t="n">
        <x:f>IF(COUNT(J420:O420)&lt;6,"",J420*5+K420*4+M420*4+L420*3+N420*2+O420*2)</x:f>
        <x:v>87</x:v>
      </x:c>
      <x:c r="R420" s="14" t="str">
        <x:v>high</x:v>
      </x:c>
      <x:c r="S420" s="14" t="str">
        <x:v>official_prozorro_award_2025_2026</x:v>
      </x:c>
      <x:c r="T420" s="14" t="str">
        <x:v>official_prozorro_api</x:v>
      </x:c>
      <x:c r="U420" s="14" t="str">
        <x:v>Не контактували</x:v>
      </x:c>
      <x:c r="V420" s="15" t="str">
        <x:v>Workflow-audit outreach по UA-2026-07-17-002969-a; попросити 1 пакет здачі та вимоги проєкту</x:v>
      </x:c>
      <x:c r="W420" s="15" t="str">
        <x:v>Власник / директор; керівник ПТО; відповідальний за договори</x:v>
      </x:c>
      <x:c r="X420" s="15" t="str">
        <x:v>1 підтверджених перемог/договорів у Prozorro на 148 599 грн; 1 проєктів зі строком виконання не раніше 24.08.2026.</x:v>
      </x:c>
      <x:c r="Y420" s="15" t="str">
        <x:v>Коригування робочого проєкту «Реконструкція ділянки теплової мережі по Олександрівському проспекту від ТК12405 до ТК1025 у м. Одесі»; строк до 2026-09-01. Попросити один знеособлений пакет здачі за цим workflow.</x:v>
      </x:c>
      <x:c r="Z420" s="15" t="str">
        <x:v>https://prozorro.gov.ua/tender/UA-2026-07-17-002969-a</x:v>
      </x:c>
      <x:c r="AA420" s="14" t="str">
        <x:v>42275999</x:v>
      </x:c>
      <x:c r="AB420" s="14" t="str">
        <x:v>2026-08-24</x:v>
      </x:c>
      <x:c r="AC420" s="14" t="str"/>
      <x:c r="AD420" s="20" t="str"/>
      <x:c r="AE420" s="14" t="str"/>
      <x:c r="AF420" s="14" t="n">
        <x:v>56</x:v>
      </x:c>
      <x:c r="AG420" s="14" t="str">
        <x:v>I3</x:v>
      </x:c>
      <x:c r="AH420" s="14" t="n">
        <x:v>1</x:v>
      </x:c>
      <x:c r="AI420" s="14" t="n">
        <x:v>1</x:v>
      </x:c>
      <x:c r="AJ420" s="18" t="n">
        <x:v>148598.94</x:v>
      </x:c>
      <x:c r="AK420" s="14" t="str">
        <x:v>https://prozorro.gov.ua/tender/UA-2026-07-17-002969-a</x:v>
      </x:c>
      <x:c r="AL420" s="19" t="n">
        <x:v>46220.33891277778</x:v>
      </x:c>
      <x:c r="AM420" s="19" t="n">
        <x:v>46266</x:v>
      </x:c>
      <x:c r="AN420" s="15" t="str">
        <x:v>Теплові мережі</x:v>
      </x:c>
      <x:c r="AO420" s="15" t="str">
        <x:v>not_found_in_top_search</x:v>
      </x:c>
    </x:row>
    <x:row r="421">
      <x:c r="A421" s="14" t="str">
        <x:v>W3-149</x:v>
      </x:c>
      <x:c r="B421" s="14" t="str">
        <x:v>Prozorro winners — 24.08</x:v>
      </x:c>
      <x:c r="C421" s="14" t="str">
        <x:v>ФІЛІЯ ДЕРЖАВНОГО ПІДПРИЄМСТВА МІНІСТЕРСТВА ОБОРОНИ УКРАЇНИ "ЗАХІДВІЙСЬКБУД " 66 УПРАВЛІННЯ НАЧАЛЬНИКА РОБІТ"</x:v>
      </x:c>
      <x:c r="D421" s="14" t="str">
        <x:v>Зовнішні мережі</x:v>
      </x:c>
      <x:c r="E421" s="14" t="str">
        <x:v>Expansion discovery</x:v>
      </x:c>
      <x:c r="F421" s="17" t="str">
        <x:f>IF(E421="Pilot now",IF(P421&gt;=84,"P1",IF(P421&gt;=72,"P2","P3")),IF(E421="Expansion discovery",IF(Q421&gt;=88,"D1",IF(Q421&gt;=78,"D2","D3")),IF(E421="Later / requirements","L","Legacy")))</x:f>
        <x:v>D2</x:v>
      </x:c>
      <x:c r="G421" s="14" t="str"/>
      <x:c r="H421" s="14" t="str">
        <x:v>Discovery розширення — 2 тижні</x:v>
      </x:c>
      <x:c r="I421" s="16" t="n">
        <x:v>1</x:v>
      </x:c>
      <x:c r="J421" s="16" t="n">
        <x:v>5</x:v>
      </x:c>
      <x:c r="K421" s="16" t="n">
        <x:v>4</x:v>
      </x:c>
      <x:c r="L421" s="16" t="n">
        <x:v>2</x:v>
      </x:c>
      <x:c r="M421" s="16" t="n">
        <x:v>5</x:v>
      </x:c>
      <x:c r="N421" s="16" t="n">
        <x:v>5</x:v>
      </x:c>
      <x:c r="O421" s="16" t="n">
        <x:v>5</x:v>
      </x:c>
      <x:c r="P421" s="16" t="n">
        <x:f>IF(COUNT(I421:O421)&lt;7,"",I421*8+J421*3+K421*2+L421*2+M421*2+N421*2+O421)</x:f>
        <x:v>60</x:v>
      </x:c>
      <x:c r="Q421" s="16" t="n">
        <x:f>IF(COUNT(J421:O421)&lt;6,"",J421*5+K421*4+M421*4+L421*3+N421*2+O421*2)</x:f>
        <x:v>87</x:v>
      </x:c>
      <x:c r="R421" s="14" t="str">
        <x:v>high</x:v>
      </x:c>
      <x:c r="S421" s="14" t="str">
        <x:v>official_prozorro_award_2025_2026</x:v>
      </x:c>
      <x:c r="T421" s="14" t="str">
        <x:v>official_prozorro_api</x:v>
      </x:c>
      <x:c r="U421" s="14" t="str">
        <x:v>Не контактували</x:v>
      </x:c>
      <x:c r="V421" s="15" t="str">
        <x:v>Workflow-audit outreach по UA-2026-07-10-011405-a; попросити 1 пакет здачі та вимоги проєкту</x:v>
      </x:c>
      <x:c r="W421" s="15" t="str">
        <x:v>Власник / директор; керівник ПТО; відповідальний за договори</x:v>
      </x:c>
      <x:c r="X421" s="15" t="str">
        <x:v>1 підтверджених перемог/договорів у Prozorro на 147 835 грн; 1 проєктів зі строком виконання не раніше 24.08.2026.</x:v>
      </x:c>
      <x:c r="Y421" s="15" t="str">
        <x:v>Виконання робіт на здійснення технічного нагляду за виконанням робіт
на об’єкті “Нове будівництво зовнішніх інженерних мереж електропостачання
військового містечка №50, село Мала Любаша, Рівненська область” (І черга).; строк до 2026-12-31. Попросити один знеособлений пакет здачі за цим workflow.</x:v>
      </x:c>
      <x:c r="Z421" s="15" t="str">
        <x:v>https://prozorro.gov.ua/tender/UA-2026-07-10-011405-a</x:v>
      </x:c>
      <x:c r="AA421" s="14" t="str">
        <x:v>24971671</x:v>
      </x:c>
      <x:c r="AB421" s="14" t="str">
        <x:v>2026-08-24</x:v>
      </x:c>
      <x:c r="AC421" s="14" t="str"/>
      <x:c r="AD421" s="20" t="str"/>
      <x:c r="AE421" s="14" t="str"/>
      <x:c r="AF421" s="14" t="n">
        <x:v>56</x:v>
      </x:c>
      <x:c r="AG421" s="14" t="str">
        <x:v>I3</x:v>
      </x:c>
      <x:c r="AH421" s="14" t="n">
        <x:v>1</x:v>
      </x:c>
      <x:c r="AI421" s="14" t="n">
        <x:v>1</x:v>
      </x:c>
      <x:c r="AJ421" s="18" t="n">
        <x:v>147835.45</x:v>
      </x:c>
      <x:c r="AK421" s="14" t="str">
        <x:v>https://prozorro.gov.ua/tender/UA-2026-07-10-011405-a</x:v>
      </x:c>
      <x:c r="AL421" s="19" t="n">
        <x:v>46213.80929887731</x:v>
      </x:c>
      <x:c r="AM421" s="19" t="n">
        <x:v>46387</x:v>
      </x:c>
      <x:c r="AN421" s="15" t="str">
        <x:v>Зовнішні мережі</x:v>
      </x:c>
      <x:c r="AO421" s="15" t="str">
        <x:v>not_found_in_top_search</x:v>
      </x:c>
    </x:row>
    <x:row r="422">
      <x:c r="A422" s="14" t="str">
        <x:v>W3-150</x:v>
      </x:c>
      <x:c r="B422" s="14" t="str">
        <x:v>Prozorro winners — 24.08</x:v>
      </x:c>
      <x:c r="C422" s="14" t="str">
        <x:v>Товариство з обмеженою відповідальністю "СІТІІНЖЕНІРІНГ"</x:v>
      </x:c>
      <x:c r="D422" s="14" t="str">
        <x:v>Насосні станції</x:v>
      </x:c>
      <x:c r="E422" s="14" t="str">
        <x:v>Expansion discovery</x:v>
      </x:c>
      <x:c r="F422" s="17" t="str">
        <x:f>IF(E422="Pilot now",IF(P422&gt;=84,"P1",IF(P422&gt;=72,"P2","P3")),IF(E422="Expansion discovery",IF(Q422&gt;=88,"D1",IF(Q422&gt;=78,"D2","D3")),IF(E422="Later / requirements","L","Legacy")))</x:f>
        <x:v>D2</x:v>
      </x:c>
      <x:c r="G422" s="14" t="str"/>
      <x:c r="H422" s="14" t="str">
        <x:v>Discovery розширення — 2 тижні</x:v>
      </x:c>
      <x:c r="I422" s="16" t="n">
        <x:v>1</x:v>
      </x:c>
      <x:c r="J422" s="16" t="n">
        <x:v>5</x:v>
      </x:c>
      <x:c r="K422" s="16" t="n">
        <x:v>4</x:v>
      </x:c>
      <x:c r="L422" s="16" t="n">
        <x:v>2</x:v>
      </x:c>
      <x:c r="M422" s="16" t="n">
        <x:v>5</x:v>
      </x:c>
      <x:c r="N422" s="16" t="n">
        <x:v>5</x:v>
      </x:c>
      <x:c r="O422" s="16" t="n">
        <x:v>5</x:v>
      </x:c>
      <x:c r="P422" s="16" t="n">
        <x:f>IF(COUNT(I422:O422)&lt;7,"",I422*8+J422*3+K422*2+L422*2+M422*2+N422*2+O422)</x:f>
        <x:v>60</x:v>
      </x:c>
      <x:c r="Q422" s="16" t="n">
        <x:f>IF(COUNT(J422:O422)&lt;6,"",J422*5+K422*4+M422*4+L422*3+N422*2+O422*2)</x:f>
        <x:v>87</x:v>
      </x:c>
      <x:c r="R422" s="14" t="str">
        <x:v>high</x:v>
      </x:c>
      <x:c r="S422" s="14" t="str">
        <x:v>official_prozorro_award_2025_2026</x:v>
      </x:c>
      <x:c r="T422" s="14" t="str">
        <x:v>official_prozorro_api</x:v>
      </x:c>
      <x:c r="U422" s="14" t="str">
        <x:v>Не контактували</x:v>
      </x:c>
      <x:c r="V422" s="15" t="str">
        <x:v>Workflow-audit outreach по UA-2026-07-27-010950-a; попросити 1 пакет здачі та вимоги проєкту</x:v>
      </x:c>
      <x:c r="W422" s="15" t="str">
        <x:v>Власник / директор; керівник ПТО; відповідальний за договори</x:v>
      </x:c>
      <x:c r="X422" s="15" t="str">
        <x:v>1 підтверджених перемог/договорів у Prozorro на 125 556 грн; 1 проєктів зі строком виконання не раніше 24.08.2026.</x:v>
      </x:c>
      <x:c r="Y422" s="15" t="str">
        <x:v>Технічний нагляд за виконанням будівельних робіт по об’єкту: «Реконструкція каналізаційної насосної станції КНС-2 по вул. Романа Шухевича, 1а в м. Конотоп Сумської області (Коригування)» (за кодом ДК 021-2015(CPV): 71520000-9 – Послуги з нагляду за виконанням будівельних робіт); строк до 2026-11-30. Попросити один знеособлений пакет здачі за цим workflow.</x:v>
      </x:c>
      <x:c r="Z422" s="15" t="str">
        <x:v>https://prozorro.gov.ua/tender/UA-2026-07-27-010950-a</x:v>
      </x:c>
      <x:c r="AA422" s="14" t="str">
        <x:v>44220480</x:v>
      </x:c>
      <x:c r="AB422" s="14" t="str">
        <x:v>2026-08-24</x:v>
      </x:c>
      <x:c r="AC422" s="14" t="str"/>
      <x:c r="AD422" s="20" t="str"/>
      <x:c r="AE422" s="14" t="str"/>
      <x:c r="AF422" s="14" t="n">
        <x:v>56</x:v>
      </x:c>
      <x:c r="AG422" s="14" t="str">
        <x:v>I3</x:v>
      </x:c>
      <x:c r="AH422" s="14" t="n">
        <x:v>1</x:v>
      </x:c>
      <x:c r="AI422" s="14" t="n">
        <x:v>1</x:v>
      </x:c>
      <x:c r="AJ422" s="18" t="n">
        <x:v>125556.27</x:v>
      </x:c>
      <x:c r="AK422" s="14" t="str">
        <x:v>https://prozorro.gov.ua/tender/UA-2026-07-27-010950-a</x:v>
      </x:c>
      <x:c r="AL422" s="19" t="n">
        <x:v>46230.60918255787</x:v>
      </x:c>
      <x:c r="AM422" s="19" t="n">
        <x:v>46356.65076388889</x:v>
      </x:c>
      <x:c r="AN422" s="15" t="str">
        <x:v>Насосні станції</x:v>
      </x:c>
      <x:c r="AO422" s="15" t="str">
        <x:v>not_found_in_top_search</x:v>
      </x:c>
    </x:row>
    <x:row r="423">
      <x:c r="A423" s="14" t="str">
        <x:v>W3-151</x:v>
      </x:c>
      <x:c r="B423" s="14" t="str">
        <x:v>Prozorro winners — 24.08</x:v>
      </x:c>
      <x:c r="C423" s="14" t="str">
        <x:v>ТОВАРИСТВО З ОБМЕЖЕНОЮ ВІДПОВІДАЛЬНІСТЮ "ЕЛЕКТРОСЕРВІС-1"</x:v>
      </x:c>
      <x:c r="D423" s="14" t="str">
        <x:v>Електромонтаж</x:v>
      </x:c>
      <x:c r="E423" s="14" t="str">
        <x:v>Pilot now</x:v>
      </x:c>
      <x:c r="F423" s="17" t="str">
        <x:f>IF(E423="Pilot now",IF(P423&gt;=84,"P1",IF(P423&gt;=72,"P2","P3")),IF(E423="Expansion discovery",IF(Q423&gt;=88,"D1",IF(Q423&gt;=78,"D2","D3")),IF(E423="Later / requirements","L","Legacy")))</x:f>
        <x:v>P1</x:v>
      </x:c>
      <x:c r="G423" s="14" t="str"/>
      <x:c r="H423" s="14" t="str">
        <x:v>Пілот зараз — Н.15</x:v>
      </x:c>
      <x:c r="I423" s="16" t="n">
        <x:v>5</x:v>
      </x:c>
      <x:c r="J423" s="16" t="n">
        <x:v>5</x:v>
      </x:c>
      <x:c r="K423" s="16" t="n">
        <x:v>5</x:v>
      </x:c>
      <x:c r="L423" s="16" t="n">
        <x:v>2</x:v>
      </x:c>
      <x:c r="M423" s="16" t="n">
        <x:v>5</x:v>
      </x:c>
      <x:c r="N423" s="16" t="n">
        <x:v>5</x:v>
      </x:c>
      <x:c r="O423" s="16" t="n">
        <x:v>5</x:v>
      </x:c>
      <x:c r="P423" s="16" t="n">
        <x:f>IF(COUNT(I423:O423)&lt;7,"",I423*8+J423*3+K423*2+L423*2+M423*2+N423*2+O423)</x:f>
        <x:v>94</x:v>
      </x:c>
      <x:c r="Q423" s="16" t="n">
        <x:f>IF(COUNT(J423:O423)&lt;6,"",J423*5+K423*4+M423*4+L423*3+N423*2+O423*2)</x:f>
        <x:v>91</x:v>
      </x:c>
      <x:c r="R423" s="14" t="str">
        <x:v>high</x:v>
      </x:c>
      <x:c r="S423" s="14" t="str">
        <x:v>official_prozorro_award_2025_2026</x:v>
      </x:c>
      <x:c r="T423" s="14" t="str">
        <x:v>official_prozorro_api</x:v>
      </x:c>
      <x:c r="U423" s="14" t="str">
        <x:v>Не контактували</x:v>
      </x:c>
      <x:c r="V423" s="15" t="str">
        <x:v>Персоналізований free-pilot outreach по UA-2026-08-12-001005-a; попросити 1 пакет Н.14/Н.15</x:v>
      </x:c>
      <x:c r="W423" s="15" t="str">
        <x:v>Власник / директор; керівник ПТО; відповідальний за договори</x:v>
      </x:c>
      <x:c r="X423" s="15" t="str">
        <x:v>1 підтверджених перемог/договорів у Prozorro на 118 805 грн; 1 проєктів зі строком виконання не раніше 24.08.2026.</x:v>
      </x:c>
      <x:c r="Y423" s="15" t="str">
        <x:v> Електромонтажні роботи; строк до 2026-12-31. Попросити один знеособлений пакет здачі за цим workflow.</x:v>
      </x:c>
      <x:c r="Z423" s="15" t="str">
        <x:v>https://prozorro.gov.ua/tender/UA-2026-08-12-001005-a</x:v>
      </x:c>
      <x:c r="AA423" s="14" t="str">
        <x:v>30984149</x:v>
      </x:c>
      <x:c r="AB423" s="14" t="str">
        <x:v>2026-08-24</x:v>
      </x:c>
      <x:c r="AC423" s="14" t="str"/>
      <x:c r="AD423" s="20" t="str"/>
      <x:c r="AE423" s="14" t="str"/>
      <x:c r="AF423" s="14" t="n">
        <x:v>56</x:v>
      </x:c>
      <x:c r="AG423" s="14" t="str">
        <x:v>I3</x:v>
      </x:c>
      <x:c r="AH423" s="14" t="n">
        <x:v>1</x:v>
      </x:c>
      <x:c r="AI423" s="14" t="n">
        <x:v>1</x:v>
      </x:c>
      <x:c r="AJ423" s="18" t="n">
        <x:v>118805</x:v>
      </x:c>
      <x:c r="AK423" s="14" t="str">
        <x:v>https://prozorro.gov.ua/tender/UA-2026-08-12-001005-a</x:v>
      </x:c>
      <x:c r="AL423" s="19" t="n">
        <x:v>46246.274339641204</x:v>
      </x:c>
      <x:c r="AM423" s="19" t="n">
        <x:v>46387</x:v>
      </x:c>
      <x:c r="AN423" s="15" t="str">
        <x:v>Електромонтаж</x:v>
      </x:c>
      <x:c r="AO423" s="15" t="str">
        <x:v>not_found_in_top_search</x:v>
      </x:c>
    </x:row>
    <x:row r="424">
      <x:c r="A424" s="14" t="str">
        <x:v>W3-152</x:v>
      </x:c>
      <x:c r="B424" s="14" t="str">
        <x:v>Prozorro winners — 24.08</x:v>
      </x:c>
      <x:c r="C424" s="14" t="str">
        <x:v>ТОВАРИСТВО З ОБМЕЖЕНОЮ ВІДПОВІДАЛЬНІСТЮ "СОКІЛ ГАРД 2019"</x:v>
      </x:c>
      <x:c r="D424" s="14" t="str">
        <x:v>Безпека / СКУД / CCTV</x:v>
      </x:c>
      <x:c r="E424" s="14" t="str">
        <x:v>Expansion discovery</x:v>
      </x:c>
      <x:c r="F424" s="17" t="str">
        <x:f>IF(E424="Pilot now",IF(P424&gt;=84,"P1",IF(P424&gt;=72,"P2","P3")),IF(E424="Expansion discovery",IF(Q424&gt;=88,"D1",IF(Q424&gt;=78,"D2","D3")),IF(E424="Later / requirements","L","Legacy")))</x:f>
        <x:v>D2</x:v>
      </x:c>
      <x:c r="G424" s="14" t="str"/>
      <x:c r="H424" s="14" t="str">
        <x:v>Discovery розширення — 2 тижні</x:v>
      </x:c>
      <x:c r="I424" s="16" t="n">
        <x:v>1</x:v>
      </x:c>
      <x:c r="J424" s="16" t="n">
        <x:v>5</x:v>
      </x:c>
      <x:c r="K424" s="16" t="n">
        <x:v>4</x:v>
      </x:c>
      <x:c r="L424" s="16" t="n">
        <x:v>1</x:v>
      </x:c>
      <x:c r="M424" s="16" t="n">
        <x:v>5</x:v>
      </x:c>
      <x:c r="N424" s="16" t="n">
        <x:v>5</x:v>
      </x:c>
      <x:c r="O424" s="16" t="n">
        <x:v>5</x:v>
      </x:c>
      <x:c r="P424" s="16" t="n">
        <x:f>IF(COUNT(I424:O424)&lt;7,"",I424*8+J424*3+K424*2+L424*2+M424*2+N424*2+O424)</x:f>
        <x:v>58</x:v>
      </x:c>
      <x:c r="Q424" s="16" t="n">
        <x:f>IF(COUNT(J424:O424)&lt;6,"",J424*5+K424*4+M424*4+L424*3+N424*2+O424*2)</x:f>
        <x:v>84</x:v>
      </x:c>
      <x:c r="R424" s="14" t="str">
        <x:v>high</x:v>
      </x:c>
      <x:c r="S424" s="14" t="str">
        <x:v>official_prozorro_award_2025_2026</x:v>
      </x:c>
      <x:c r="T424" s="14" t="str">
        <x:v>official_prozorro_api</x:v>
      </x:c>
      <x:c r="U424" s="14" t="str">
        <x:v>Не контактували</x:v>
      </x:c>
      <x:c r="V424" s="15" t="str">
        <x:v>Workflow-audit outreach по UA-2026-05-06-001393-a; попросити 1 пакет здачі та вимоги проєкту</x:v>
      </x:c>
      <x:c r="W424" s="15" t="str">
        <x:v>Власник / директор; керівник ПТО; відповідальний за договори</x:v>
      </x:c>
      <x:c r="X424" s="15" t="str">
        <x:v>2 підтверджених перемог/договорів у Prozorro на 82 222 грн; 2 проєктів зі строком виконання не раніше 24.08.2026.</x:v>
      </x:c>
      <x:c r="Y424" s="15" t="str">
        <x:v>Послуги з монтажу та пусконалагоджувальних робіт по системі контролю доступом на об'єкті: Полтавська область, м. Кременчук, вул. Олексія Древаля, 35; строк до 2026-11-30. Попросити один знеособлений пакет здачі за цим workflow.</x:v>
      </x:c>
      <x:c r="Z424" s="15" t="str">
        <x:v>https://prozorro.gov.ua/tender/UA-2026-05-06-001393-a</x:v>
      </x:c>
      <x:c r="AA424" s="14" t="str">
        <x:v>43054824</x:v>
      </x:c>
      <x:c r="AB424" s="14" t="str">
        <x:v>2026-08-24</x:v>
      </x:c>
      <x:c r="AC424" s="14" t="str"/>
      <x:c r="AD424" s="20" t="str"/>
      <x:c r="AE424" s="14" t="str"/>
      <x:c r="AF424" s="14" t="n">
        <x:v>56</x:v>
      </x:c>
      <x:c r="AG424" s="14" t="str">
        <x:v>I3</x:v>
      </x:c>
      <x:c r="AH424" s="14" t="n">
        <x:v>2</x:v>
      </x:c>
      <x:c r="AI424" s="14" t="n">
        <x:v>2</x:v>
      </x:c>
      <x:c r="AJ424" s="18" t="n">
        <x:v>82222.26</x:v>
      </x:c>
      <x:c r="AK424" s="14" t="str">
        <x:v>https://prozorro.gov.ua/tender/UA-2026-05-06-001393-a</x:v>
      </x:c>
      <x:c r="AL424" s="19" t="n">
        <x:v>46148.28090574074</x:v>
      </x:c>
      <x:c r="AM424" s="19" t="n">
        <x:v>46356</x:v>
      </x:c>
      <x:c r="AN424" s="15" t="str">
        <x:v>Безпека / СКУД / CCTV</x:v>
      </x:c>
      <x:c r="AO424" s="15" t="str">
        <x:v>not_found_in_top_search</x:v>
      </x:c>
    </x:row>
    <x:row r="425">
      <x:c r="A425" s="14" t="str">
        <x:v>W3-153</x:v>
      </x:c>
      <x:c r="B425" s="14" t="str">
        <x:v>Prozorro winners — 24.08</x:v>
      </x:c>
      <x:c r="C425" s="14" t="str">
        <x:v>БАЛУЦЬКИЙ ВІТАЛІЙ МИРОСЛАВОВИЧ</x:v>
      </x:c>
      <x:c r="D425" s="14" t="str">
        <x:v>Водоочищення / очисні споруди</x:v>
      </x:c>
      <x:c r="E425" s="14" t="str">
        <x:v>Expansion discovery</x:v>
      </x:c>
      <x:c r="F425" s="17" t="str">
        <x:f>IF(E425="Pilot now",IF(P425&gt;=84,"P1",IF(P425&gt;=72,"P2","P3")),IF(E425="Expansion discovery",IF(Q425&gt;=88,"D1",IF(Q425&gt;=78,"D2","D3")),IF(E425="Later / requirements","L","Legacy")))</x:f>
        <x:v>D2</x:v>
      </x:c>
      <x:c r="G425" s="14" t="str"/>
      <x:c r="H425" s="14" t="str">
        <x:v>Discovery розширення — 2 тижні</x:v>
      </x:c>
      <x:c r="I425" s="16" t="n">
        <x:v>1</x:v>
      </x:c>
      <x:c r="J425" s="16" t="n">
        <x:v>5</x:v>
      </x:c>
      <x:c r="K425" s="16" t="n">
        <x:v>4</x:v>
      </x:c>
      <x:c r="L425" s="16" t="n">
        <x:v>1</x:v>
      </x:c>
      <x:c r="M425" s="16" t="n">
        <x:v>5</x:v>
      </x:c>
      <x:c r="N425" s="16" t="n">
        <x:v>3</x:v>
      </x:c>
      <x:c r="O425" s="16" t="n">
        <x:v>5</x:v>
      </x:c>
      <x:c r="P425" s="16" t="n">
        <x:f>IF(COUNT(I425:O425)&lt;7,"",I425*8+J425*3+K425*2+L425*2+M425*2+N425*2+O425)</x:f>
        <x:v>54</x:v>
      </x:c>
      <x:c r="Q425" s="16" t="n">
        <x:f>IF(COUNT(J425:O425)&lt;6,"",J425*5+K425*4+M425*4+L425*3+N425*2+O425*2)</x:f>
        <x:v>80</x:v>
      </x:c>
      <x:c r="R425" s="14" t="str">
        <x:v>high</x:v>
      </x:c>
      <x:c r="S425" s="14" t="str">
        <x:v>official_prozorro_award_2025_2026</x:v>
      </x:c>
      <x:c r="T425" s="14" t="str">
        <x:v>official_prozorro_api</x:v>
      </x:c>
      <x:c r="U425" s="14" t="str">
        <x:v>Не контактували</x:v>
      </x:c>
      <x:c r="V425" s="15" t="str">
        <x:v>Workflow-audit outreach по UA-2026-06-10-010425-a; попросити 1 пакет здачі та вимоги проєкту</x:v>
      </x:c>
      <x:c r="W425" s="15" t="str">
        <x:v>Власник / виконавець; відповідальний за договір</x:v>
      </x:c>
      <x:c r="X425" s="15" t="str">
        <x:v>2 підтверджених перемог/договорів у Prozorro на 37 380 грн; 2 проєктів зі строком виконання не раніше 24.08.2026.</x:v>
      </x:c>
      <x:c r="Y425" s="15" t="str">
        <x:v>Реконструкція каналЬаційної насосної станції в
смт. Шкло по вул.Богдана Слободи, 1 Новояворівська ТГ Яворівського району Львівської
області»; строк до 2026-12-31. Попросити один знеособлений пакет здачі за цим workflow.</x:v>
      </x:c>
      <x:c r="Z425" s="15" t="str">
        <x:v>https://prozorro.gov.ua/tender/UA-2026-06-10-010425-a</x:v>
      </x:c>
      <x:c r="AA425" s="14" t="str">
        <x:v>2833104892</x:v>
      </x:c>
      <x:c r="AB425" s="14" t="str">
        <x:v>2026-08-24</x:v>
      </x:c>
      <x:c r="AC425" s="14" t="str"/>
      <x:c r="AD425" s="20" t="str"/>
      <x:c r="AE425" s="14" t="str"/>
      <x:c r="AF425" s="14" t="n">
        <x:v>56</x:v>
      </x:c>
      <x:c r="AG425" s="14" t="str">
        <x:v>I3</x:v>
      </x:c>
      <x:c r="AH425" s="14" t="n">
        <x:v>2</x:v>
      </x:c>
      <x:c r="AI425" s="14" t="n">
        <x:v>2</x:v>
      </x:c>
      <x:c r="AJ425" s="18" t="n">
        <x:v>37380</x:v>
      </x:c>
      <x:c r="AK425" s="14" t="str">
        <x:v>https://prozorro.gov.ua/tender/UA-2026-06-10-010425-a</x:v>
      </x:c>
      <x:c r="AL425" s="19" t="n">
        <x:v>46183.525143969906</x:v>
      </x:c>
      <x:c r="AM425" s="19" t="n">
        <x:v>46387</x:v>
      </x:c>
      <x:c r="AN425" s="15" t="str">
        <x:v>Водоочищення / очисні споруди; Насосні станції</x:v>
      </x:c>
      <x:c r="AO425" s="15" t="str">
        <x:v>not_found_in_top_search</x:v>
      </x:c>
    </x:row>
    <x:row r="426">
      <x:c r="A426" s="14" t="str">
        <x:v>W3-154</x:v>
      </x:c>
      <x:c r="B426" s="14" t="str">
        <x:v>Prozorro winners — 24.08</x:v>
      </x:c>
      <x:c r="C426" s="14" t="str">
        <x:v>ФОП Копко Андрій Васильович</x:v>
      </x:c>
      <x:c r="D426" s="14" t="str">
        <x:v>Мости / інфраструктура</x:v>
      </x:c>
      <x:c r="E426" s="14" t="str">
        <x:v>Expansion discovery</x:v>
      </x:c>
      <x:c r="F426" s="17" t="str">
        <x:f>IF(E426="Pilot now",IF(P426&gt;=84,"P1",IF(P426&gt;=72,"P2","P3")),IF(E426="Expansion discovery",IF(Q426&gt;=88,"D1",IF(Q426&gt;=78,"D2","D3")),IF(E426="Later / requirements","L","Legacy")))</x:f>
        <x:v>D1</x:v>
      </x:c>
      <x:c r="G426" s="14" t="str"/>
      <x:c r="H426" s="14" t="str">
        <x:v>Discovery розширення — 2 тижні</x:v>
      </x:c>
      <x:c r="I426" s="16" t="n">
        <x:v>1</x:v>
      </x:c>
      <x:c r="J426" s="16" t="n">
        <x:v>5</x:v>
      </x:c>
      <x:c r="K426" s="16" t="n">
        <x:v>4</x:v>
      </x:c>
      <x:c r="L426" s="16" t="n">
        <x:v>4</x:v>
      </x:c>
      <x:c r="M426" s="16" t="n">
        <x:v>5</x:v>
      </x:c>
      <x:c r="N426" s="16" t="n">
        <x:v>3</x:v>
      </x:c>
      <x:c r="O426" s="16" t="n">
        <x:v>5</x:v>
      </x:c>
      <x:c r="P426" s="16" t="n">
        <x:f>IF(COUNT(I426:O426)&lt;7,"",I426*8+J426*3+K426*2+L426*2+M426*2+N426*2+O426)</x:f>
        <x:v>60</x:v>
      </x:c>
      <x:c r="Q426" s="16" t="n">
        <x:f>IF(COUNT(J426:O426)&lt;6,"",J426*5+K426*4+M426*4+L426*3+N426*2+O426*2)</x:f>
        <x:v>89</x:v>
      </x:c>
      <x:c r="R426" s="14" t="str">
        <x:v>high</x:v>
      </x:c>
      <x:c r="S426" s="14" t="str">
        <x:v>official_prozorro_award_2025_2026</x:v>
      </x:c>
      <x:c r="T426" s="14" t="str">
        <x:v>official_prozorro_api</x:v>
      </x:c>
      <x:c r="U426" s="14" t="str">
        <x:v>Не контактували</x:v>
      </x:c>
      <x:c r="V426" s="15" t="str">
        <x:v>Workflow-audit outreach по UA-2026-06-23-002988-a; попросити 1 пакет здачі та вимоги проєкту</x:v>
      </x:c>
      <x:c r="W426" s="15" t="str">
        <x:v>Власник / виконавець; відповідальний за договір</x:v>
      </x:c>
      <x:c r="X426" s="15" t="str">
        <x:v>1 підтверджених перемог/договорів у Prozorro на 2 596 716 грн; 1 проєктів зі строком виконання не раніше 24.08.2026.</x:v>
      </x:c>
      <x:c r="Y426" s="15" t="str">
        <x:v>Послуги з ремонту автобусів (послуги з ремонту портальних мостів ZF AV 132 II/80); строк до 2026-12-31. Попросити один знеособлений пакет здачі за цим workflow.</x:v>
      </x:c>
      <x:c r="Z426" s="15" t="str">
        <x:v>https://prozorro.gov.ua/tender/UA-2026-06-23-002988-a</x:v>
      </x:c>
      <x:c r="AA426" s="14" t="str">
        <x:v>3100916759</x:v>
      </x:c>
      <x:c r="AB426" s="14" t="str">
        <x:v>2026-08-24</x:v>
      </x:c>
      <x:c r="AC426" s="14" t="str"/>
      <x:c r="AD426" s="20" t="str"/>
      <x:c r="AE426" s="14" t="str"/>
      <x:c r="AF426" s="14" t="n">
        <x:v>55</x:v>
      </x:c>
      <x:c r="AG426" s="14" t="str">
        <x:v>I3</x:v>
      </x:c>
      <x:c r="AH426" s="14" t="n">
        <x:v>1</x:v>
      </x:c>
      <x:c r="AI426" s="14" t="n">
        <x:v>1</x:v>
      </x:c>
      <x:c r="AJ426" s="18" t="n">
        <x:v>2596716</x:v>
      </x:c>
      <x:c r="AK426" s="14" t="str">
        <x:v>https://prozorro.gov.ua/tender/UA-2026-06-23-002988-a</x:v>
      </x:c>
      <x:c r="AL426" s="19" t="n">
        <x:v>46209.25579451389</x:v>
      </x:c>
      <x:c r="AM426" s="19" t="n">
        <x:v>46387</x:v>
      </x:c>
      <x:c r="AN426" s="15" t="str">
        <x:v>Мости / інфраструктура</x:v>
      </x:c>
      <x:c r="AO426" s="15" t="str">
        <x:v>not_found_in_top_search</x:v>
      </x:c>
    </x:row>
    <x:row r="427">
      <x:c r="A427" s="14" t="str">
        <x:v>W3-155</x:v>
      </x:c>
      <x:c r="B427" s="14" t="str">
        <x:v>Prozorro winners — 24.08</x:v>
      </x:c>
      <x:c r="C427" s="14" t="str">
        <x:v>ТОВ "УКРВЕНТКЛІМАТ"</x:v>
      </x:c>
      <x:c r="D427" s="14" t="str">
        <x:v>Промисловий холод</x:v>
      </x:c>
      <x:c r="E427" s="14" t="str">
        <x:v>Expansion discovery</x:v>
      </x:c>
      <x:c r="F427" s="17" t="str">
        <x:f>IF(E427="Pilot now",IF(P427&gt;=84,"P1",IF(P427&gt;=72,"P2","P3")),IF(E427="Expansion discovery",IF(Q427&gt;=88,"D1",IF(Q427&gt;=78,"D2","D3")),IF(E427="Later / requirements","L","Legacy")))</x:f>
        <x:v>D1</x:v>
      </x:c>
      <x:c r="G427" s="14" t="str"/>
      <x:c r="H427" s="14" t="str">
        <x:v>Discovery розширення — 2 тижні</x:v>
      </x:c>
      <x:c r="I427" s="16" t="n">
        <x:v>1</x:v>
      </x:c>
      <x:c r="J427" s="16" t="n">
        <x:v>5</x:v>
      </x:c>
      <x:c r="K427" s="16" t="n">
        <x:v>4</x:v>
      </x:c>
      <x:c r="L427" s="16" t="n">
        <x:v>3</x:v>
      </x:c>
      <x:c r="M427" s="16" t="n">
        <x:v>5</x:v>
      </x:c>
      <x:c r="N427" s="16" t="n">
        <x:v>5</x:v>
      </x:c>
      <x:c r="O427" s="16" t="n">
        <x:v>5</x:v>
      </x:c>
      <x:c r="P427" s="16" t="n">
        <x:f>IF(COUNT(I427:O427)&lt;7,"",I427*8+J427*3+K427*2+L427*2+M427*2+N427*2+O427)</x:f>
        <x:v>62</x:v>
      </x:c>
      <x:c r="Q427" s="16" t="n">
        <x:f>IF(COUNT(J427:O427)&lt;6,"",J427*5+K427*4+M427*4+L427*3+N427*2+O427*2)</x:f>
        <x:v>90</x:v>
      </x:c>
      <x:c r="R427" s="14" t="str">
        <x:v>high</x:v>
      </x:c>
      <x:c r="S427" s="14" t="str">
        <x:v>official_prozorro_award_2025_2026</x:v>
      </x:c>
      <x:c r="T427" s="14" t="str">
        <x:v>official_prozorro_api</x:v>
      </x:c>
      <x:c r="U427" s="14" t="str">
        <x:v>Не контактували</x:v>
      </x:c>
      <x:c r="V427" s="15" t="str">
        <x:v>Workflow-audit outreach по UA-2026-07-03-005410-a; попросити 1 пакет здачі та вимоги проєкту</x:v>
      </x:c>
      <x:c r="W427" s="15" t="str">
        <x:v>Власник / директор; керівник ПТО; відповідальний за договори</x:v>
      </x:c>
      <x:c r="X427" s="15" t="str">
        <x:v>1 підтверджених перемог/договорів у Prozorro на 569 780 грн; 0 проєктів зі строком виконання не раніше 24.08.2026.</x:v>
      </x:c>
      <x:c r="Y427" s="15" t="str">
        <x:v>Кондиціонери інверторні: 9000 BTU, 12000, BTU18000, BTU24000 BTU з монтажем за кодом ДК 021:2015 42510000-4 Теплообмінники, кондиціонери повітря, холодильне обладнання та фільтрувальні пристрої; строк до 2026-07-31. Попросити один знеособлений пакет здачі за цим workflow.</x:v>
      </x:c>
      <x:c r="Z427" s="15" t="str">
        <x:v>https://prozorro.gov.ua/tender/UA-2026-07-03-005410-a</x:v>
      </x:c>
      <x:c r="AA427" s="14" t="str">
        <x:v>41988622</x:v>
      </x:c>
      <x:c r="AB427" s="14" t="str">
        <x:v>2026-08-24</x:v>
      </x:c>
      <x:c r="AC427" s="14" t="str"/>
      <x:c r="AD427" s="20" t="str"/>
      <x:c r="AE427" s="14" t="str"/>
      <x:c r="AF427" s="14" t="n">
        <x:v>55</x:v>
      </x:c>
      <x:c r="AG427" s="14" t="str">
        <x:v>I3</x:v>
      </x:c>
      <x:c r="AH427" s="14" t="n">
        <x:v>1</x:v>
      </x:c>
      <x:c r="AI427" s="14" t="n">
        <x:v>0</x:v>
      </x:c>
      <x:c r="AJ427" s="18" t="n">
        <x:v>569780</x:v>
      </x:c>
      <x:c r="AK427" s="14" t="str">
        <x:v>https://prozorro.gov.ua/tender/UA-2026-07-03-005410-a</x:v>
      </x:c>
      <x:c r="AL427" s="19" t="n">
        <x:v>46216.50708688657</x:v>
      </x:c>
      <x:c r="AM427" s="19" t="n">
        <x:v>46234</x:v>
      </x:c>
      <x:c r="AN427" s="15" t="str">
        <x:v>Промисловий холод</x:v>
      </x:c>
      <x:c r="AO427" s="15" t="str">
        <x:v>not_found_in_top_search</x:v>
      </x:c>
    </x:row>
    <x:row r="428">
      <x:c r="A428" s="14" t="str">
        <x:v>W3-156</x:v>
      </x:c>
      <x:c r="B428" s="14" t="str">
        <x:v>Prozorro winners — 24.08</x:v>
      </x:c>
      <x:c r="C428" s="14" t="str">
        <x:v>Товариство з обмеженою відповідальністю "Дніпропетровське спеціалізоване протипожежне підприємство"</x:v>
      </x:c>
      <x:c r="D428" s="14" t="str">
        <x:v>Газопостачання / котельні</x:v>
      </x:c>
      <x:c r="E428" s="14" t="str">
        <x:v>Expansion discovery</x:v>
      </x:c>
      <x:c r="F428" s="17" t="str">
        <x:f>IF(E428="Pilot now",IF(P428&gt;=84,"P1",IF(P428&gt;=72,"P2","P3")),IF(E428="Expansion discovery",IF(Q428&gt;=88,"D1",IF(Q428&gt;=78,"D2","D3")),IF(E428="Later / requirements","L","Legacy")))</x:f>
        <x:v>D2</x:v>
      </x:c>
      <x:c r="G428" s="14" t="str"/>
      <x:c r="H428" s="14" t="str">
        <x:v>Discovery розширення — 2 тижні</x:v>
      </x:c>
      <x:c r="I428" s="16" t="n">
        <x:v>1</x:v>
      </x:c>
      <x:c r="J428" s="16" t="n">
        <x:v>5</x:v>
      </x:c>
      <x:c r="K428" s="16" t="n">
        <x:v>4</x:v>
      </x:c>
      <x:c r="L428" s="16" t="n">
        <x:v>2</x:v>
      </x:c>
      <x:c r="M428" s="16" t="n">
        <x:v>5</x:v>
      </x:c>
      <x:c r="N428" s="16" t="n">
        <x:v>5</x:v>
      </x:c>
      <x:c r="O428" s="16" t="n">
        <x:v>5</x:v>
      </x:c>
      <x:c r="P428" s="16" t="n">
        <x:f>IF(COUNT(I428:O428)&lt;7,"",I428*8+J428*3+K428*2+L428*2+M428*2+N428*2+O428)</x:f>
        <x:v>60</x:v>
      </x:c>
      <x:c r="Q428" s="16" t="n">
        <x:f>IF(COUNT(J428:O428)&lt;6,"",J428*5+K428*4+M428*4+L428*3+N428*2+O428*2)</x:f>
        <x:v>87</x:v>
      </x:c>
      <x:c r="R428" s="14" t="str">
        <x:v>high</x:v>
      </x:c>
      <x:c r="S428" s="14" t="str">
        <x:v>official_prozorro_award_2025_2026</x:v>
      </x:c>
      <x:c r="T428" s="14" t="str">
        <x:v>official_prozorro_api</x:v>
      </x:c>
      <x:c r="U428" s="14" t="str">
        <x:v>Не контактували</x:v>
      </x:c>
      <x:c r="V428" s="15" t="str">
        <x:v>Workflow-audit outreach по UA-2026-03-25-005417-a; попросити 1 пакет здачі та вимоги проєкту</x:v>
      </x:c>
      <x:c r="W428" s="15" t="str">
        <x:v>Власник / директор; керівник ПТО; відповідальний за договори</x:v>
      </x:c>
      <x:c r="X428" s="15" t="str">
        <x:v>2 підтверджених перемог/договорів у Prozorro на 314 600 грн; 1 проєктів зі строком виконання не раніше 24.08.2026.</x:v>
      </x:c>
      <x:c r="Y428" s="15" t="str">
        <x:v>Монтаж системи пожежної сигналізації, системи оповіщення про пожежу та управління евакуацією людей в приміщеннях адміністративної будівлі Районної котельні *** м. Кривий Ріг, ***,  АТ "Криворізька теплоцентраль"; строк до 2026-11-30. Попросити один знеособлений пакет здачі за цим workflow.</x:v>
      </x:c>
      <x:c r="Z428" s="15" t="str">
        <x:v>https://prozorro.gov.ua/tender/UA-2026-03-25-005417-a</x:v>
      </x:c>
      <x:c r="AA428" s="14" t="str">
        <x:v>35269494</x:v>
      </x:c>
      <x:c r="AB428" s="14" t="str">
        <x:v>2026-08-24</x:v>
      </x:c>
      <x:c r="AC428" s="14" t="str"/>
      <x:c r="AD428" s="20" t="str"/>
      <x:c r="AE428" s="14" t="str"/>
      <x:c r="AF428" s="14" t="n">
        <x:v>55</x:v>
      </x:c>
      <x:c r="AG428" s="14" t="str">
        <x:v>I3</x:v>
      </x:c>
      <x:c r="AH428" s="14" t="n">
        <x:v>2</x:v>
      </x:c>
      <x:c r="AI428" s="14" t="n">
        <x:v>1</x:v>
      </x:c>
      <x:c r="AJ428" s="18" t="n">
        <x:v>314599.82</x:v>
      </x:c>
      <x:c r="AK428" s="14" t="str">
        <x:v>https://prozorro.gov.ua/tender/UA-2026-03-25-005417-a</x:v>
      </x:c>
      <x:c r="AL428" s="19" t="n">
        <x:v>46155.45745488426</x:v>
      </x:c>
      <x:c r="AM428" s="19" t="n">
        <x:v>46356</x:v>
      </x:c>
      <x:c r="AN428" s="15" t="str">
        <x:v>Газопостачання / котельні</x:v>
      </x:c>
      <x:c r="AO428" s="15" t="str">
        <x:v>not_found_in_top_search</x:v>
      </x:c>
    </x:row>
    <x:row r="429">
      <x:c r="A429" s="14" t="str">
        <x:v>W3-157</x:v>
      </x:c>
      <x:c r="B429" s="14" t="str">
        <x:v>Prozorro winners — 24.08</x:v>
      </x:c>
      <x:c r="C429" s="14" t="str">
        <x:v>Гаваль Ганна Олександрівна</x:v>
      </x:c>
      <x:c r="D429" s="14" t="str">
        <x:v>Пожежогасіння</x:v>
      </x:c>
      <x:c r="E429" s="14" t="str">
        <x:v>Expansion discovery</x:v>
      </x:c>
      <x:c r="F429" s="17" t="str">
        <x:f>IF(E429="Pilot now",IF(P429&gt;=84,"P1",IF(P429&gt;=72,"P2","P3")),IF(E429="Expansion discovery",IF(Q429&gt;=88,"D1",IF(Q429&gt;=78,"D2","D3")),IF(E429="Later / requirements","L","Legacy")))</x:f>
        <x:v>D2</x:v>
      </x:c>
      <x:c r="G429" s="14" t="str"/>
      <x:c r="H429" s="14" t="str">
        <x:v>Discovery розширення — 2 тижні</x:v>
      </x:c>
      <x:c r="I429" s="16" t="n">
        <x:v>1</x:v>
      </x:c>
      <x:c r="J429" s="16" t="n">
        <x:v>5</x:v>
      </x:c>
      <x:c r="K429" s="16" t="n">
        <x:v>4</x:v>
      </x:c>
      <x:c r="L429" s="16" t="n">
        <x:v>2</x:v>
      </x:c>
      <x:c r="M429" s="16" t="n">
        <x:v>5</x:v>
      </x:c>
      <x:c r="N429" s="16" t="n">
        <x:v>3</x:v>
      </x:c>
      <x:c r="O429" s="16" t="n">
        <x:v>5</x:v>
      </x:c>
      <x:c r="P429" s="16" t="n">
        <x:f>IF(COUNT(I429:O429)&lt;7,"",I429*8+J429*3+K429*2+L429*2+M429*2+N429*2+O429)</x:f>
        <x:v>56</x:v>
      </x:c>
      <x:c r="Q429" s="16" t="n">
        <x:f>IF(COUNT(J429:O429)&lt;6,"",J429*5+K429*4+M429*4+L429*3+N429*2+O429*2)</x:f>
        <x:v>83</x:v>
      </x:c>
      <x:c r="R429" s="14" t="str">
        <x:v>high</x:v>
      </x:c>
      <x:c r="S429" s="14" t="str">
        <x:v>official_prozorro_award_2025_2026</x:v>
      </x:c>
      <x:c r="T429" s="14" t="str">
        <x:v>official_prozorro_api</x:v>
      </x:c>
      <x:c r="U429" s="14" t="str">
        <x:v>Не контактували</x:v>
      </x:c>
      <x:c r="V429" s="15" t="str">
        <x:v>Workflow-audit outreach по UA-2026-06-30-011091-a; попросити 1 пакет здачі та вимоги проєкту</x:v>
      </x:c>
      <x:c r="W429" s="15" t="str">
        <x:v>Власник / виконавець; відповідальний за договір</x:v>
      </x:c>
      <x:c r="X429" s="15" t="str">
        <x:v>2 підтверджених перемог/договорів у Prozorro на 177 697 грн; 1 проєктів зі строком виконання не раніше 24.08.2026.</x:v>
      </x:c>
      <x:c r="Y429" s="15" t="str">
        <x:v>Послуги з монтажу системи пожежної сигналізації та системи оповіщення про пожежу; строк до 2026-12-31. Попросити один знеособлений пакет здачі за цим workflow.</x:v>
      </x:c>
      <x:c r="Z429" s="15" t="str">
        <x:v>https://prozorro.gov.ua/tender/UA-2026-06-30-011091-a</x:v>
      </x:c>
      <x:c r="AA429" s="14" t="str">
        <x:v>3358701424</x:v>
      </x:c>
      <x:c r="AB429" s="14" t="str">
        <x:v>2026-08-24</x:v>
      </x:c>
      <x:c r="AC429" s="14" t="str"/>
      <x:c r="AD429" s="20" t="str"/>
      <x:c r="AE429" s="14" t="str"/>
      <x:c r="AF429" s="14" t="n">
        <x:v>55</x:v>
      </x:c>
      <x:c r="AG429" s="14" t="str">
        <x:v>I3</x:v>
      </x:c>
      <x:c r="AH429" s="14" t="n">
        <x:v>2</x:v>
      </x:c>
      <x:c r="AI429" s="14" t="n">
        <x:v>1</x:v>
      </x:c>
      <x:c r="AJ429" s="18" t="n">
        <x:v>177696.78</x:v>
      </x:c>
      <x:c r="AK429" s="14" t="str">
        <x:v>https://prozorro.gov.ua/tender/UA-2026-06-30-011091-a</x:v>
      </x:c>
      <x:c r="AL429" s="19" t="n">
        <x:v>46203.528278287034</x:v>
      </x:c>
      <x:c r="AM429" s="19" t="n">
        <x:v>46387</x:v>
      </x:c>
      <x:c r="AN429" s="15" t="str">
        <x:v>Пожежогасіння; Сонячна енергетика</x:v>
      </x:c>
      <x:c r="AO429" s="15" t="str">
        <x:v>not_found_in_top_search</x:v>
      </x:c>
    </x:row>
    <x:row r="430">
      <x:c r="A430" s="14" t="str">
        <x:v>W3-158</x:v>
      </x:c>
      <x:c r="B430" s="14" t="str">
        <x:v>Prozorro winners — 24.08</x:v>
      </x:c>
      <x:c r="C430" s="14" t="str">
        <x:v>ТОВАРИСТВО З ОБМЕЖЕНОЮ ВІДПОВІДАЛЬНІСТЮ "ТРЕСТ "ПІВДЕНЬЗАХІДЕНЕРГОМЕРЕЖБУД"</x:v>
      </x:c>
      <x:c r="D430" s="14" t="str">
        <x:v>Водоочищення / очисні споруди</x:v>
      </x:c>
      <x:c r="E430" s="14" t="str">
        <x:v>Expansion discovery</x:v>
      </x:c>
      <x:c r="F430" s="17" t="str">
        <x:f>IF(E430="Pilot now",IF(P430&gt;=84,"P1",IF(P430&gt;=72,"P2","P3")),IF(E430="Expansion discovery",IF(Q430&gt;=88,"D1",IF(Q430&gt;=78,"D2","D3")),IF(E430="Later / requirements","L","Legacy")))</x:f>
        <x:v>D1</x:v>
      </x:c>
      <x:c r="G430" s="14" t="str"/>
      <x:c r="H430" s="14" t="str">
        <x:v>Discovery розширення — 2 тижні</x:v>
      </x:c>
      <x:c r="I430" s="16" t="n">
        <x:v>1</x:v>
      </x:c>
      <x:c r="J430" s="16" t="n">
        <x:v>5</x:v>
      </x:c>
      <x:c r="K430" s="16" t="n">
        <x:v>4</x:v>
      </x:c>
      <x:c r="L430" s="16" t="n">
        <x:v>3</x:v>
      </x:c>
      <x:c r="M430" s="16" t="n">
        <x:v>5</x:v>
      </x:c>
      <x:c r="N430" s="16" t="n">
        <x:v>5</x:v>
      </x:c>
      <x:c r="O430" s="16" t="n">
        <x:v>5</x:v>
      </x:c>
      <x:c r="P430" s="16" t="n">
        <x:f>IF(COUNT(I430:O430)&lt;7,"",I430*8+J430*3+K430*2+L430*2+M430*2+N430*2+O430)</x:f>
        <x:v>62</x:v>
      </x:c>
      <x:c r="Q430" s="16" t="n">
        <x:f>IF(COUNT(J430:O430)&lt;6,"",J430*5+K430*4+M430*4+L430*3+N430*2+O430*2)</x:f>
        <x:v>90</x:v>
      </x:c>
      <x:c r="R430" s="14" t="str">
        <x:v>high</x:v>
      </x:c>
      <x:c r="S430" s="14" t="str">
        <x:v>official_prozorro_award_2025_2026</x:v>
      </x:c>
      <x:c r="T430" s="14" t="str">
        <x:v>official_prozorro_api</x:v>
      </x:c>
      <x:c r="U430" s="14" t="str">
        <x:v>Не контактували</x:v>
      </x:c>
      <x:c r="V430" s="15" t="str">
        <x:v>Workflow-audit outreach по UA-2026-02-20-013110-a; попросити 1 пакет здачі та вимоги проєкту</x:v>
      </x:c>
      <x:c r="W430" s="15" t="str">
        <x:v>Власник / директор; керівник ПТО; відповідальний за договори</x:v>
      </x:c>
      <x:c r="X430" s="15" t="str">
        <x:v>1 підтверджених перемог/договорів у Prozorro на 1 511 643 грн; 1 проєктів зі строком виконання не раніше 24.08.2026.</x:v>
      </x:c>
      <x:c r="Y430" s="15" t="str">
        <x:v>Реконструкція системи електропостачання (встановлення джерела резервного живлення сонячної електростанції) на будівлі очисних споруд за адресою: вул. Яворницького, 106 м. Сокаль Львівської області; строк до 2026-12-31. Попросити один знеособлений пакет здачі за цим workflow.</x:v>
      </x:c>
      <x:c r="Z430" s="15" t="str">
        <x:v>https://prozorro.gov.ua/tender/UA-2026-02-20-013110-a</x:v>
      </x:c>
      <x:c r="AA430" s="14" t="str">
        <x:v>45894114</x:v>
      </x:c>
      <x:c r="AB430" s="14" t="str">
        <x:v>2026-08-24</x:v>
      </x:c>
      <x:c r="AC430" s="14" t="str"/>
      <x:c r="AD430" s="20" t="str"/>
      <x:c r="AE430" s="14" t="str"/>
      <x:c r="AF430" s="14" t="n">
        <x:v>54</x:v>
      </x:c>
      <x:c r="AG430" s="14" t="str">
        <x:v>I3</x:v>
      </x:c>
      <x:c r="AH430" s="14" t="n">
        <x:v>1</x:v>
      </x:c>
      <x:c r="AI430" s="14" t="n">
        <x:v>1</x:v>
      </x:c>
      <x:c r="AJ430" s="18" t="n">
        <x:v>1511643.08</x:v>
      </x:c>
      <x:c r="AK430" s="14" t="str">
        <x:v>https://prozorro.gov.ua/tender/UA-2026-02-20-013110-a</x:v>
      </x:c>
      <x:c r="AL430" s="19" t="n">
        <x:v>46139.62473923611</x:v>
      </x:c>
      <x:c r="AM430" s="19" t="n">
        <x:v>46387</x:v>
      </x:c>
      <x:c r="AN430" s="15" t="str">
        <x:v>Водоочищення / очисні споруди</x:v>
      </x:c>
      <x:c r="AO430" s="15" t="str">
        <x:v>not_found_in_top_search</x:v>
      </x:c>
    </x:row>
    <x:row r="431">
      <x:c r="A431" s="14" t="str">
        <x:v>W3-159</x:v>
      </x:c>
      <x:c r="B431" s="14" t="str">
        <x:v>Prozorro winners — 24.08</x:v>
      </x:c>
      <x:c r="C431" s="14" t="str">
        <x:v>ТОВАРИСТВО З ОБМЕЖЕНОЮ ВІДПОВІДАЛЬНІСТЮ "БЮРО ІНЖЕНЕРНИХ ПРОЕКТІВ"</x:v>
      </x:c>
      <x:c r="D431" s="14" t="str">
        <x:v>Водоочищення / очисні споруди</x:v>
      </x:c>
      <x:c r="E431" s="14" t="str">
        <x:v>Expansion discovery</x:v>
      </x:c>
      <x:c r="F431" s="17" t="str">
        <x:f>IF(E431="Pilot now",IF(P431&gt;=84,"P1",IF(P431&gt;=72,"P2","P3")),IF(E431="Expansion discovery",IF(Q431&gt;=88,"D1",IF(Q431&gt;=78,"D2","D3")),IF(E431="Later / requirements","L","Legacy")))</x:f>
        <x:v>D1</x:v>
      </x:c>
      <x:c r="G431" s="14" t="str"/>
      <x:c r="H431" s="14" t="str">
        <x:v>Discovery розширення — 2 тижні</x:v>
      </x:c>
      <x:c r="I431" s="16" t="n">
        <x:v>1</x:v>
      </x:c>
      <x:c r="J431" s="16" t="n">
        <x:v>5</x:v>
      </x:c>
      <x:c r="K431" s="16" t="n">
        <x:v>4</x:v>
      </x:c>
      <x:c r="L431" s="16" t="n">
        <x:v>3</x:v>
      </x:c>
      <x:c r="M431" s="16" t="n">
        <x:v>5</x:v>
      </x:c>
      <x:c r="N431" s="16" t="n">
        <x:v>5</x:v>
      </x:c>
      <x:c r="O431" s="16" t="n">
        <x:v>5</x:v>
      </x:c>
      <x:c r="P431" s="16" t="n">
        <x:f>IF(COUNT(I431:O431)&lt;7,"",I431*8+J431*3+K431*2+L431*2+M431*2+N431*2+O431)</x:f>
        <x:v>62</x:v>
      </x:c>
      <x:c r="Q431" s="16" t="n">
        <x:f>IF(COUNT(J431:O431)&lt;6,"",J431*5+K431*4+M431*4+L431*3+N431*2+O431*2)</x:f>
        <x:v>90</x:v>
      </x:c>
      <x:c r="R431" s="14" t="str">
        <x:v>high</x:v>
      </x:c>
      <x:c r="S431" s="14" t="str">
        <x:v>official_prozorro_award_2025_2026</x:v>
      </x:c>
      <x:c r="T431" s="14" t="str">
        <x:v>official_prozorro_api</x:v>
      </x:c>
      <x:c r="U431" s="14" t="str">
        <x:v>Не контактували</x:v>
      </x:c>
      <x:c r="V431" s="15" t="str">
        <x:v>Workflow-audit outreach по UA-2026-04-30-007193-a; попросити 1 пакет здачі та вимоги проєкту</x:v>
      </x:c>
      <x:c r="W431" s="15" t="str">
        <x:v>Власник / директор; керівник ПТО; відповідальний за договори</x:v>
      </x:c>
      <x:c r="X431" s="15" t="str">
        <x:v>1 підтверджених перемог/договорів у Prozorro на 1 468 646 грн; 1 проєктів зі строком виконання не раніше 24.08.2026.</x:v>
      </x:c>
      <x:c r="Y431" s="15" t="str">
        <x:v>Розробка проектної документації по об’єкту: «Реконструкція каналізаційних очисних споруд та лінії по обробці мулу у м. Харків. Міські очисні споруди водовідведення №1. Комплекс «Харківводовідведення», вул. Біологічна, 1, м. Харків за адресою: 61030, вул. Біологічна, 1, м. Харків. (Коригування)»; строк до 2026-12-31. Попросити один знеособлений пакет здачі за цим workflow.</x:v>
      </x:c>
      <x:c r="Z431" s="15" t="str">
        <x:v>https://prozorro.gov.ua/tender/UA-2026-04-30-007193-a</x:v>
      </x:c>
      <x:c r="AA431" s="14" t="str">
        <x:v>43296915</x:v>
      </x:c>
      <x:c r="AB431" s="14" t="str">
        <x:v>2026-08-24</x:v>
      </x:c>
      <x:c r="AC431" s="14" t="str"/>
      <x:c r="AD431" s="20" t="str"/>
      <x:c r="AE431" s="14" t="str"/>
      <x:c r="AF431" s="14" t="n">
        <x:v>54</x:v>
      </x:c>
      <x:c r="AG431" s="14" t="str">
        <x:v>I3</x:v>
      </x:c>
      <x:c r="AH431" s="14" t="n">
        <x:v>1</x:v>
      </x:c>
      <x:c r="AI431" s="14" t="n">
        <x:v>1</x:v>
      </x:c>
      <x:c r="AJ431" s="18" t="n">
        <x:v>1468646.32</x:v>
      </x:c>
      <x:c r="AK431" s="14" t="str">
        <x:v>https://prozorro.gov.ua/tender/UA-2026-04-30-007193-a</x:v>
      </x:c>
      <x:c r="AL431" s="19" t="n">
        <x:v>46142.479249108794</x:v>
      </x:c>
      <x:c r="AM431" s="19" t="n">
        <x:v>46387</x:v>
      </x:c>
      <x:c r="AN431" s="15" t="str">
        <x:v>Водоочищення / очисні споруди</x:v>
      </x:c>
      <x:c r="AO431" s="15" t="str">
        <x:v>not_found_in_top_search</x:v>
      </x:c>
    </x:row>
    <x:row r="432">
      <x:c r="A432" s="14" t="str">
        <x:v>W3-160</x:v>
      </x:c>
      <x:c r="B432" s="14" t="str">
        <x:v>Prozorro winners — 24.08</x:v>
      </x:c>
      <x:c r="C432" s="14" t="str">
        <x:v>ТОВ "Західбуд Стрий"</x:v>
      </x:c>
      <x:c r="D432" s="14" t="str">
        <x:v>HVAC / ОВіК</x:v>
      </x:c>
      <x:c r="E432" s="14" t="str">
        <x:v>Pilot now</x:v>
      </x:c>
      <x:c r="F432" s="17" t="str">
        <x:f>IF(E432="Pilot now",IF(P432&gt;=84,"P1",IF(P432&gt;=72,"P2","P3")),IF(E432="Expansion discovery",IF(Q432&gt;=88,"D1",IF(Q432&gt;=78,"D2","D3")),IF(E432="Later / requirements","L","Legacy")))</x:f>
        <x:v>P1</x:v>
      </x:c>
      <x:c r="G432" s="14" t="str"/>
      <x:c r="H432" s="14" t="str">
        <x:v>Пілот зараз — Н.14</x:v>
      </x:c>
      <x:c r="I432" s="16" t="n">
        <x:v>5</x:v>
      </x:c>
      <x:c r="J432" s="16" t="n">
        <x:v>5</x:v>
      </x:c>
      <x:c r="K432" s="16" t="n">
        <x:v>5</x:v>
      </x:c>
      <x:c r="L432" s="16" t="n">
        <x:v>3</x:v>
      </x:c>
      <x:c r="M432" s="16" t="n">
        <x:v>5</x:v>
      </x:c>
      <x:c r="N432" s="16" t="n">
        <x:v>5</x:v>
      </x:c>
      <x:c r="O432" s="16" t="n">
        <x:v>5</x:v>
      </x:c>
      <x:c r="P432" s="16" t="n">
        <x:f>IF(COUNT(I432:O432)&lt;7,"",I432*8+J432*3+K432*2+L432*2+M432*2+N432*2+O432)</x:f>
        <x:v>96</x:v>
      </x:c>
      <x:c r="Q432" s="16" t="n">
        <x:f>IF(COUNT(J432:O432)&lt;6,"",J432*5+K432*4+M432*4+L432*3+N432*2+O432*2)</x:f>
        <x:v>94</x:v>
      </x:c>
      <x:c r="R432" s="14" t="str">
        <x:v>high</x:v>
      </x:c>
      <x:c r="S432" s="14" t="str">
        <x:v>official_prozorro_award_2025_2026</x:v>
      </x:c>
      <x:c r="T432" s="14" t="str">
        <x:v>official_prozorro_api</x:v>
      </x:c>
      <x:c r="U432" s="14" t="str">
        <x:v>Не контактували</x:v>
      </x:c>
      <x:c r="V432" s="15" t="str">
        <x:v>Персоналізований free-pilot outreach по UA-2026-05-11-014054-a; попросити 1 пакет Н.14/Н.15</x:v>
      </x:c>
      <x:c r="W432" s="15" t="str">
        <x:v>Власник / директор; керівник ПТО; відповідальний за договори</x:v>
      </x:c>
      <x:c r="X432" s="15" t="str">
        <x:v>1 підтверджених перемог/договорів у Prozorro на 1 316 843 грн; 1 проєктів зі строком виконання не раніше 24.08.2026.</x:v>
      </x:c>
      <x:c r="Y432" s="15" t="str">
        <x:v>Роботи на об'єкті: "Капітальний ремонт приміщень роздягальні стадіону (монтаж систем водопостачання, водовідведення, електропостачання, вентиляції, опалення та кондиціонування, влаштування бетонної стяжки підлоги, облицювання підлоги керамічною плиткою"; строк до 2026-12-31. Попросити один знеособлений пакет здачі за цим workflow.</x:v>
      </x:c>
      <x:c r="Z432" s="15" t="str">
        <x:v>https://prozorro.gov.ua/tender/UA-2026-05-11-014054-a</x:v>
      </x:c>
      <x:c r="AA432" s="14" t="str">
        <x:v>44267382</x:v>
      </x:c>
      <x:c r="AB432" s="14" t="str">
        <x:v>2026-08-24</x:v>
      </x:c>
      <x:c r="AC432" s="14" t="str"/>
      <x:c r="AD432" s="20" t="str"/>
      <x:c r="AE432" s="14" t="str"/>
      <x:c r="AF432" s="14" t="n">
        <x:v>54</x:v>
      </x:c>
      <x:c r="AG432" s="14" t="str">
        <x:v>I3</x:v>
      </x:c>
      <x:c r="AH432" s="14" t="n">
        <x:v>1</x:v>
      </x:c>
      <x:c r="AI432" s="14" t="n">
        <x:v>1</x:v>
      </x:c>
      <x:c r="AJ432" s="18" t="n">
        <x:v>1316842.52</x:v>
      </x:c>
      <x:c r="AK432" s="14" t="str">
        <x:v>https://prozorro.gov.ua/tender/UA-2026-05-11-014054-a</x:v>
      </x:c>
      <x:c r="AL432" s="19" t="n">
        <x:v>46153.70323744213</x:v>
      </x:c>
      <x:c r="AM432" s="19" t="n">
        <x:v>46387</x:v>
      </x:c>
      <x:c r="AN432" s="15" t="str">
        <x:v>HVAC / ОВіК</x:v>
      </x:c>
      <x:c r="AO432" s="15" t="str">
        <x:v>not_found_in_top_search</x:v>
      </x:c>
    </x:row>
    <x:row r="433">
      <x:c r="A433" s="14" t="str">
        <x:v>W3-161</x:v>
      </x:c>
      <x:c r="B433" s="14" t="str">
        <x:v>Prozorro winners — 24.08</x:v>
      </x:c>
      <x:c r="C433" s="14" t="str">
        <x:v>ТОВ "ІНТЕРПРОЕКТ GMBH"</x:v>
      </x:c>
      <x:c r="D433" s="14" t="str">
        <x:v>Насосні станції</x:v>
      </x:c>
      <x:c r="E433" s="14" t="str">
        <x:v>Expansion discovery</x:v>
      </x:c>
      <x:c r="F433" s="17" t="str">
        <x:f>IF(E433="Pilot now",IF(P433&gt;=84,"P1",IF(P433&gt;=72,"P2","P3")),IF(E433="Expansion discovery",IF(Q433&gt;=88,"D1",IF(Q433&gt;=78,"D2","D3")),IF(E433="Later / requirements","L","Legacy")))</x:f>
        <x:v>D1</x:v>
      </x:c>
      <x:c r="G433" s="14" t="str">
        <x:v>interprojekt.com.ua</x:v>
      </x:c>
      <x:c r="H433" s="14" t="str">
        <x:v>Discovery розширення — 2 тижні</x:v>
      </x:c>
      <x:c r="I433" s="16" t="n">
        <x:v>1</x:v>
      </x:c>
      <x:c r="J433" s="16" t="n">
        <x:v>5</x:v>
      </x:c>
      <x:c r="K433" s="16" t="n">
        <x:v>4</x:v>
      </x:c>
      <x:c r="L433" s="16" t="n">
        <x:v>3</x:v>
      </x:c>
      <x:c r="M433" s="16" t="n">
        <x:v>5</x:v>
      </x:c>
      <x:c r="N433" s="16" t="n">
        <x:v>5</x:v>
      </x:c>
      <x:c r="O433" s="16" t="n">
        <x:v>5</x:v>
      </x:c>
      <x:c r="P433" s="16" t="n">
        <x:f>IF(COUNT(I433:O433)&lt;7,"",I433*8+J433*3+K433*2+L433*2+M433*2+N433*2+O433)</x:f>
        <x:v>62</x:v>
      </x:c>
      <x:c r="Q433" s="16" t="n">
        <x:f>IF(COUNT(J433:O433)&lt;6,"",J433*5+K433*4+M433*4+L433*3+N433*2+O433*2)</x:f>
        <x:v>90</x:v>
      </x:c>
      <x:c r="R433" s="14" t="str">
        <x:v>high</x:v>
      </x:c>
      <x:c r="S433" s="14" t="str">
        <x:v>official_prozorro_award_2025_2026</x:v>
      </x:c>
      <x:c r="T433" s="14" t="str">
        <x:v>official_prozorro_api</x:v>
      </x:c>
      <x:c r="U433" s="14" t="str">
        <x:v>Не контактували</x:v>
      </x:c>
      <x:c r="V433" s="15" t="str">
        <x:v>Workflow-audit outreach по UA-2026-05-07-009595-a; попросити 1 пакет здачі та вимоги проєкту</x:v>
      </x:c>
      <x:c r="W433" s="15" t="str">
        <x:v>Власник / директор; керівник ПТО; відповідальний за договори</x:v>
      </x:c>
      <x:c r="X433" s="15" t="str">
        <x:v>1 підтверджених перемог/договорів у Prozorro на 1 312 467 грн; 1 проєктів зі строком виконання не раніше 24.08.2026.</x:v>
      </x:c>
      <x:c r="Y433" s="15" t="str">
        <x:v>Реконструкція насосної станції 1-го підйому КП "Житомирводоканал" з встановленням системи моніторингу даних; строк до 2026-09-30. Попросити один знеособлений пакет здачі за цим workflow.</x:v>
      </x:c>
      <x:c r="Z433" s="15" t="str">
        <x:v>https://prozorro.gov.ua/tender/UA-2026-05-07-009595-a</x:v>
      </x:c>
      <x:c r="AA433" s="14" t="str">
        <x:v>35402590</x:v>
      </x:c>
      <x:c r="AB433" s="14" t="str">
        <x:v>2026-08-24</x:v>
      </x:c>
      <x:c r="AC433" s="14" t="str"/>
      <x:c r="AD433" s="20" t="str"/>
      <x:c r="AE433" s="14" t="str"/>
      <x:c r="AF433" s="14" t="n">
        <x:v>54</x:v>
      </x:c>
      <x:c r="AG433" s="14" t="str">
        <x:v>I3</x:v>
      </x:c>
      <x:c r="AH433" s="14" t="n">
        <x:v>1</x:v>
      </x:c>
      <x:c r="AI433" s="14" t="n">
        <x:v>1</x:v>
      </x:c>
      <x:c r="AJ433" s="18" t="n">
        <x:v>1312466.96</x:v>
      </x:c>
      <x:c r="AK433" s="14" t="str">
        <x:v>https://prozorro.gov.ua/tender/UA-2026-05-07-009595-a</x:v>
      </x:c>
      <x:c r="AL433" s="19" t="n">
        <x:v>46171.48359363426</x:v>
      </x:c>
      <x:c r="AM433" s="19" t="n">
        <x:v>46295</x:v>
      </x:c>
      <x:c r="AN433" s="15" t="str">
        <x:v>Насосні станції</x:v>
      </x:c>
      <x:c r="AO433" s="15" t="str">
        <x:v>supplier_provided_url</x:v>
      </x:c>
    </x:row>
    <x:row r="434">
      <x:c r="A434" s="14" t="str">
        <x:v>W3-162</x:v>
      </x:c>
      <x:c r="B434" s="14" t="str">
        <x:v>Prozorro winners — 24.08</x:v>
      </x:c>
      <x:c r="C434" s="14" t="str">
        <x:v>Товариство з обмеженою відповідальністю «ЛЮВІМАР»</x:v>
      </x:c>
      <x:c r="D434" s="14" t="str">
        <x:v>Електромонтаж</x:v>
      </x:c>
      <x:c r="E434" s="14" t="str">
        <x:v>Pilot now</x:v>
      </x:c>
      <x:c r="F434" s="17" t="str">
        <x:f>IF(E434="Pilot now",IF(P434&gt;=84,"P1",IF(P434&gt;=72,"P2","P3")),IF(E434="Expansion discovery",IF(Q434&gt;=88,"D1",IF(Q434&gt;=78,"D2","D3")),IF(E434="Later / requirements","L","Legacy")))</x:f>
        <x:v>P1</x:v>
      </x:c>
      <x:c r="G434" s="14" t="str"/>
      <x:c r="H434" s="14" t="str">
        <x:v>Пілот зараз — Н.15</x:v>
      </x:c>
      <x:c r="I434" s="16" t="n">
        <x:v>5</x:v>
      </x:c>
      <x:c r="J434" s="16" t="n">
        <x:v>5</x:v>
      </x:c>
      <x:c r="K434" s="16" t="n">
        <x:v>5</x:v>
      </x:c>
      <x:c r="L434" s="16" t="n">
        <x:v>3</x:v>
      </x:c>
      <x:c r="M434" s="16" t="n">
        <x:v>5</x:v>
      </x:c>
      <x:c r="N434" s="16" t="n">
        <x:v>5</x:v>
      </x:c>
      <x:c r="O434" s="16" t="n">
        <x:v>5</x:v>
      </x:c>
      <x:c r="P434" s="16" t="n">
        <x:f>IF(COUNT(I434:O434)&lt;7,"",I434*8+J434*3+K434*2+L434*2+M434*2+N434*2+O434)</x:f>
        <x:v>96</x:v>
      </x:c>
      <x:c r="Q434" s="16" t="n">
        <x:f>IF(COUNT(J434:O434)&lt;6,"",J434*5+K434*4+M434*4+L434*3+N434*2+O434*2)</x:f>
        <x:v>94</x:v>
      </x:c>
      <x:c r="R434" s="14" t="str">
        <x:v>high</x:v>
      </x:c>
      <x:c r="S434" s="14" t="str">
        <x:v>official_prozorro_award_2025_2026</x:v>
      </x:c>
      <x:c r="T434" s="14" t="str">
        <x:v>official_prozorro_api</x:v>
      </x:c>
      <x:c r="U434" s="14" t="str">
        <x:v>Не контактували</x:v>
      </x:c>
      <x:c r="V434" s="15" t="str">
        <x:v>Персоналізований free-pilot outreach по UA-2026-05-01-002274-a; попросити 1 пакет Н.14/Н.15</x:v>
      </x:c>
      <x:c r="W434" s="15" t="str">
        <x:v>Власник / директор; керівник ПТО; відповідальний за договори</x:v>
      </x:c>
      <x:c r="X434" s="15" t="str">
        <x:v>1 підтверджених перемог/договорів у Prozorro на 1 296 887 грн; 1 проєктів зі строком виконання не раніше 24.08.2026.</x:v>
      </x:c>
      <x:c r="Y434" s="15" t="str">
        <x:v>Реконструкція електричних мереж 0,4 кВ з підключенням та монтажем дахової сонячної електростанції на даху адміністративної будівлі Березівської міської ради Одеської області за адресою:  67300, Одеська обл., Березівський район, м. Березівка, площа Захисників України, будинок 9; строк до 2026-12-31. Попросити один знеособлений пакет здачі за цим workflow.</x:v>
      </x:c>
      <x:c r="Z434" s="15" t="str">
        <x:v>https://prozorro.gov.ua/tender/UA-2026-05-01-002274-a</x:v>
      </x:c>
      <x:c r="AA434" s="14" t="str">
        <x:v>41504530</x:v>
      </x:c>
      <x:c r="AB434" s="14" t="str">
        <x:v>2026-08-24</x:v>
      </x:c>
      <x:c r="AC434" s="14" t="str"/>
      <x:c r="AD434" s="20" t="str"/>
      <x:c r="AE434" s="14" t="str"/>
      <x:c r="AF434" s="14" t="n">
        <x:v>54</x:v>
      </x:c>
      <x:c r="AG434" s="14" t="str">
        <x:v>I3</x:v>
      </x:c>
      <x:c r="AH434" s="14" t="n">
        <x:v>1</x:v>
      </x:c>
      <x:c r="AI434" s="14" t="n">
        <x:v>1</x:v>
      </x:c>
      <x:c r="AJ434" s="18" t="n">
        <x:v>1296887.03</x:v>
      </x:c>
      <x:c r="AK434" s="14" t="str">
        <x:v>https://prozorro.gov.ua/tender/UA-2026-05-01-002274-a</x:v>
      </x:c>
      <x:c r="AL434" s="19" t="n">
        <x:v>46143.31097121528</x:v>
      </x:c>
      <x:c r="AM434" s="19" t="n">
        <x:v>46387.35303240741</x:v>
      </x:c>
      <x:c r="AN434" s="15" t="str">
        <x:v>Електромонтаж</x:v>
      </x:c>
      <x:c r="AO434" s="15" t="str">
        <x:v>not_found_in_top_search</x:v>
      </x:c>
    </x:row>
    <x:row r="435">
      <x:c r="A435" s="14" t="str">
        <x:v>W3-163</x:v>
      </x:c>
      <x:c r="B435" s="14" t="str">
        <x:v>Prozorro winners — 24.08</x:v>
      </x:c>
      <x:c r="C435" s="14" t="str">
        <x:v>ТОВ "НВЦ ВЕНТ"</x:v>
      </x:c>
      <x:c r="D435" s="14" t="str">
        <x:v>Газопостачання / котельні</x:v>
      </x:c>
      <x:c r="E435" s="14" t="str">
        <x:v>Expansion discovery</x:v>
      </x:c>
      <x:c r="F435" s="17" t="str">
        <x:f>IF(E435="Pilot now",IF(P435&gt;=84,"P1",IF(P435&gt;=72,"P2","P3")),IF(E435="Expansion discovery",IF(Q435&gt;=88,"D1",IF(Q435&gt;=78,"D2","D3")),IF(E435="Later / requirements","L","Legacy")))</x:f>
        <x:v>D1</x:v>
      </x:c>
      <x:c r="G435" s="14" t="str"/>
      <x:c r="H435" s="14" t="str">
        <x:v>Discovery розширення — 2 тижні</x:v>
      </x:c>
      <x:c r="I435" s="16" t="n">
        <x:v>1</x:v>
      </x:c>
      <x:c r="J435" s="16" t="n">
        <x:v>5</x:v>
      </x:c>
      <x:c r="K435" s="16" t="n">
        <x:v>4</x:v>
      </x:c>
      <x:c r="L435" s="16" t="n">
        <x:v>3</x:v>
      </x:c>
      <x:c r="M435" s="16" t="n">
        <x:v>5</x:v>
      </x:c>
      <x:c r="N435" s="16" t="n">
        <x:v>5</x:v>
      </x:c>
      <x:c r="O435" s="16" t="n">
        <x:v>5</x:v>
      </x:c>
      <x:c r="P435" s="16" t="n">
        <x:f>IF(COUNT(I435:O435)&lt;7,"",I435*8+J435*3+K435*2+L435*2+M435*2+N435*2+O435)</x:f>
        <x:v>62</x:v>
      </x:c>
      <x:c r="Q435" s="16" t="n">
        <x:f>IF(COUNT(J435:O435)&lt;6,"",J435*5+K435*4+M435*4+L435*3+N435*2+O435*2)</x:f>
        <x:v>90</x:v>
      </x:c>
      <x:c r="R435" s="14" t="str">
        <x:v>high</x:v>
      </x:c>
      <x:c r="S435" s="14" t="str">
        <x:v>official_prozorro_award_2025_2026</x:v>
      </x:c>
      <x:c r="T435" s="14" t="str">
        <x:v>official_prozorro_api</x:v>
      </x:c>
      <x:c r="U435" s="14" t="str">
        <x:v>Не контактували</x:v>
      </x:c>
      <x:c r="V435" s="15" t="str">
        <x:v>Workflow-audit outreach по UA-2026-04-29-002111-a; попросити 1 пакет здачі та вимоги проєкту</x:v>
      </x:c>
      <x:c r="W435" s="15" t="str">
        <x:v>Власник / директор; керівник ПТО; відповідальний за договори</x:v>
      </x:c>
      <x:c r="X435" s="15" t="str">
        <x:v>1 підтверджених перемог/договорів у Prozorro на 1 279 007 грн; 1 проєктів зі строком виконання не раніше 24.08.2026.</x:v>
      </x:c>
      <x:c r="Y435" s="15" t="str">
        <x:v>Роботи з монтажу системи відведення димових газів у відповідності до проекту "Реконструкції котельні з встановленням когенераційної установки по вул. Ліцейна 4; строк до 2026-12-31. Попросити один знеособлений пакет здачі за цим workflow.</x:v>
      </x:c>
      <x:c r="Z435" s="15" t="str">
        <x:v>https://prozorro.gov.ua/tender/UA-2026-04-29-002111-a</x:v>
      </x:c>
      <x:c r="AA435" s="14" t="str">
        <x:v>41005822</x:v>
      </x:c>
      <x:c r="AB435" s="14" t="str">
        <x:v>2026-08-24</x:v>
      </x:c>
      <x:c r="AC435" s="14" t="str"/>
      <x:c r="AD435" s="20" t="str"/>
      <x:c r="AE435" s="14" t="str"/>
      <x:c r="AF435" s="14" t="n">
        <x:v>54</x:v>
      </x:c>
      <x:c r="AG435" s="14" t="str">
        <x:v>I3</x:v>
      </x:c>
      <x:c r="AH435" s="14" t="n">
        <x:v>1</x:v>
      </x:c>
      <x:c r="AI435" s="14" t="n">
        <x:v>1</x:v>
      </x:c>
      <x:c r="AJ435" s="18" t="n">
        <x:v>1279007.15</x:v>
      </x:c>
      <x:c r="AK435" s="14" t="str">
        <x:v>https://prozorro.gov.ua/tender/UA-2026-04-29-002111-a</x:v>
      </x:c>
      <x:c r="AL435" s="19" t="n">
        <x:v>46141.30527268518</x:v>
      </x:c>
      <x:c r="AM435" s="19" t="n">
        <x:v>46387.34819444444</x:v>
      </x:c>
      <x:c r="AN435" s="15" t="str">
        <x:v>Газопостачання / котельні</x:v>
      </x:c>
      <x:c r="AO435" s="15" t="str">
        <x:v>not_found_in_top_search</x:v>
      </x:c>
    </x:row>
    <x:row r="436">
      <x:c r="A436" s="14" t="str">
        <x:v>W3-164</x:v>
      </x:c>
      <x:c r="B436" s="14" t="str">
        <x:v>Prozorro winners — 24.08</x:v>
      </x:c>
      <x:c r="C436" s="14" t="str">
        <x:v>ТОВ ВНВ 2000</x:v>
      </x:c>
      <x:c r="D436" s="14" t="str">
        <x:v>Водоочищення / очисні споруди</x:v>
      </x:c>
      <x:c r="E436" s="14" t="str">
        <x:v>Expansion discovery</x:v>
      </x:c>
      <x:c r="F436" s="17" t="str">
        <x:f>IF(E436="Pilot now",IF(P436&gt;=84,"P1",IF(P436&gt;=72,"P2","P3")),IF(E436="Expansion discovery",IF(Q436&gt;=88,"D1",IF(Q436&gt;=78,"D2","D3")),IF(E436="Later / requirements","L","Legacy")))</x:f>
        <x:v>D1</x:v>
      </x:c>
      <x:c r="G436" s="14" t="str"/>
      <x:c r="H436" s="14" t="str">
        <x:v>Discovery розширення — 2 тижні</x:v>
      </x:c>
      <x:c r="I436" s="16" t="n">
        <x:v>1</x:v>
      </x:c>
      <x:c r="J436" s="16" t="n">
        <x:v>5</x:v>
      </x:c>
      <x:c r="K436" s="16" t="n">
        <x:v>4</x:v>
      </x:c>
      <x:c r="L436" s="16" t="n">
        <x:v>3</x:v>
      </x:c>
      <x:c r="M436" s="16" t="n">
        <x:v>5</x:v>
      </x:c>
      <x:c r="N436" s="16" t="n">
        <x:v>5</x:v>
      </x:c>
      <x:c r="O436" s="16" t="n">
        <x:v>5</x:v>
      </x:c>
      <x:c r="P436" s="16" t="n">
        <x:f>IF(COUNT(I436:O436)&lt;7,"",I436*8+J436*3+K436*2+L436*2+M436*2+N436*2+O436)</x:f>
        <x:v>62</x:v>
      </x:c>
      <x:c r="Q436" s="16" t="n">
        <x:f>IF(COUNT(J436:O436)&lt;6,"",J436*5+K436*4+M436*4+L436*3+N436*2+O436*2)</x:f>
        <x:v>90</x:v>
      </x:c>
      <x:c r="R436" s="14" t="str">
        <x:v>high</x:v>
      </x:c>
      <x:c r="S436" s="14" t="str">
        <x:v>official_prozorro_award_2025_2026</x:v>
      </x:c>
      <x:c r="T436" s="14" t="str">
        <x:v>official_prozorro_api</x:v>
      </x:c>
      <x:c r="U436" s="14" t="str">
        <x:v>Не контактували</x:v>
      </x:c>
      <x:c r="V436" s="15" t="str">
        <x:v>Workflow-audit outreach по UA-2026-05-04-010214-a; попросити 1 пакет здачі та вимоги проєкту</x:v>
      </x:c>
      <x:c r="W436" s="15" t="str">
        <x:v>Власник / директор; керівник ПТО; відповідальний за договори</x:v>
      </x:c>
      <x:c r="X436" s="15" t="str">
        <x:v>1 підтверджених перемог/договорів у Prozorro на 1 250 645 грн; 1 проєктів зі строком виконання не раніше 24.08.2026.</x:v>
      </x:c>
      <x:c r="Y436" s="15" t="str">
        <x:v>Виконання додаткових робіт по об’єкту «Реконструкція покрівлі будівлі хіміко-бактеріологічної лабораторії стічних вод каналізаційних очисних споруд м. Чернігова» (код ДК 021:2015 – 45000000-7 Будівельні роботи та поточний ремонт); строк до 2026-08-31. Попросити один знеособлений пакет здачі за цим workflow.</x:v>
      </x:c>
      <x:c r="Z436" s="15" t="str">
        <x:v>https://prozorro.gov.ua/tender/UA-2026-05-04-010214-a</x:v>
      </x:c>
      <x:c r="AA436" s="14" t="str">
        <x:v>35583357</x:v>
      </x:c>
      <x:c r="AB436" s="14" t="str">
        <x:v>2026-08-24</x:v>
      </x:c>
      <x:c r="AC436" s="14" t="str"/>
      <x:c r="AD436" s="20" t="str"/>
      <x:c r="AE436" s="14" t="str"/>
      <x:c r="AF436" s="14" t="n">
        <x:v>54</x:v>
      </x:c>
      <x:c r="AG436" s="14" t="str">
        <x:v>I3</x:v>
      </x:c>
      <x:c r="AH436" s="14" t="n">
        <x:v>1</x:v>
      </x:c>
      <x:c r="AI436" s="14" t="n">
        <x:v>1</x:v>
      </x:c>
      <x:c r="AJ436" s="18" t="n">
        <x:v>1250644.82</x:v>
      </x:c>
      <x:c r="AK436" s="14" t="str">
        <x:v>https://prozorro.gov.ua/tender/UA-2026-05-04-010214-a</x:v>
      </x:c>
      <x:c r="AL436" s="19" t="n">
        <x:v>46183.46212689815</x:v>
      </x:c>
      <x:c r="AM436" s="19" t="n">
        <x:v>46265.522835648146</x:v>
      </x:c>
      <x:c r="AN436" s="15" t="str">
        <x:v>Водоочищення / очисні споруди</x:v>
      </x:c>
      <x:c r="AO436" s="15" t="str">
        <x:v>not_found_in_top_search</x:v>
      </x:c>
    </x:row>
    <x:row r="437">
      <x:c r="A437" s="14" t="str">
        <x:v>W3-165</x:v>
      </x:c>
      <x:c r="B437" s="14" t="str">
        <x:v>Prozorro winners — 24.08</x:v>
      </x:c>
      <x:c r="C437" s="14" t="str">
        <x:v>ТОВАРИСТВО З ОБМЕЖЕНОЮ ВІДПОВІДАЛЬНІСТЮ "ІНСТИТУТ "УКРКОМУННДІПРОЕКТ"</x:v>
      </x:c>
      <x:c r="D437" s="14" t="str">
        <x:v>Водоочищення / очисні споруди</x:v>
      </x:c>
      <x:c r="E437" s="14" t="str">
        <x:v>Expansion discovery</x:v>
      </x:c>
      <x:c r="F437" s="17" t="str">
        <x:f>IF(E437="Pilot now",IF(P437&gt;=84,"P1",IF(P437&gt;=72,"P2","P3")),IF(E437="Expansion discovery",IF(Q437&gt;=88,"D1",IF(Q437&gt;=78,"D2","D3")),IF(E437="Later / requirements","L","Legacy")))</x:f>
        <x:v>D1</x:v>
      </x:c>
      <x:c r="G437" s="14" t="str">
        <x:v>uknipi.org.ua</x:v>
      </x:c>
      <x:c r="H437" s="14" t="str">
        <x:v>Discovery розширення — 2 тижні</x:v>
      </x:c>
      <x:c r="I437" s="16" t="n">
        <x:v>1</x:v>
      </x:c>
      <x:c r="J437" s="16" t="n">
        <x:v>5</x:v>
      </x:c>
      <x:c r="K437" s="16" t="n">
        <x:v>4</x:v>
      </x:c>
      <x:c r="L437" s="16" t="n">
        <x:v>3</x:v>
      </x:c>
      <x:c r="M437" s="16" t="n">
        <x:v>5</x:v>
      </x:c>
      <x:c r="N437" s="16" t="n">
        <x:v>5</x:v>
      </x:c>
      <x:c r="O437" s="16" t="n">
        <x:v>5</x:v>
      </x:c>
      <x:c r="P437" s="16" t="n">
        <x:f>IF(COUNT(I437:O437)&lt;7,"",I437*8+J437*3+K437*2+L437*2+M437*2+N437*2+O437)</x:f>
        <x:v>62</x:v>
      </x:c>
      <x:c r="Q437" s="16" t="n">
        <x:f>IF(COUNT(J437:O437)&lt;6,"",J437*5+K437*4+M437*4+L437*3+N437*2+O437*2)</x:f>
        <x:v>90</x:v>
      </x:c>
      <x:c r="R437" s="14" t="str">
        <x:v>high</x:v>
      </x:c>
      <x:c r="S437" s="14" t="str">
        <x:v>official_prozorro_award_2025_2026</x:v>
      </x:c>
      <x:c r="T437" s="14" t="str">
        <x:v>official_prozorro_api</x:v>
      </x:c>
      <x:c r="U437" s="14" t="str">
        <x:v>Не контактували</x:v>
      </x:c>
      <x:c r="V437" s="15" t="str">
        <x:v>Workflow-audit outreach по UA-2026-06-03-000876-a; попросити 1 пакет здачі та вимоги проєкту</x:v>
      </x:c>
      <x:c r="W437" s="15" t="str">
        <x:v>Власник / директор; керівник ПТО; відповідальний за договори</x:v>
      </x:c>
      <x:c r="X437" s="15" t="str">
        <x:v>1 підтверджених перемог/договорів у Prozorro на 1 244 817 грн; 1 проєктів зі строком виконання не раніше 24.08.2026.</x:v>
      </x:c>
      <x:c r="Y437" s="15" t="str">
        <x:v>Розробка проектної документації по об’єкту: «Реконструкція каналізаційних очисних споруд та лінії по обробці мулу у м. Харків. Міські очисні споруди водовідведення № 2. Комплекс «Харківводовідведення», пр. Гагаріна, 354, м. Харків за адресою: 61031, пр. Гагаріна,354, м. Харків". (Коригування); строк до 2026-12-31. Попросити один знеособлений пакет здачі за цим workflow.</x:v>
      </x:c>
      <x:c r="Z437" s="15" t="str">
        <x:v>https://prozorro.gov.ua/tender/UA-2026-06-03-000876-a</x:v>
      </x:c>
      <x:c r="AA437" s="14" t="str">
        <x:v>37659092</x:v>
      </x:c>
      <x:c r="AB437" s="14" t="str">
        <x:v>2026-08-24</x:v>
      </x:c>
      <x:c r="AC437" s="14" t="str"/>
      <x:c r="AD437" s="20" t="str"/>
      <x:c r="AE437" s="14" t="str"/>
      <x:c r="AF437" s="14" t="n">
        <x:v>54</x:v>
      </x:c>
      <x:c r="AG437" s="14" t="str">
        <x:v>I3</x:v>
      </x:c>
      <x:c r="AH437" s="14" t="n">
        <x:v>1</x:v>
      </x:c>
      <x:c r="AI437" s="14" t="n">
        <x:v>1</x:v>
      </x:c>
      <x:c r="AJ437" s="18" t="n">
        <x:v>1244817</x:v>
      </x:c>
      <x:c r="AK437" s="14" t="str">
        <x:v>https://prozorro.gov.ua/tender/UA-2026-06-03-000876-a</x:v>
      </x:c>
      <x:c r="AL437" s="19" t="n">
        <x:v>46176.2665590625</x:v>
      </x:c>
      <x:c r="AM437" s="19" t="n">
        <x:v>46387</x:v>
      </x:c>
      <x:c r="AN437" s="15" t="str">
        <x:v>Водоочищення / очисні споруди</x:v>
      </x:c>
      <x:c r="AO437" s="15" t="str">
        <x:v>supplier_provided_url</x:v>
      </x:c>
    </x:row>
    <x:row r="438">
      <x:c r="A438" s="14" t="str">
        <x:v>W3-166</x:v>
      </x:c>
      <x:c r="B438" s="14" t="str">
        <x:v>Prozorro winners — 24.08</x:v>
      </x:c>
      <x:c r="C438" s="14" t="str">
        <x:v>ДЕРЖАВНЕ ПІДПРИЄМСТВО "СПЕЦІАЛІЗОВАНА ДЕРЖАВНА ЕКСПЕРТНА ОРГАНІЗАЦІЯ-ЦЕНТРАЛЬНА СЛУЖБА УКРАЇНСЬКОЇ ДЕРЖАВНОЇ БУДІВЕЛЬНОЇ ЕКСПЕРТИЗИ"</x:v>
      </x:c>
      <x:c r="D438" s="14" t="str">
        <x:v>Водоочищення / очисні споруди</x:v>
      </x:c>
      <x:c r="E438" s="14" t="str">
        <x:v>Expansion discovery</x:v>
      </x:c>
      <x:c r="F438" s="17" t="str">
        <x:f>IF(E438="Pilot now",IF(P438&gt;=84,"P1",IF(P438&gt;=72,"P2","P3")),IF(E438="Expansion discovery",IF(Q438&gt;=88,"D1",IF(Q438&gt;=78,"D2","D3")),IF(E438="Later / requirements","L","Legacy")))</x:f>
        <x:v>D1</x:v>
      </x:c>
      <x:c r="G438" s="14" t="str"/>
      <x:c r="H438" s="14" t="str">
        <x:v>Discovery розширення — 2 тижні</x:v>
      </x:c>
      <x:c r="I438" s="16" t="n">
        <x:v>1</x:v>
      </x:c>
      <x:c r="J438" s="16" t="n">
        <x:v>5</x:v>
      </x:c>
      <x:c r="K438" s="16" t="n">
        <x:v>4</x:v>
      </x:c>
      <x:c r="L438" s="16" t="n">
        <x:v>3</x:v>
      </x:c>
      <x:c r="M438" s="16" t="n">
        <x:v>5</x:v>
      </x:c>
      <x:c r="N438" s="16" t="n">
        <x:v>5</x:v>
      </x:c>
      <x:c r="O438" s="16" t="n">
        <x:v>5</x:v>
      </x:c>
      <x:c r="P438" s="16" t="n">
        <x:f>IF(COUNT(I438:O438)&lt;7,"",I438*8+J438*3+K438*2+L438*2+M438*2+N438*2+O438)</x:f>
        <x:v>62</x:v>
      </x:c>
      <x:c r="Q438" s="16" t="n">
        <x:f>IF(COUNT(J438:O438)&lt;6,"",J438*5+K438*4+M438*4+L438*3+N438*2+O438*2)</x:f>
        <x:v>90</x:v>
      </x:c>
      <x:c r="R438" s="14" t="str">
        <x:v>high</x:v>
      </x:c>
      <x:c r="S438" s="14" t="str">
        <x:v>official_prozorro_award_2025_2026</x:v>
      </x:c>
      <x:c r="T438" s="14" t="str">
        <x:v>official_prozorro_api</x:v>
      </x:c>
      <x:c r="U438" s="14" t="str">
        <x:v>Не контактували</x:v>
      </x:c>
      <x:c r="V438" s="15" t="str">
        <x:v>Workflow-audit outreach по UA-2026-06-19-011009-a; попросити 1 пакет здачі та вимоги проєкту</x:v>
      </x:c>
      <x:c r="W438" s="15" t="str">
        <x:v>Власник / директор; керівник ПТО; відповідальний за договори</x:v>
      </x:c>
      <x:c r="X438" s="15" t="str">
        <x:v>1 підтверджених перемог/договорів у Prozorro на 1 194 054 грн; 1 проєктів зі строком виконання не раніше 24.08.2026.</x:v>
      </x:c>
      <x:c r="Y438" s="15" t="str">
        <x:v>Експертиза проекту будівництва: "Реконструкція каналізаційних очисних споруд та лінії по обробці мулу у м. Харків. Міські очисні споруди водовідведення  №1. Комплекс "Харківводовідведення", вул. Біологічна, 1, м. Харків за адресою: 61030, вул. Біологічна, 1 м. Харків" (Коригування); строк до 2026-12-31. Попросити один знеособлений пакет здачі за цим workflow.</x:v>
      </x:c>
      <x:c r="Z438" s="15" t="str">
        <x:v>https://prozorro.gov.ua/tender/UA-2026-06-19-011009-a</x:v>
      </x:c>
      <x:c r="AA438" s="14" t="str">
        <x:v>35691621</x:v>
      </x:c>
      <x:c r="AB438" s="14" t="str">
        <x:v>2026-08-24</x:v>
      </x:c>
      <x:c r="AC438" s="14" t="str"/>
      <x:c r="AD438" s="20" t="str"/>
      <x:c r="AE438" s="14" t="str"/>
      <x:c r="AF438" s="14" t="n">
        <x:v>54</x:v>
      </x:c>
      <x:c r="AG438" s="14" t="str">
        <x:v>I3</x:v>
      </x:c>
      <x:c r="AH438" s="14" t="n">
        <x:v>1</x:v>
      </x:c>
      <x:c r="AI438" s="14" t="n">
        <x:v>1</x:v>
      </x:c>
      <x:c r="AJ438" s="18" t="n">
        <x:v>1194054</x:v>
      </x:c>
      <x:c r="AK438" s="14" t="str">
        <x:v>https://prozorro.gov.ua/tender/UA-2026-06-19-011009-a</x:v>
      </x:c>
      <x:c r="AL438" s="19" t="n">
        <x:v>46192.5253971412</x:v>
      </x:c>
      <x:c r="AM438" s="19" t="n">
        <x:v>46387</x:v>
      </x:c>
      <x:c r="AN438" s="15" t="str">
        <x:v>Водоочищення / очисні споруди</x:v>
      </x:c>
      <x:c r="AO438" s="15" t="str">
        <x:v>not_found_in_top_search</x:v>
      </x:c>
    </x:row>
    <x:row r="439">
      <x:c r="A439" s="14" t="str">
        <x:v>W3-167</x:v>
      </x:c>
      <x:c r="B439" s="14" t="str">
        <x:v>Prozorro winners — 24.08</x:v>
      </x:c>
      <x:c r="C439" s="14" t="str">
        <x:v>ТОВ "УВТ ГРУП"</x:v>
      </x:c>
      <x:c r="D439" s="14" t="str">
        <x:v>Насосні станції</x:v>
      </x:c>
      <x:c r="E439" s="14" t="str">
        <x:v>Expansion discovery</x:v>
      </x:c>
      <x:c r="F439" s="17" t="str">
        <x:f>IF(E439="Pilot now",IF(P439&gt;=84,"P1",IF(P439&gt;=72,"P2","P3")),IF(E439="Expansion discovery",IF(Q439&gt;=88,"D1",IF(Q439&gt;=78,"D2","D3")),IF(E439="Later / requirements","L","Legacy")))</x:f>
        <x:v>D1</x:v>
      </x:c>
      <x:c r="G439" s="14" t="str"/>
      <x:c r="H439" s="14" t="str">
        <x:v>Discovery розширення — 2 тижні</x:v>
      </x:c>
      <x:c r="I439" s="16" t="n">
        <x:v>1</x:v>
      </x:c>
      <x:c r="J439" s="16" t="n">
        <x:v>5</x:v>
      </x:c>
      <x:c r="K439" s="16" t="n">
        <x:v>4</x:v>
      </x:c>
      <x:c r="L439" s="16" t="n">
        <x:v>3</x:v>
      </x:c>
      <x:c r="M439" s="16" t="n">
        <x:v>5</x:v>
      </x:c>
      <x:c r="N439" s="16" t="n">
        <x:v>5</x:v>
      </x:c>
      <x:c r="O439" s="16" t="n">
        <x:v>5</x:v>
      </x:c>
      <x:c r="P439" s="16" t="n">
        <x:f>IF(COUNT(I439:O439)&lt;7,"",I439*8+J439*3+K439*2+L439*2+M439*2+N439*2+O439)</x:f>
        <x:v>62</x:v>
      </x:c>
      <x:c r="Q439" s="16" t="n">
        <x:f>IF(COUNT(J439:O439)&lt;6,"",J439*5+K439*4+M439*4+L439*3+N439*2+O439*2)</x:f>
        <x:v>90</x:v>
      </x:c>
      <x:c r="R439" s="14" t="str">
        <x:v>high</x:v>
      </x:c>
      <x:c r="S439" s="14" t="str">
        <x:v>official_prozorro_award_2025_2026</x:v>
      </x:c>
      <x:c r="T439" s="14" t="str">
        <x:v>official_prozorro_api</x:v>
      </x:c>
      <x:c r="U439" s="14" t="str">
        <x:v>Не контактували</x:v>
      </x:c>
      <x:c r="V439" s="15" t="str">
        <x:v>Workflow-audit outreach по UA-2026-06-19-000880-a; попросити 1 пакет здачі та вимоги проєкту</x:v>
      </x:c>
      <x:c r="W439" s="15" t="str">
        <x:v>Власник / директор; керівник ПТО; відповідальний за договори</x:v>
      </x:c>
      <x:c r="X439" s="15" t="str">
        <x:v>1 підтверджених перемог/договорів у Prozorro на 970 895 грн; 1 проєктів зі строком виконання не раніше 24.08.2026.</x:v>
      </x:c>
      <x:c r="Y439" s="15" t="str">
        <x:v>Виконання додаткових робіт з розроблення проектної документації Стадія "Проект" - (П) по об"єкту:"Реконструкція водопровідної насосної станції №1 "Ялівщина", розташованої по вул. Куренівка (Фікселя, 54) у м. Чернігові"; строк до 2026-10-31. Попросити один знеособлений пакет здачі за цим workflow.</x:v>
      </x:c>
      <x:c r="Z439" s="15" t="str">
        <x:v>https://prozorro.gov.ua/tender/UA-2026-06-19-000880-a</x:v>
      </x:c>
      <x:c r="AA439" s="14" t="str">
        <x:v>37448642</x:v>
      </x:c>
      <x:c r="AB439" s="14" t="str">
        <x:v>2026-08-24</x:v>
      </x:c>
      <x:c r="AC439" s="14" t="str"/>
      <x:c r="AD439" s="20" t="str"/>
      <x:c r="AE439" s="14" t="str"/>
      <x:c r="AF439" s="14" t="n">
        <x:v>54</x:v>
      </x:c>
      <x:c r="AG439" s="14" t="str">
        <x:v>I3</x:v>
      </x:c>
      <x:c r="AH439" s="14" t="n">
        <x:v>1</x:v>
      </x:c>
      <x:c r="AI439" s="14" t="n">
        <x:v>1</x:v>
      </x:c>
      <x:c r="AJ439" s="18" t="n">
        <x:v>970894.8</x:v>
      </x:c>
      <x:c r="AK439" s="14" t="str">
        <x:v>https://prozorro.gov.ua/tender/UA-2026-06-19-000880-a</x:v>
      </x:c>
      <x:c r="AL439" s="19" t="n">
        <x:v>46192.26208408565</x:v>
      </x:c>
      <x:c r="AM439" s="19" t="n">
        <x:v>46326.305185185185</x:v>
      </x:c>
      <x:c r="AN439" s="15" t="str">
        <x:v>Насосні станції</x:v>
      </x:c>
      <x:c r="AO439" s="15" t="str">
        <x:v>not_found_in_top_search</x:v>
      </x:c>
    </x:row>
    <x:row r="440">
      <x:c r="A440" s="14" t="str">
        <x:v>W3-168</x:v>
      </x:c>
      <x:c r="B440" s="14" t="str">
        <x:v>Prozorro winners — 24.08</x:v>
      </x:c>
      <x:c r="C440" s="14" t="str">
        <x:v>ТОВ ВЕКТОР-АТ</x:v>
      </x:c>
      <x:c r="D440" s="14" t="str">
        <x:v>HVAC / ОВіК</x:v>
      </x:c>
      <x:c r="E440" s="14" t="str">
        <x:v>Pilot now</x:v>
      </x:c>
      <x:c r="F440" s="17" t="str">
        <x:f>IF(E440="Pilot now",IF(P440&gt;=84,"P1",IF(P440&gt;=72,"P2","P3")),IF(E440="Expansion discovery",IF(Q440&gt;=88,"D1",IF(Q440&gt;=78,"D2","D3")),IF(E440="Later / requirements","L","Legacy")))</x:f>
        <x:v>P1</x:v>
      </x:c>
      <x:c r="G440" s="14" t="str"/>
      <x:c r="H440" s="14" t="str">
        <x:v>Пілот зараз — Н.14</x:v>
      </x:c>
      <x:c r="I440" s="16" t="n">
        <x:v>5</x:v>
      </x:c>
      <x:c r="J440" s="16" t="n">
        <x:v>5</x:v>
      </x:c>
      <x:c r="K440" s="16" t="n">
        <x:v>5</x:v>
      </x:c>
      <x:c r="L440" s="16" t="n">
        <x:v>3</x:v>
      </x:c>
      <x:c r="M440" s="16" t="n">
        <x:v>5</x:v>
      </x:c>
      <x:c r="N440" s="16" t="n">
        <x:v>5</x:v>
      </x:c>
      <x:c r="O440" s="16" t="n">
        <x:v>5</x:v>
      </x:c>
      <x:c r="P440" s="16" t="n">
        <x:f>IF(COUNT(I440:O440)&lt;7,"",I440*8+J440*3+K440*2+L440*2+M440*2+N440*2+O440)</x:f>
        <x:v>96</x:v>
      </x:c>
      <x:c r="Q440" s="16" t="n">
        <x:f>IF(COUNT(J440:O440)&lt;6,"",J440*5+K440*4+M440*4+L440*3+N440*2+O440*2)</x:f>
        <x:v>94</x:v>
      </x:c>
      <x:c r="R440" s="14" t="str">
        <x:v>high</x:v>
      </x:c>
      <x:c r="S440" s="14" t="str">
        <x:v>official_prozorro_award_2025_2026</x:v>
      </x:c>
      <x:c r="T440" s="14" t="str">
        <x:v>official_prozorro_api</x:v>
      </x:c>
      <x:c r="U440" s="14" t="str">
        <x:v>Не контактували</x:v>
      </x:c>
      <x:c r="V440" s="15" t="str">
        <x:v>Персоналізований free-pilot outreach по UA-2026-04-07-012254-a; попросити 1 пакет Н.14/Н.15</x:v>
      </x:c>
      <x:c r="W440" s="15" t="str">
        <x:v>Власник / директор; керівник ПТО; відповідальний за договори</x:v>
      </x:c>
      <x:c r="X440" s="15" t="str">
        <x:v>1 підтверджених перемог/договорів у Prozorro на 843 113 грн; 1 проєктів зі строком виконання не раніше 24.08.2026.</x:v>
      </x:c>
      <x:c r="Y440" s="15" t="str">
        <x:v>Послуги з монтажу системи вентиляції та кондиціонування підвального приміщення будівлі гуртожитку № 1 літ. «Д» за адресою: м. Київ; строк до 2026-12-10. Попросити один знеособлений пакет здачі за цим workflow.</x:v>
      </x:c>
      <x:c r="Z440" s="15" t="str">
        <x:v>https://prozorro.gov.ua/tender/UA-2026-04-07-012254-a</x:v>
      </x:c>
      <x:c r="AA440" s="14" t="str">
        <x:v>42387147</x:v>
      </x:c>
      <x:c r="AB440" s="14" t="str">
        <x:v>2026-08-24</x:v>
      </x:c>
      <x:c r="AC440" s="14" t="str"/>
      <x:c r="AD440" s="20" t="str"/>
      <x:c r="AE440" s="14" t="str"/>
      <x:c r="AF440" s="14" t="n">
        <x:v>54</x:v>
      </x:c>
      <x:c r="AG440" s="14" t="str">
        <x:v>I3</x:v>
      </x:c>
      <x:c r="AH440" s="14" t="n">
        <x:v>1</x:v>
      </x:c>
      <x:c r="AI440" s="14" t="n">
        <x:v>1</x:v>
      </x:c>
      <x:c r="AJ440" s="18" t="n">
        <x:v>843113.08</x:v>
      </x:c>
      <x:c r="AK440" s="14" t="str">
        <x:v>https://prozorro.gov.ua/tender/UA-2026-04-07-012254-a</x:v>
      </x:c>
      <x:c r="AL440" s="19" t="n">
        <x:v>46141.357543356484</x:v>
      </x:c>
      <x:c r="AM440" s="19" t="n">
        <x:v>46366</x:v>
      </x:c>
      <x:c r="AN440" s="15" t="str">
        <x:v>HVAC / ОВіК</x:v>
      </x:c>
      <x:c r="AO440" s="15" t="str">
        <x:v>not_found_in_top_search</x:v>
      </x:c>
    </x:row>
    <x:row r="441">
      <x:c r="A441" s="14" t="str">
        <x:v>W3-169</x:v>
      </x:c>
      <x:c r="B441" s="14" t="str">
        <x:v>Prozorro winners — 24.08</x:v>
      </x:c>
      <x:c r="C441" s="14" t="str">
        <x:v>ТОВ "ГенезісПроІнжиніринг"</x:v>
      </x:c>
      <x:c r="D441" s="14" t="str">
        <x:v>Насосні станції</x:v>
      </x:c>
      <x:c r="E441" s="14" t="str">
        <x:v>Expansion discovery</x:v>
      </x:c>
      <x:c r="F441" s="17" t="str">
        <x:f>IF(E441="Pilot now",IF(P441&gt;=84,"P1",IF(P441&gt;=72,"P2","P3")),IF(E441="Expansion discovery",IF(Q441&gt;=88,"D1",IF(Q441&gt;=78,"D2","D3")),IF(E441="Later / requirements","L","Legacy")))</x:f>
        <x:v>D1</x:v>
      </x:c>
      <x:c r="G441" s="14" t="str"/>
      <x:c r="H441" s="14" t="str">
        <x:v>Discovery розширення — 2 тижні</x:v>
      </x:c>
      <x:c r="I441" s="16" t="n">
        <x:v>1</x:v>
      </x:c>
      <x:c r="J441" s="16" t="n">
        <x:v>5</x:v>
      </x:c>
      <x:c r="K441" s="16" t="n">
        <x:v>4</x:v>
      </x:c>
      <x:c r="L441" s="16" t="n">
        <x:v>3</x:v>
      </x:c>
      <x:c r="M441" s="16" t="n">
        <x:v>5</x:v>
      </x:c>
      <x:c r="N441" s="16" t="n">
        <x:v>5</x:v>
      </x:c>
      <x:c r="O441" s="16" t="n">
        <x:v>5</x:v>
      </x:c>
      <x:c r="P441" s="16" t="n">
        <x:f>IF(COUNT(I441:O441)&lt;7,"",I441*8+J441*3+K441*2+L441*2+M441*2+N441*2+O441)</x:f>
        <x:v>62</x:v>
      </x:c>
      <x:c r="Q441" s="16" t="n">
        <x:f>IF(COUNT(J441:O441)&lt;6,"",J441*5+K441*4+M441*4+L441*3+N441*2+O441*2)</x:f>
        <x:v>90</x:v>
      </x:c>
      <x:c r="R441" s="14" t="str">
        <x:v>high</x:v>
      </x:c>
      <x:c r="S441" s="14" t="str">
        <x:v>official_prozorro_award_2025_2026</x:v>
      </x:c>
      <x:c r="T441" s="14" t="str">
        <x:v>official_prozorro_api</x:v>
      </x:c>
      <x:c r="U441" s="14" t="str">
        <x:v>Не контактували</x:v>
      </x:c>
      <x:c r="V441" s="15" t="str">
        <x:v>Workflow-audit outreach по UA-2026-05-21-001856-a; попросити 1 пакет здачі та вимоги проєкту</x:v>
      </x:c>
      <x:c r="W441" s="15" t="str">
        <x:v>Власник / директор; керівник ПТО; відповідальний за договори</x:v>
      </x:c>
      <x:c r="X441" s="15" t="str">
        <x:v>1 підтверджених перемог/договорів у Prozorro на 795 000 грн; 1 проєктів зі строком виконання не раніше 24.08.2026.</x:v>
      </x:c>
      <x:c r="Y441" s="15" t="str">
        <x:v>ДК 021:2015- 71320000– 7  Послуги  з  розробки проєктно — кошторисної документації  а  саме :   «Реконструкція насосної станції водопостачання мкрн. Велика Корениха за адресою: м. Миколаїв, вул. Ольвійська, 12Н»; строк до 2027-02-01. Попросити один знеособлений пакет здачі за цим workflow.</x:v>
      </x:c>
      <x:c r="Z441" s="15" t="str">
        <x:v>https://prozorro.gov.ua/tender/UA-2026-05-21-001856-a</x:v>
      </x:c>
      <x:c r="AA441" s="14" t="str">
        <x:v>45901964</x:v>
      </x:c>
      <x:c r="AB441" s="14" t="str">
        <x:v>2026-08-24</x:v>
      </x:c>
      <x:c r="AC441" s="14" t="str"/>
      <x:c r="AD441" s="20" t="str"/>
      <x:c r="AE441" s="14" t="str"/>
      <x:c r="AF441" s="14" t="n">
        <x:v>54</x:v>
      </x:c>
      <x:c r="AG441" s="14" t="str">
        <x:v>I3</x:v>
      </x:c>
      <x:c r="AH441" s="14" t="n">
        <x:v>1</x:v>
      </x:c>
      <x:c r="AI441" s="14" t="n">
        <x:v>1</x:v>
      </x:c>
      <x:c r="AJ441" s="18" t="n">
        <x:v>795000</x:v>
      </x:c>
      <x:c r="AK441" s="14" t="str">
        <x:v>https://prozorro.gov.ua/tender/UA-2026-05-21-001856-a</x:v>
      </x:c>
      <x:c r="AL441" s="19" t="n">
        <x:v>46185.263582175925</x:v>
      </x:c>
      <x:c r="AM441" s="19" t="n">
        <x:v>46419</x:v>
      </x:c>
      <x:c r="AN441" s="15" t="str">
        <x:v>Насосні станції</x:v>
      </x:c>
      <x:c r="AO441" s="15" t="str">
        <x:v>not_found_in_top_search</x:v>
      </x:c>
    </x:row>
    <x:row r="442">
      <x:c r="A442" s="14" t="str">
        <x:v>W3-170</x:v>
      </x:c>
      <x:c r="B442" s="14" t="str">
        <x:v>Prozorro winners — 24.08</x:v>
      </x:c>
      <x:c r="C442" s="14" t="str">
        <x:v>ТОВАРИСТВО З ОБМЕЖЕНОЮ ВІДПОВІДАЛЬНІСТЮ "ПРОМБУДІННОВАЦІЇ"</x:v>
      </x:c>
      <x:c r="D442" s="14" t="str">
        <x:v>Мости / інфраструктура</x:v>
      </x:c>
      <x:c r="E442" s="14" t="str">
        <x:v>Expansion discovery</x:v>
      </x:c>
      <x:c r="F442" s="17" t="str">
        <x:f>IF(E442="Pilot now",IF(P442&gt;=84,"P1",IF(P442&gt;=72,"P2","P3")),IF(E442="Expansion discovery",IF(Q442&gt;=88,"D1",IF(Q442&gt;=78,"D2","D3")),IF(E442="Later / requirements","L","Legacy")))</x:f>
        <x:v>D1</x:v>
      </x:c>
      <x:c r="G442" s="14" t="str"/>
      <x:c r="H442" s="14" t="str">
        <x:v>Discovery розширення — 2 тижні</x:v>
      </x:c>
      <x:c r="I442" s="16" t="n">
        <x:v>1</x:v>
      </x:c>
      <x:c r="J442" s="16" t="n">
        <x:v>5</x:v>
      </x:c>
      <x:c r="K442" s="16" t="n">
        <x:v>4</x:v>
      </x:c>
      <x:c r="L442" s="16" t="n">
        <x:v>3</x:v>
      </x:c>
      <x:c r="M442" s="16" t="n">
        <x:v>5</x:v>
      </x:c>
      <x:c r="N442" s="16" t="n">
        <x:v>5</x:v>
      </x:c>
      <x:c r="O442" s="16" t="n">
        <x:v>5</x:v>
      </x:c>
      <x:c r="P442" s="16" t="n">
        <x:f>IF(COUNT(I442:O442)&lt;7,"",I442*8+J442*3+K442*2+L442*2+M442*2+N442*2+O442)</x:f>
        <x:v>62</x:v>
      </x:c>
      <x:c r="Q442" s="16" t="n">
        <x:f>IF(COUNT(J442:O442)&lt;6,"",J442*5+K442*4+M442*4+L442*3+N442*2+O442*2)</x:f>
        <x:v>90</x:v>
      </x:c>
      <x:c r="R442" s="14" t="str">
        <x:v>high</x:v>
      </x:c>
      <x:c r="S442" s="14" t="str">
        <x:v>official_prozorro_award_2025_2026</x:v>
      </x:c>
      <x:c r="T442" s="14" t="str">
        <x:v>official_prozorro_api</x:v>
      </x:c>
      <x:c r="U442" s="14" t="str">
        <x:v>Не контактували</x:v>
      </x:c>
      <x:c r="V442" s="15" t="str">
        <x:v>Workflow-audit outreach по UA-2026-06-22-009710-a; попросити 1 пакет здачі та вимоги проєкту</x:v>
      </x:c>
      <x:c r="W442" s="15" t="str">
        <x:v>Власник / директор; керівник ПТО; відповідальний за договори</x:v>
      </x:c>
      <x:c r="X442" s="15" t="str">
        <x:v>1 підтверджених перемог/договорів у Prozorro на 775 225 грн; 1 проєктів зі строком виконання не раніше 24.08.2026.</x:v>
      </x:c>
      <x:c r="Y442" s="15" t="str">
        <x:v>Послуги з благоустрою населених пунктів: поточний ремонт мосту через р. Саксагань на сел. Більшовик; строк до 2026-09-20. Попросити один знеособлений пакет здачі за цим workflow.</x:v>
      </x:c>
      <x:c r="Z442" s="15" t="str">
        <x:v>https://prozorro.gov.ua/tender/UA-2026-06-22-009710-a</x:v>
      </x:c>
      <x:c r="AA442" s="14" t="str">
        <x:v>44147228</x:v>
      </x:c>
      <x:c r="AB442" s="14" t="str">
        <x:v>2026-08-24</x:v>
      </x:c>
      <x:c r="AC442" s="14" t="str"/>
      <x:c r="AD442" s="20" t="str"/>
      <x:c r="AE442" s="14" t="str"/>
      <x:c r="AF442" s="14" t="n">
        <x:v>54</x:v>
      </x:c>
      <x:c r="AG442" s="14" t="str">
        <x:v>I3</x:v>
      </x:c>
      <x:c r="AH442" s="14" t="n">
        <x:v>1</x:v>
      </x:c>
      <x:c r="AI442" s="14" t="n">
        <x:v>1</x:v>
      </x:c>
      <x:c r="AJ442" s="18" t="n">
        <x:v>775225</x:v>
      </x:c>
      <x:c r="AK442" s="14" t="str">
        <x:v>https://prozorro.gov.ua/tender/UA-2026-06-22-009710-a</x:v>
      </x:c>
      <x:c r="AL442" s="19" t="n">
        <x:v>46205.31756083333</x:v>
      </x:c>
      <x:c r="AM442" s="19" t="n">
        <x:v>46285</x:v>
      </x:c>
      <x:c r="AN442" s="15" t="str">
        <x:v>Мости / інфраструктура</x:v>
      </x:c>
      <x:c r="AO442" s="15" t="str">
        <x:v>not_found_in_top_search</x:v>
      </x:c>
    </x:row>
    <x:row r="443">
      <x:c r="A443" s="14" t="str">
        <x:v>W3-171</x:v>
      </x:c>
      <x:c r="B443" s="14" t="str">
        <x:v>Prozorro winners — 24.08</x:v>
      </x:c>
      <x:c r="C443" s="14" t="str">
        <x:v>Товариство з обмеженою відповідальністю «МВТ ЕДВАЙЗОРІ»</x:v>
      </x:c>
      <x:c r="D443" s="14" t="str">
        <x:v>Зовнішні мережі</x:v>
      </x:c>
      <x:c r="E443" s="14" t="str">
        <x:v>Expansion discovery</x:v>
      </x:c>
      <x:c r="F443" s="17" t="str">
        <x:f>IF(E443="Pilot now",IF(P443&gt;=84,"P1",IF(P443&gt;=72,"P2","P3")),IF(E443="Expansion discovery",IF(Q443&gt;=88,"D1",IF(Q443&gt;=78,"D2","D3")),IF(E443="Later / requirements","L","Legacy")))</x:f>
        <x:v>D1</x:v>
      </x:c>
      <x:c r="G443" s="14" t="str"/>
      <x:c r="H443" s="14" t="str">
        <x:v>Discovery розширення — 2 тижні</x:v>
      </x:c>
      <x:c r="I443" s="16" t="n">
        <x:v>1</x:v>
      </x:c>
      <x:c r="J443" s="16" t="n">
        <x:v>5</x:v>
      </x:c>
      <x:c r="K443" s="16" t="n">
        <x:v>4</x:v>
      </x:c>
      <x:c r="L443" s="16" t="n">
        <x:v>3</x:v>
      </x:c>
      <x:c r="M443" s="16" t="n">
        <x:v>5</x:v>
      </x:c>
      <x:c r="N443" s="16" t="n">
        <x:v>5</x:v>
      </x:c>
      <x:c r="O443" s="16" t="n">
        <x:v>5</x:v>
      </x:c>
      <x:c r="P443" s="16" t="n">
        <x:f>IF(COUNT(I443:O443)&lt;7,"",I443*8+J443*3+K443*2+L443*2+M443*2+N443*2+O443)</x:f>
        <x:v>62</x:v>
      </x:c>
      <x:c r="Q443" s="16" t="n">
        <x:f>IF(COUNT(J443:O443)&lt;6,"",J443*5+K443*4+M443*4+L443*3+N443*2+O443*2)</x:f>
        <x:v>90</x:v>
      </x:c>
      <x:c r="R443" s="14" t="str">
        <x:v>high</x:v>
      </x:c>
      <x:c r="S443" s="14" t="str">
        <x:v>official_prozorro_award_2025_2026</x:v>
      </x:c>
      <x:c r="T443" s="14" t="str">
        <x:v>official_prozorro_api</x:v>
      </x:c>
      <x:c r="U443" s="14" t="str">
        <x:v>Не контактували</x:v>
      </x:c>
      <x:c r="V443" s="15" t="str">
        <x:v>Workflow-audit outreach по UA-2026-05-26-014148-a; попросити 1 пакет здачі та вимоги проєкту</x:v>
      </x:c>
      <x:c r="W443" s="15" t="str">
        <x:v>Власник / директор; керівник ПТО; відповідальний за договори</x:v>
      </x:c>
      <x:c r="X443" s="15" t="str">
        <x:v>1 підтверджених перемог/договорів у Prozorro на 543 999 грн; 1 проєктів зі строком виконання не раніше 24.08.2026.</x:v>
      </x:c>
      <x:c r="Y443" s="15" t="str">
        <x:v>Роботи з технічного нагляду по об'єкту "Нове будівництво зовнішніх інженерних мереж індустріального парку "Кривбас" на вул. Фабричній у м. Кривому Розі, Дніпропетровської області" 1 черга; строк до 2026-12-31. Попросити один знеособлений пакет здачі за цим workflow.</x:v>
      </x:c>
      <x:c r="Z443" s="15" t="str">
        <x:v>https://prozorro.gov.ua/tender/UA-2026-05-26-014148-a</x:v>
      </x:c>
      <x:c r="AA443" s="14" t="str">
        <x:v>46062843</x:v>
      </x:c>
      <x:c r="AB443" s="14" t="str">
        <x:v>2026-08-24</x:v>
      </x:c>
      <x:c r="AC443" s="14" t="str"/>
      <x:c r="AD443" s="20" t="str"/>
      <x:c r="AE443" s="14" t="str"/>
      <x:c r="AF443" s="14" t="n">
        <x:v>54</x:v>
      </x:c>
      <x:c r="AG443" s="14" t="str">
        <x:v>I3</x:v>
      </x:c>
      <x:c r="AH443" s="14" t="n">
        <x:v>1</x:v>
      </x:c>
      <x:c r="AI443" s="14" t="n">
        <x:v>1</x:v>
      </x:c>
      <x:c r="AJ443" s="18" t="n">
        <x:v>543999.18</x:v>
      </x:c>
      <x:c r="AK443" s="14" t="str">
        <x:v>https://prozorro.gov.ua/tender/UA-2026-05-26-014148-a</x:v>
      </x:c>
      <x:c r="AL443" s="19" t="n">
        <x:v>46168.58974912037</x:v>
      </x:c>
      <x:c r="AM443" s="19" t="n">
        <x:v>46387</x:v>
      </x:c>
      <x:c r="AN443" s="15" t="str">
        <x:v>Зовнішні мережі</x:v>
      </x:c>
      <x:c r="AO443" s="15" t="str">
        <x:v>not_found_in_top_search</x:v>
      </x:c>
    </x:row>
    <x:row r="444">
      <x:c r="A444" s="14" t="str">
        <x:v>W3-172</x:v>
      </x:c>
      <x:c r="B444" s="14" t="str">
        <x:v>Prozorro winners — 24.08</x:v>
      </x:c>
      <x:c r="C444" s="14" t="str">
        <x:v>ФІЛІЯ ДП "УКРДЕРЖБУДЕКСПЕРТИЗА " У ТЕРНОПІЛЬСЬКІЙ ОБЛАСТІ</x:v>
      </x:c>
      <x:c r="D444" s="14" t="str">
        <x:v>Водоочищення / очисні споруди</x:v>
      </x:c>
      <x:c r="E444" s="14" t="str">
        <x:v>Expansion discovery</x:v>
      </x:c>
      <x:c r="F444" s="17" t="str">
        <x:f>IF(E444="Pilot now",IF(P444&gt;=84,"P1",IF(P444&gt;=72,"P2","P3")),IF(E444="Expansion discovery",IF(Q444&gt;=88,"D1",IF(Q444&gt;=78,"D2","D3")),IF(E444="Later / requirements","L","Legacy")))</x:f>
        <x:v>D2</x:v>
      </x:c>
      <x:c r="G444" s="14" t="str"/>
      <x:c r="H444" s="14" t="str">
        <x:v>Discovery розширення — 2 тижні</x:v>
      </x:c>
      <x:c r="I444" s="16" t="n">
        <x:v>1</x:v>
      </x:c>
      <x:c r="J444" s="16" t="n">
        <x:v>5</x:v>
      </x:c>
      <x:c r="K444" s="16" t="n">
        <x:v>4</x:v>
      </x:c>
      <x:c r="L444" s="16" t="n">
        <x:v>1</x:v>
      </x:c>
      <x:c r="M444" s="16" t="n">
        <x:v>5</x:v>
      </x:c>
      <x:c r="N444" s="16" t="n">
        <x:v>5</x:v>
      </x:c>
      <x:c r="O444" s="16" t="n">
        <x:v>5</x:v>
      </x:c>
      <x:c r="P444" s="16" t="n">
        <x:f>IF(COUNT(I444:O444)&lt;7,"",I444*8+J444*3+K444*2+L444*2+M444*2+N444*2+O444)</x:f>
        <x:v>58</x:v>
      </x:c>
      <x:c r="Q444" s="16" t="n">
        <x:f>IF(COUNT(J444:O444)&lt;6,"",J444*5+K444*4+M444*4+L444*3+N444*2+O444*2)</x:f>
        <x:v>84</x:v>
      </x:c>
      <x:c r="R444" s="14" t="str">
        <x:v>high</x:v>
      </x:c>
      <x:c r="S444" s="14" t="str">
        <x:v>official_prozorro_award_2025_2026</x:v>
      </x:c>
      <x:c r="T444" s="14" t="str">
        <x:v>official_prozorro_api</x:v>
      </x:c>
      <x:c r="U444" s="14" t="str">
        <x:v>Не контактували</x:v>
      </x:c>
      <x:c r="V444" s="15" t="str">
        <x:v>Workflow-audit outreach по UA-2026-07-01-009343-a; попросити 1 пакет здачі та вимоги проєкту</x:v>
      </x:c>
      <x:c r="W444" s="15" t="str">
        <x:v>Власник / директор; керівник ПТО; відповідальний за договори</x:v>
      </x:c>
      <x:c r="X444" s="15" t="str">
        <x:v>2 підтверджених перемог/договорів у Prozorro на 68 123 грн; 1 проєктів зі строком виконання не раніше 24.08.2026.</x:v>
      </x:c>
      <x:c r="Y444" s="15" t="str">
        <x:v>Експертиза проекту будівництва: "Капітальний ремонт верхнього шару покриття, огородження пішохідного мосту на річці Стрипа в місті Зборові Тернопільського району Тернопільської області"; строк до 2026-07-31. Попросити один знеособлений пакет здачі за цим workflow.</x:v>
      </x:c>
      <x:c r="Z444" s="15" t="str">
        <x:v>https://prozorro.gov.ua/tender/UA-2026-07-01-009343-a</x:v>
      </x:c>
      <x:c r="AA444" s="14" t="str">
        <x:v>35850400</x:v>
      </x:c>
      <x:c r="AB444" s="14" t="str">
        <x:v>2026-08-24</x:v>
      </x:c>
      <x:c r="AC444" s="14" t="str"/>
      <x:c r="AD444" s="20" t="str"/>
      <x:c r="AE444" s="14" t="str"/>
      <x:c r="AF444" s="14" t="n">
        <x:v>54</x:v>
      </x:c>
      <x:c r="AG444" s="14" t="str">
        <x:v>I3</x:v>
      </x:c>
      <x:c r="AH444" s="14" t="n">
        <x:v>2</x:v>
      </x:c>
      <x:c r="AI444" s="14" t="n">
        <x:v>1</x:v>
      </x:c>
      <x:c r="AJ444" s="18" t="n">
        <x:v>68122.6</x:v>
      </x:c>
      <x:c r="AK444" s="14" t="str">
        <x:v>https://prozorro.gov.ua/tender/UA-2026-07-01-009343-a</x:v>
      </x:c>
      <x:c r="AL444" s="19" t="n">
        <x:v>46204.601056527776</x:v>
      </x:c>
      <x:c r="AM444" s="19" t="n">
        <x:v>46234</x:v>
      </x:c>
      <x:c r="AN444" s="15" t="str">
        <x:v>Водоочищення / очисні споруди; Мости / інфраструктура</x:v>
      </x:c>
      <x:c r="AO444" s="15" t="str">
        <x:v>not_found_in_top_search</x:v>
      </x:c>
    </x:row>
    <x:row r="445">
      <x:c r="A445" s="14" t="str">
        <x:v>W3-173</x:v>
      </x:c>
      <x:c r="B445" s="14" t="str">
        <x:v>Prozorro winners — 24.08</x:v>
      </x:c>
      <x:c r="C445" s="14" t="str">
        <x:v>ДЯК ОЛЕКСАНДР ІВАНОВИЧ</x:v>
      </x:c>
      <x:c r="D445" s="14" t="str">
        <x:v>Промисловий холод</x:v>
      </x:c>
      <x:c r="E445" s="14" t="str">
        <x:v>Expansion discovery</x:v>
      </x:c>
      <x:c r="F445" s="17" t="str">
        <x:f>IF(E445="Pilot now",IF(P445&gt;=84,"P1",IF(P445&gt;=72,"P2","P3")),IF(E445="Expansion discovery",IF(Q445&gt;=88,"D1",IF(Q445&gt;=78,"D2","D3")),IF(E445="Later / requirements","L","Legacy")))</x:f>
        <x:v>D2</x:v>
      </x:c>
      <x:c r="G445" s="14" t="str"/>
      <x:c r="H445" s="14" t="str">
        <x:v>Discovery розширення — 2 тижні</x:v>
      </x:c>
      <x:c r="I445" s="16" t="n">
        <x:v>1</x:v>
      </x:c>
      <x:c r="J445" s="16" t="n">
        <x:v>5</x:v>
      </x:c>
      <x:c r="K445" s="16" t="n">
        <x:v>4</x:v>
      </x:c>
      <x:c r="L445" s="16" t="n">
        <x:v>1</x:v>
      </x:c>
      <x:c r="M445" s="16" t="n">
        <x:v>5</x:v>
      </x:c>
      <x:c r="N445" s="16" t="n">
        <x:v>3</x:v>
      </x:c>
      <x:c r="O445" s="16" t="n">
        <x:v>5</x:v>
      </x:c>
      <x:c r="P445" s="16" t="n">
        <x:f>IF(COUNT(I445:O445)&lt;7,"",I445*8+J445*3+K445*2+L445*2+M445*2+N445*2+O445)</x:f>
        <x:v>54</x:v>
      </x:c>
      <x:c r="Q445" s="16" t="n">
        <x:f>IF(COUNT(J445:O445)&lt;6,"",J445*5+K445*4+M445*4+L445*3+N445*2+O445*2)</x:f>
        <x:v>80</x:v>
      </x:c>
      <x:c r="R445" s="14" t="str">
        <x:v>high</x:v>
      </x:c>
      <x:c r="S445" s="14" t="str">
        <x:v>official_prozorro_award_2025_2026</x:v>
      </x:c>
      <x:c r="T445" s="14" t="str">
        <x:v>official_prozorro_api</x:v>
      </x:c>
      <x:c r="U445" s="14" t="str">
        <x:v>Не контактували</x:v>
      </x:c>
      <x:c r="V445" s="15" t="str">
        <x:v>Workflow-audit outreach по UA-2026-08-11-010512-a; попросити 1 пакет здачі та вимоги проєкту</x:v>
      </x:c>
      <x:c r="W445" s="15" t="str">
        <x:v>Власник / виконавець; відповідальний за договір</x:v>
      </x:c>
      <x:c r="X445" s="15" t="str">
        <x:v>2 підтверджених перемог/договорів у Prozorro на 62 300 грн; 1 проєктів зі строком виконання не раніше 24.08.2026.</x:v>
      </x:c>
      <x:c r="Y445" s="15" t="str">
        <x:v>Кондицiонер з монтажем та демонтажем 42510000-4   Теплообмiнники, кондицiонери повiтря, холодильне обладнання та фiльтрувальнi пристрої; строк до 2026-08-28. Попросити один знеособлений пакет здачі за цим workflow.</x:v>
      </x:c>
      <x:c r="Z445" s="15" t="str">
        <x:v>https://prozorro.gov.ua/tender/UA-2026-08-11-010512-a</x:v>
      </x:c>
      <x:c r="AA445" s="14" t="str">
        <x:v>2718200133</x:v>
      </x:c>
      <x:c r="AB445" s="14" t="str">
        <x:v>2026-08-24</x:v>
      </x:c>
      <x:c r="AC445" s="14" t="str"/>
      <x:c r="AD445" s="20" t="str"/>
      <x:c r="AE445" s="14" t="str"/>
      <x:c r="AF445" s="14" t="n">
        <x:v>54</x:v>
      </x:c>
      <x:c r="AG445" s="14" t="str">
        <x:v>I3</x:v>
      </x:c>
      <x:c r="AH445" s="14" t="n">
        <x:v>2</x:v>
      </x:c>
      <x:c r="AI445" s="14" t="n">
        <x:v>1</x:v>
      </x:c>
      <x:c r="AJ445" s="18" t="n">
        <x:v>62300</x:v>
      </x:c>
      <x:c r="AK445" s="14" t="str">
        <x:v>https://prozorro.gov.ua/tender/UA-2026-08-11-010512-a</x:v>
      </x:c>
      <x:c r="AL445" s="19" t="n">
        <x:v>46245.53849072917</x:v>
      </x:c>
      <x:c r="AM445" s="19" t="n">
        <x:v>46262</x:v>
      </x:c>
      <x:c r="AN445" s="15" t="str">
        <x:v>Промисловий холод</x:v>
      </x:c>
      <x:c r="AO445" s="15" t="str">
        <x:v>not_found_in_top_search</x:v>
      </x:c>
    </x:row>
    <x:row r="446">
      <x:c r="A446" s="14" t="str">
        <x:v>W3-174</x:v>
      </x:c>
      <x:c r="B446" s="14" t="str">
        <x:v>Prozorro winners — 24.08</x:v>
      </x:c>
      <x:c r="C446" s="14" t="str">
        <x:v>СУПРУНЮК ОЛЕКСАНДР ВІТАЛІЙОВИЧ</x:v>
      </x:c>
      <x:c r="D446" s="14" t="str">
        <x:v>Електромонтаж</x:v>
      </x:c>
      <x:c r="E446" s="14" t="str">
        <x:v>Pilot now</x:v>
      </x:c>
      <x:c r="F446" s="17" t="str">
        <x:f>IF(E446="Pilot now",IF(P446&gt;=84,"P1",IF(P446&gt;=72,"P2","P3")),IF(E446="Expansion discovery",IF(Q446&gt;=88,"D1",IF(Q446&gt;=78,"D2","D3")),IF(E446="Later / requirements","L","Legacy")))</x:f>
        <x:v>P1</x:v>
      </x:c>
      <x:c r="G446" s="14" t="str"/>
      <x:c r="H446" s="14" t="str">
        <x:v>Пілот зараз — Н.15</x:v>
      </x:c>
      <x:c r="I446" s="16" t="n">
        <x:v>5</x:v>
      </x:c>
      <x:c r="J446" s="16" t="n">
        <x:v>5</x:v>
      </x:c>
      <x:c r="K446" s="16" t="n">
        <x:v>5</x:v>
      </x:c>
      <x:c r="L446" s="16" t="n">
        <x:v>1</x:v>
      </x:c>
      <x:c r="M446" s="16" t="n">
        <x:v>5</x:v>
      </x:c>
      <x:c r="N446" s="16" t="n">
        <x:v>3</x:v>
      </x:c>
      <x:c r="O446" s="16" t="n">
        <x:v>5</x:v>
      </x:c>
      <x:c r="P446" s="16" t="n">
        <x:f>IF(COUNT(I446:O446)&lt;7,"",I446*8+J446*3+K446*2+L446*2+M446*2+N446*2+O446)</x:f>
        <x:v>88</x:v>
      </x:c>
      <x:c r="Q446" s="16" t="n">
        <x:f>IF(COUNT(J446:O446)&lt;6,"",J446*5+K446*4+M446*4+L446*3+N446*2+O446*2)</x:f>
        <x:v>84</x:v>
      </x:c>
      <x:c r="R446" s="14" t="str">
        <x:v>high</x:v>
      </x:c>
      <x:c r="S446" s="14" t="str">
        <x:v>official_prozorro_award_2025_2026</x:v>
      </x:c>
      <x:c r="T446" s="14" t="str">
        <x:v>official_prozorro_api</x:v>
      </x:c>
      <x:c r="U446" s="14" t="str">
        <x:v>Не контактували</x:v>
      </x:c>
      <x:c r="V446" s="15" t="str">
        <x:v>Персоналізований free-pilot outreach по UA-2026-07-10-004879-a; попросити 1 пакет Н.14/Н.15</x:v>
      </x:c>
      <x:c r="W446" s="15" t="str">
        <x:v>Власник / виконавець; відповідальний за договір</x:v>
      </x:c>
      <x:c r="X446" s="15" t="str">
        <x:v>2 підтверджених перемог/договорів у Prozorro на 29 000 грн; 1 проєктів зі строком виконання не раніше 24.08.2026.</x:v>
      </x:c>
      <x:c r="Y446" s="15" t="str">
        <x:v>Послуги з електровимірювання (електровимірювальні роботи) (ДК 021:2015:71630000-3 Послуги з технічного огляду та випробувань (електровимірювальні роботи)); строк до 2026-12-31. Попросити один знеособлений пакет здачі за цим workflow.</x:v>
      </x:c>
      <x:c r="Z446" s="15" t="str">
        <x:v>https://prozorro.gov.ua/tender/UA-2026-07-10-004879-a</x:v>
      </x:c>
      <x:c r="AA446" s="14" t="str">
        <x:v>3490410698</x:v>
      </x:c>
      <x:c r="AB446" s="14" t="str">
        <x:v>2026-08-24</x:v>
      </x:c>
      <x:c r="AC446" s="14" t="str"/>
      <x:c r="AD446" s="20" t="str"/>
      <x:c r="AE446" s="14" t="str"/>
      <x:c r="AF446" s="14" t="n">
        <x:v>54</x:v>
      </x:c>
      <x:c r="AG446" s="14" t="str">
        <x:v>I3</x:v>
      </x:c>
      <x:c r="AH446" s="14" t="n">
        <x:v>2</x:v>
      </x:c>
      <x:c r="AI446" s="14" t="n">
        <x:v>1</x:v>
      </x:c>
      <x:c r="AJ446" s="18" t="n">
        <x:v>29000</x:v>
      </x:c>
      <x:c r="AK446" s="14" t="str">
        <x:v>https://prozorro.gov.ua/tender/UA-2026-07-10-004879-a</x:v>
      </x:c>
      <x:c r="AL446" s="19" t="n">
        <x:v>46213.38689792824</x:v>
      </x:c>
      <x:c r="AM446" s="19" t="n">
        <x:v>46387</x:v>
      </x:c>
      <x:c r="AN446" s="15" t="str">
        <x:v>Електромонтаж</x:v>
      </x:c>
      <x:c r="AO446" s="15" t="str">
        <x:v>not_found_in_top_search</x:v>
      </x:c>
    </x:row>
    <x:row r="447">
      <x:c r="A447" s="14" t="str">
        <x:v>W3-175</x:v>
      </x:c>
      <x:c r="B447" s="14" t="str">
        <x:v>Prozorro winners — 24.08</x:v>
      </x:c>
      <x:c r="C447" s="14" t="str">
        <x:v>РІШКО ДМИТРО СТЕПАНОВИЧ</x:v>
      </x:c>
      <x:c r="D447" s="14" t="str">
        <x:v>Електромонтаж</x:v>
      </x:c>
      <x:c r="E447" s="14" t="str">
        <x:v>Pilot now</x:v>
      </x:c>
      <x:c r="F447" s="17" t="str">
        <x:f>IF(E447="Pilot now",IF(P447&gt;=84,"P1",IF(P447&gt;=72,"P2","P3")),IF(E447="Expansion discovery",IF(Q447&gt;=88,"D1",IF(Q447&gt;=78,"D2","D3")),IF(E447="Later / requirements","L","Legacy")))</x:f>
        <x:v>P1</x:v>
      </x:c>
      <x:c r="G447" s="14" t="str"/>
      <x:c r="H447" s="14" t="str">
        <x:v>Пілот зараз — Н.15</x:v>
      </x:c>
      <x:c r="I447" s="16" t="n">
        <x:v>5</x:v>
      </x:c>
      <x:c r="J447" s="16" t="n">
        <x:v>5</x:v>
      </x:c>
      <x:c r="K447" s="16" t="n">
        <x:v>5</x:v>
      </x:c>
      <x:c r="L447" s="16" t="n">
        <x:v>1</x:v>
      </x:c>
      <x:c r="M447" s="16" t="n">
        <x:v>5</x:v>
      </x:c>
      <x:c r="N447" s="16" t="n">
        <x:v>3</x:v>
      </x:c>
      <x:c r="O447" s="16" t="n">
        <x:v>5</x:v>
      </x:c>
      <x:c r="P447" s="16" t="n">
        <x:f>IF(COUNT(I447:O447)&lt;7,"",I447*8+J447*3+K447*2+L447*2+M447*2+N447*2+O447)</x:f>
        <x:v>88</x:v>
      </x:c>
      <x:c r="Q447" s="16" t="n">
        <x:f>IF(COUNT(J447:O447)&lt;6,"",J447*5+K447*4+M447*4+L447*3+N447*2+O447*2)</x:f>
        <x:v>84</x:v>
      </x:c>
      <x:c r="R447" s="14" t="str">
        <x:v>high</x:v>
      </x:c>
      <x:c r="S447" s="14" t="str">
        <x:v>official_prozorro_award_2025_2026</x:v>
      </x:c>
      <x:c r="T447" s="14" t="str">
        <x:v>official_prozorro_api</x:v>
      </x:c>
      <x:c r="U447" s="14" t="str">
        <x:v>Не контактували</x:v>
      </x:c>
      <x:c r="V447" s="15" t="str">
        <x:v>Персоналізований free-pilot outreach по UA-2026-07-30-006269-a; попросити 1 пакет Н.14/Н.15</x:v>
      </x:c>
      <x:c r="W447" s="15" t="str">
        <x:v>Власник / виконавець; відповідальний за договір</x:v>
      </x:c>
      <x:c r="X447" s="15" t="str">
        <x:v>2 підтверджених перемог/договорів у Prozorro на 8 562 грн; 1 проєктів зі строком виконання не раніше 24.08.2026.</x:v>
      </x:c>
      <x:c r="Y447" s="15" t="str">
        <x:v>Послуги з технічного обслуговування електричного устаткування будівель (перевірка системи заземлення, електровимірювальні роботи та виготовлення технічної документації); строк до 2026-12-31. Попросити один знеособлений пакет здачі за цим workflow.</x:v>
      </x:c>
      <x:c r="Z447" s="15" t="str">
        <x:v>https://prozorro.gov.ua/tender/UA-2026-07-30-006269-a</x:v>
      </x:c>
      <x:c r="AA447" s="14" t="str">
        <x:v>2925801591</x:v>
      </x:c>
      <x:c r="AB447" s="14" t="str">
        <x:v>2026-08-24</x:v>
      </x:c>
      <x:c r="AC447" s="14" t="str"/>
      <x:c r="AD447" s="20" t="str"/>
      <x:c r="AE447" s="14" t="str"/>
      <x:c r="AF447" s="14" t="n">
        <x:v>54</x:v>
      </x:c>
      <x:c r="AG447" s="14" t="str">
        <x:v>I3</x:v>
      </x:c>
      <x:c r="AH447" s="14" t="n">
        <x:v>2</x:v>
      </x:c>
      <x:c r="AI447" s="14" t="n">
        <x:v>1</x:v>
      </x:c>
      <x:c r="AJ447" s="18" t="n">
        <x:v>8562</x:v>
      </x:c>
      <x:c r="AK447" s="14" t="str">
        <x:v>https://prozorro.gov.ua/tender/UA-2026-07-30-006269-a</x:v>
      </x:c>
      <x:c r="AL447" s="19" t="n">
        <x:v>46233.474989282404</x:v>
      </x:c>
      <x:c r="AM447" s="19" t="n">
        <x:v>46387</x:v>
      </x:c>
      <x:c r="AN447" s="15" t="str">
        <x:v>Електромонтаж</x:v>
      </x:c>
      <x:c r="AO447" s="15" t="str">
        <x:v>not_found_in_top_search</x:v>
      </x:c>
    </x:row>
    <x:row r="448">
      <x:c r="A448" s="14" t="str">
        <x:v>W3-176</x:v>
      </x:c>
      <x:c r="B448" s="14" t="str">
        <x:v>Prozorro winners — 24.08</x:v>
      </x:c>
      <x:c r="C448" s="14" t="str">
        <x:v>ФОП "ГЛАДКИЙ ВАДИМ ВАДИМОВИЧ"</x:v>
      </x:c>
      <x:c r="D448" s="14" t="str">
        <x:v>Мости / інфраструктура</x:v>
      </x:c>
      <x:c r="E448" s="14" t="str">
        <x:v>Expansion discovery</x:v>
      </x:c>
      <x:c r="F448" s="17" t="str">
        <x:f>IF(E448="Pilot now",IF(P448&gt;=84,"P1",IF(P448&gt;=72,"P2","P3")),IF(E448="Expansion discovery",IF(Q448&gt;=88,"D1",IF(Q448&gt;=78,"D2","D3")),IF(E448="Later / requirements","L","Legacy")))</x:f>
        <x:v>D2</x:v>
      </x:c>
      <x:c r="G448" s="14" t="str"/>
      <x:c r="H448" s="14" t="str">
        <x:v>Discovery розширення — 2 тижні</x:v>
      </x:c>
      <x:c r="I448" s="16" t="n">
        <x:v>1</x:v>
      </x:c>
      <x:c r="J448" s="16" t="n">
        <x:v>5</x:v>
      </x:c>
      <x:c r="K448" s="16" t="n">
        <x:v>4</x:v>
      </x:c>
      <x:c r="L448" s="16" t="n">
        <x:v>2</x:v>
      </x:c>
      <x:c r="M448" s="16" t="n">
        <x:v>5</x:v>
      </x:c>
      <x:c r="N448" s="16" t="n">
        <x:v>3</x:v>
      </x:c>
      <x:c r="O448" s="16" t="n">
        <x:v>5</x:v>
      </x:c>
      <x:c r="P448" s="16" t="n">
        <x:f>IF(COUNT(I448:O448)&lt;7,"",I448*8+J448*3+K448*2+L448*2+M448*2+N448*2+O448)</x:f>
        <x:v>56</x:v>
      </x:c>
      <x:c r="Q448" s="16" t="n">
        <x:f>IF(COUNT(J448:O448)&lt;6,"",J448*5+K448*4+M448*4+L448*3+N448*2+O448*2)</x:f>
        <x:v>83</x:v>
      </x:c>
      <x:c r="R448" s="14" t="str">
        <x:v>high</x:v>
      </x:c>
      <x:c r="S448" s="14" t="str">
        <x:v>official_prozorro_award_2025_2026</x:v>
      </x:c>
      <x:c r="T448" s="14" t="str">
        <x:v>official_prozorro_api</x:v>
      </x:c>
      <x:c r="U448" s="14" t="str">
        <x:v>Не контактували</x:v>
      </x:c>
      <x:c r="V448" s="15" t="str">
        <x:v>Workflow-audit outreach по UA-2026-08-06-000509-a; попросити 1 пакет здачі та вимоги проєкту</x:v>
      </x:c>
      <x:c r="W448" s="15" t="str">
        <x:v>Власник / виконавець; відповідальний за договір</x:v>
      </x:c>
      <x:c r="X448" s="15" t="str">
        <x:v>1 підтверджених перемог/договорів у Prozorro на 342 158 грн; 1 проєктів зі строком виконання не раніше 24.08.2026.</x:v>
      </x:c>
      <x:c r="Y448" s="15" t="str">
        <x:v>Послуги з поточного ремонту дерев’яного мосту пров.Василя Сухомлинського та вул.Дикалова, м. Охтирка Сумської області; строк до 2026-10-31. Попросити один знеособлений пакет здачі за цим workflow.</x:v>
      </x:c>
      <x:c r="Z448" s="15" t="str">
        <x:v>https://prozorro.gov.ua/tender/UA-2026-08-06-000509-a</x:v>
      </x:c>
      <x:c r="AA448" s="14" t="str">
        <x:v>2957912478</x:v>
      </x:c>
      <x:c r="AB448" s="14" t="str">
        <x:v>2026-08-24</x:v>
      </x:c>
      <x:c r="AC448" s="14" t="str"/>
      <x:c r="AD448" s="20" t="str"/>
      <x:c r="AE448" s="14" t="str"/>
      <x:c r="AF448" s="14" t="n">
        <x:v>53</x:v>
      </x:c>
      <x:c r="AG448" s="14" t="str">
        <x:v>I3</x:v>
      </x:c>
      <x:c r="AH448" s="14" t="n">
        <x:v>1</x:v>
      </x:c>
      <x:c r="AI448" s="14" t="n">
        <x:v>1</x:v>
      </x:c>
      <x:c r="AJ448" s="18" t="n">
        <x:v>342158</x:v>
      </x:c>
      <x:c r="AK448" s="14" t="str">
        <x:v>https://prozorro.gov.ua/tender/UA-2026-08-06-000509-a</x:v>
      </x:c>
      <x:c r="AL448" s="19" t="n">
        <x:v>46248.45368438657</x:v>
      </x:c>
      <x:c r="AM448" s="19" t="n">
        <x:v>46326.29728009259</x:v>
      </x:c>
      <x:c r="AN448" s="15" t="str">
        <x:v>Мости / інфраструктура</x:v>
      </x:c>
      <x:c r="AO448" s="15" t="str">
        <x:v>not_found_in_top_search</x:v>
      </x:c>
    </x:row>
    <x:row r="449">
      <x:c r="A449" s="14" t="str">
        <x:v>W3-177</x:v>
      </x:c>
      <x:c r="B449" s="14" t="str">
        <x:v>Prozorro winners — 24.08</x:v>
      </x:c>
      <x:c r="C449" s="14" t="str">
        <x:v>ТУРДАЙ ВОЛОДИМИР ЮРІЙОВИЧ</x:v>
      </x:c>
      <x:c r="D449" s="14" t="str">
        <x:v>Електромонтаж</x:v>
      </x:c>
      <x:c r="E449" s="14" t="str">
        <x:v>Pilot now</x:v>
      </x:c>
      <x:c r="F449" s="17" t="str">
        <x:f>IF(E449="Pilot now",IF(P449&gt;=84,"P1",IF(P449&gt;=72,"P2","P3")),IF(E449="Expansion discovery",IF(Q449&gt;=88,"D1",IF(Q449&gt;=78,"D2","D3")),IF(E449="Later / requirements","L","Legacy")))</x:f>
        <x:v>P1</x:v>
      </x:c>
      <x:c r="G449" s="14" t="str"/>
      <x:c r="H449" s="14" t="str">
        <x:v>Пілот зараз — Н.15</x:v>
      </x:c>
      <x:c r="I449" s="16" t="n">
        <x:v>5</x:v>
      </x:c>
      <x:c r="J449" s="16" t="n">
        <x:v>5</x:v>
      </x:c>
      <x:c r="K449" s="16" t="n">
        <x:v>5</x:v>
      </x:c>
      <x:c r="L449" s="16" t="n">
        <x:v>2</x:v>
      </x:c>
      <x:c r="M449" s="16" t="n">
        <x:v>5</x:v>
      </x:c>
      <x:c r="N449" s="16" t="n">
        <x:v>3</x:v>
      </x:c>
      <x:c r="O449" s="16" t="n">
        <x:v>5</x:v>
      </x:c>
      <x:c r="P449" s="16" t="n">
        <x:f>IF(COUNT(I449:O449)&lt;7,"",I449*8+J449*3+K449*2+L449*2+M449*2+N449*2+O449)</x:f>
        <x:v>90</x:v>
      </x:c>
      <x:c r="Q449" s="16" t="n">
        <x:f>IF(COUNT(J449:O449)&lt;6,"",J449*5+K449*4+M449*4+L449*3+N449*2+O449*2)</x:f>
        <x:v>87</x:v>
      </x:c>
      <x:c r="R449" s="14" t="str">
        <x:v>high</x:v>
      </x:c>
      <x:c r="S449" s="14" t="str">
        <x:v>official_prozorro_award_2025_2026</x:v>
      </x:c>
      <x:c r="T449" s="14" t="str">
        <x:v>official_prozorro_api</x:v>
      </x:c>
      <x:c r="U449" s="14" t="str">
        <x:v>Не контактували</x:v>
      </x:c>
      <x:c r="V449" s="15" t="str">
        <x:v>Персоналізований free-pilot outreach по UA-2026-08-14-001263-a; попросити 1 пакет Н.14/Н.15</x:v>
      </x:c>
      <x:c r="W449" s="15" t="str">
        <x:v>Власник / виконавець; відповідальний за договір</x:v>
      </x:c>
      <x:c r="X449" s="15" t="str">
        <x:v>1 підтверджених перемог/договорів у Prozorro на 260 000 грн; 1 проєктів зі строком виконання не раніше 24.08.2026.</x:v>
      </x:c>
      <x:c r="Y449" s="15" t="str">
        <x:v> Електромонтажні роботи; строк до 2026-09-12. Попросити один знеособлений пакет здачі за цим workflow.</x:v>
      </x:c>
      <x:c r="Z449" s="15" t="str">
        <x:v>https://prozorro.gov.ua/tender/UA-2026-08-14-001263-a</x:v>
      </x:c>
      <x:c r="AA449" s="14" t="str">
        <x:v>2782208435</x:v>
      </x:c>
      <x:c r="AB449" s="14" t="str">
        <x:v>2026-08-24</x:v>
      </x:c>
      <x:c r="AC449" s="14" t="str"/>
      <x:c r="AD449" s="20" t="str"/>
      <x:c r="AE449" s="14" t="str"/>
      <x:c r="AF449" s="14" t="n">
        <x:v>53</x:v>
      </x:c>
      <x:c r="AG449" s="14" t="str">
        <x:v>I3</x:v>
      </x:c>
      <x:c r="AH449" s="14" t="n">
        <x:v>1</x:v>
      </x:c>
      <x:c r="AI449" s="14" t="n">
        <x:v>1</x:v>
      </x:c>
      <x:c r="AJ449" s="18" t="n">
        <x:v>260000</x:v>
      </x:c>
      <x:c r="AK449" s="14" t="str">
        <x:v>https://prozorro.gov.ua/tender/UA-2026-08-14-001263-a</x:v>
      </x:c>
      <x:c r="AL449" s="19" t="n">
        <x:v>46248.28249450232</x:v>
      </x:c>
      <x:c r="AM449" s="19" t="n">
        <x:v>46277</x:v>
      </x:c>
      <x:c r="AN449" s="15" t="str">
        <x:v>Електромонтаж</x:v>
      </x:c>
      <x:c r="AO449" s="15" t="str">
        <x:v>not_found_in_top_search</x:v>
      </x:c>
    </x:row>
    <x:row r="450">
      <x:c r="A450" s="14" t="str">
        <x:v>W3-178</x:v>
      </x:c>
      <x:c r="B450" s="14" t="str">
        <x:v>Prozorro winners — 24.08</x:v>
      </x:c>
      <x:c r="C450" s="14" t="str">
        <x:v>ФОП "КОЗЛОВА ОЛЕКСАНДРА ОЛЕКСАНДРІВНА"</x:v>
      </x:c>
      <x:c r="D450" s="14" t="str">
        <x:v>HVAC / ОВіК</x:v>
      </x:c>
      <x:c r="E450" s="14" t="str">
        <x:v>Pilot now</x:v>
      </x:c>
      <x:c r="F450" s="17" t="str">
        <x:f>IF(E450="Pilot now",IF(P450&gt;=84,"P1",IF(P450&gt;=72,"P2","P3")),IF(E450="Expansion discovery",IF(Q450&gt;=88,"D1",IF(Q450&gt;=78,"D2","D3")),IF(E450="Later / requirements","L","Legacy")))</x:f>
        <x:v>P1</x:v>
      </x:c>
      <x:c r="G450" s="14" t="str"/>
      <x:c r="H450" s="14" t="str">
        <x:v>Пілот зараз — Н.14</x:v>
      </x:c>
      <x:c r="I450" s="16" t="n">
        <x:v>5</x:v>
      </x:c>
      <x:c r="J450" s="16" t="n">
        <x:v>5</x:v>
      </x:c>
      <x:c r="K450" s="16" t="n">
        <x:v>5</x:v>
      </x:c>
      <x:c r="L450" s="16" t="n">
        <x:v>2</x:v>
      </x:c>
      <x:c r="M450" s="16" t="n">
        <x:v>5</x:v>
      </x:c>
      <x:c r="N450" s="16" t="n">
        <x:v>3</x:v>
      </x:c>
      <x:c r="O450" s="16" t="n">
        <x:v>5</x:v>
      </x:c>
      <x:c r="P450" s="16" t="n">
        <x:f>IF(COUNT(I450:O450)&lt;7,"",I450*8+J450*3+K450*2+L450*2+M450*2+N450*2+O450)</x:f>
        <x:v>90</x:v>
      </x:c>
      <x:c r="Q450" s="16" t="n">
        <x:f>IF(COUNT(J450:O450)&lt;6,"",J450*5+K450*4+M450*4+L450*3+N450*2+O450*2)</x:f>
        <x:v>87</x:v>
      </x:c>
      <x:c r="R450" s="14" t="str">
        <x:v>high</x:v>
      </x:c>
      <x:c r="S450" s="14" t="str">
        <x:v>official_prozorro_award_2025_2026</x:v>
      </x:c>
      <x:c r="T450" s="14" t="str">
        <x:v>official_prozorro_api</x:v>
      </x:c>
      <x:c r="U450" s="14" t="str">
        <x:v>Не контактували</x:v>
      </x:c>
      <x:c r="V450" s="15" t="str">
        <x:v>Персоналізований free-pilot outreach по UA-2026-07-20-005737-a; попросити 1 пакет Н.14/Н.15</x:v>
      </x:c>
      <x:c r="W450" s="15" t="str">
        <x:v>Власник / виконавець; відповідальний за договір</x:v>
      </x:c>
      <x:c r="X450" s="15" t="str">
        <x:v>1 підтверджених перемог/договорів у Prozorro на 234 348 грн; 1 проєктів зі строком виконання не раніше 24.08.2026.</x:v>
      </x:c>
      <x:c r="Y450" s="15" t="str">
        <x:v>Матеріали та комплектуючі для монтажу системи водяного опалення.; строк до 2026-12-31. Попросити один знеособлений пакет здачі за цим workflow.</x:v>
      </x:c>
      <x:c r="Z450" s="15" t="str">
        <x:v>https://prozorro.gov.ua/tender/UA-2026-07-20-005737-a</x:v>
      </x:c>
      <x:c r="AA450" s="14" t="str">
        <x:v>2552810284</x:v>
      </x:c>
      <x:c r="AB450" s="14" t="str">
        <x:v>2026-08-24</x:v>
      </x:c>
      <x:c r="AC450" s="14" t="str"/>
      <x:c r="AD450" s="20" t="str"/>
      <x:c r="AE450" s="14" t="str"/>
      <x:c r="AF450" s="14" t="n">
        <x:v>53</x:v>
      </x:c>
      <x:c r="AG450" s="14" t="str">
        <x:v>I3</x:v>
      </x:c>
      <x:c r="AH450" s="14" t="n">
        <x:v>1</x:v>
      </x:c>
      <x:c r="AI450" s="14" t="n">
        <x:v>1</x:v>
      </x:c>
      <x:c r="AJ450" s="18" t="n">
        <x:v>234348</x:v>
      </x:c>
      <x:c r="AK450" s="14" t="str">
        <x:v>https://prozorro.gov.ua/tender/UA-2026-07-20-005737-a</x:v>
      </x:c>
      <x:c r="AL450" s="19" t="n">
        <x:v>46233.29414491898</x:v>
      </x:c>
      <x:c r="AM450" s="19" t="n">
        <x:v>46387.4991087963</x:v>
      </x:c>
      <x:c r="AN450" s="15" t="str">
        <x:v>HVAC / ОВіК</x:v>
      </x:c>
      <x:c r="AO450" s="15" t="str">
        <x:v>not_found_in_top_search</x:v>
      </x:c>
    </x:row>
    <x:row r="451">
      <x:c r="A451" s="14" t="str">
        <x:v>W3-179</x:v>
      </x:c>
      <x:c r="B451" s="14" t="str">
        <x:v>Prozorro winners — 24.08</x:v>
      </x:c>
      <x:c r="C451" s="14" t="str">
        <x:v>ФОП КРИГА ІВАН ІВАНОВИЧ</x:v>
      </x:c>
      <x:c r="D451" s="14" t="str">
        <x:v>Електромонтаж</x:v>
      </x:c>
      <x:c r="E451" s="14" t="str">
        <x:v>Pilot now</x:v>
      </x:c>
      <x:c r="F451" s="17" t="str">
        <x:f>IF(E451="Pilot now",IF(P451&gt;=84,"P1",IF(P451&gt;=72,"P2","P3")),IF(E451="Expansion discovery",IF(Q451&gt;=88,"D1",IF(Q451&gt;=78,"D2","D3")),IF(E451="Later / requirements","L","Legacy")))</x:f>
        <x:v>P1</x:v>
      </x:c>
      <x:c r="G451" s="14" t="str"/>
      <x:c r="H451" s="14" t="str">
        <x:v>Пілот зараз — Н.15</x:v>
      </x:c>
      <x:c r="I451" s="16" t="n">
        <x:v>5</x:v>
      </x:c>
      <x:c r="J451" s="16" t="n">
        <x:v>5</x:v>
      </x:c>
      <x:c r="K451" s="16" t="n">
        <x:v>5</x:v>
      </x:c>
      <x:c r="L451" s="16" t="n">
        <x:v>2</x:v>
      </x:c>
      <x:c r="M451" s="16" t="n">
        <x:v>5</x:v>
      </x:c>
      <x:c r="N451" s="16" t="n">
        <x:v>3</x:v>
      </x:c>
      <x:c r="O451" s="16" t="n">
        <x:v>5</x:v>
      </x:c>
      <x:c r="P451" s="16" t="n">
        <x:f>IF(COUNT(I451:O451)&lt;7,"",I451*8+J451*3+K451*2+L451*2+M451*2+N451*2+O451)</x:f>
        <x:v>90</x:v>
      </x:c>
      <x:c r="Q451" s="16" t="n">
        <x:f>IF(COUNT(J451:O451)&lt;6,"",J451*5+K451*4+M451*4+L451*3+N451*2+O451*2)</x:f>
        <x:v>87</x:v>
      </x:c>
      <x:c r="R451" s="14" t="str">
        <x:v>high</x:v>
      </x:c>
      <x:c r="S451" s="14" t="str">
        <x:v>official_prozorro_award_2025_2026</x:v>
      </x:c>
      <x:c r="T451" s="14" t="str">
        <x:v>official_prozorro_api</x:v>
      </x:c>
      <x:c r="U451" s="14" t="str">
        <x:v>Не контактували</x:v>
      </x:c>
      <x:c r="V451" s="15" t="str">
        <x:v>Персоналізований free-pilot outreach по UA-2026-08-05-004847-a; попросити 1 пакет Н.14/Н.15</x:v>
      </x:c>
      <x:c r="W451" s="15" t="str">
        <x:v>Власник / виконавець; відповідальний за договір</x:v>
      </x:c>
      <x:c r="X451" s="15" t="str">
        <x:v>1 підтверджених перемог/договорів у Prozorro на 199 691 грн; 1 проєктів зі строком виконання не раніше 24.08.2026.</x:v>
      </x:c>
      <x:c r="Y451" s="15" t="str">
        <x:v>Електромонтажні роботи; строк до 2026-12-31. Попросити один знеособлений пакет здачі за цим workflow.</x:v>
      </x:c>
      <x:c r="Z451" s="15" t="str">
        <x:v>https://prozorro.gov.ua/tender/UA-2026-08-05-004847-a</x:v>
      </x:c>
      <x:c r="AA451" s="14" t="str">
        <x:v>3424306457</x:v>
      </x:c>
      <x:c r="AB451" s="14" t="str">
        <x:v>2026-08-24</x:v>
      </x:c>
      <x:c r="AC451" s="14" t="str"/>
      <x:c r="AD451" s="20" t="str"/>
      <x:c r="AE451" s="14" t="str"/>
      <x:c r="AF451" s="14" t="n">
        <x:v>53</x:v>
      </x:c>
      <x:c r="AG451" s="14" t="str">
        <x:v>I3</x:v>
      </x:c>
      <x:c r="AH451" s="14" t="n">
        <x:v>1</x:v>
      </x:c>
      <x:c r="AI451" s="14" t="n">
        <x:v>1</x:v>
      </x:c>
      <x:c r="AJ451" s="18" t="n">
        <x:v>199691</x:v>
      </x:c>
      <x:c r="AK451" s="14" t="str">
        <x:v>https://prozorro.gov.ua/tender/UA-2026-08-05-004847-a</x:v>
      </x:c>
      <x:c r="AL451" s="19" t="n">
        <x:v>46239.379091076386</x:v>
      </x:c>
      <x:c r="AM451" s="19" t="n">
        <x:v>46387</x:v>
      </x:c>
      <x:c r="AN451" s="15" t="str">
        <x:v>Електромонтаж</x:v>
      </x:c>
      <x:c r="AO451" s="15" t="str">
        <x:v>not_found_in_top_search</x:v>
      </x:c>
    </x:row>
    <x:row r="452">
      <x:c r="A452" s="14" t="str">
        <x:v>W3-180</x:v>
      </x:c>
      <x:c r="B452" s="14" t="str">
        <x:v>Prozorro winners — 24.08</x:v>
      </x:c>
      <x:c r="C452" s="14" t="str">
        <x:v>Фізична особа підприємець Підлісецький Володимир Євгенович</x:v>
      </x:c>
      <x:c r="D452" s="14" t="str">
        <x:v>Електромонтаж</x:v>
      </x:c>
      <x:c r="E452" s="14" t="str">
        <x:v>Pilot now</x:v>
      </x:c>
      <x:c r="F452" s="17" t="str">
        <x:f>IF(E452="Pilot now",IF(P452&gt;=84,"P1",IF(P452&gt;=72,"P2","P3")),IF(E452="Expansion discovery",IF(Q452&gt;=88,"D1",IF(Q452&gt;=78,"D2","D3")),IF(E452="Later / requirements","L","Legacy")))</x:f>
        <x:v>P1</x:v>
      </x:c>
      <x:c r="G452" s="14" t="str"/>
      <x:c r="H452" s="14" t="str">
        <x:v>Пілот зараз — Н.15</x:v>
      </x:c>
      <x:c r="I452" s="16" t="n">
        <x:v>5</x:v>
      </x:c>
      <x:c r="J452" s="16" t="n">
        <x:v>5</x:v>
      </x:c>
      <x:c r="K452" s="16" t="n">
        <x:v>5</x:v>
      </x:c>
      <x:c r="L452" s="16" t="n">
        <x:v>2</x:v>
      </x:c>
      <x:c r="M452" s="16" t="n">
        <x:v>5</x:v>
      </x:c>
      <x:c r="N452" s="16" t="n">
        <x:v>3</x:v>
      </x:c>
      <x:c r="O452" s="16" t="n">
        <x:v>5</x:v>
      </x:c>
      <x:c r="P452" s="16" t="n">
        <x:f>IF(COUNT(I452:O452)&lt;7,"",I452*8+J452*3+K452*2+L452*2+M452*2+N452*2+O452)</x:f>
        <x:v>90</x:v>
      </x:c>
      <x:c r="Q452" s="16" t="n">
        <x:f>IF(COUNT(J452:O452)&lt;6,"",J452*5+K452*4+M452*4+L452*3+N452*2+O452*2)</x:f>
        <x:v>87</x:v>
      </x:c>
      <x:c r="R452" s="14" t="str">
        <x:v>high</x:v>
      </x:c>
      <x:c r="S452" s="14" t="str">
        <x:v>official_prozorro_award_2025_2026</x:v>
      </x:c>
      <x:c r="T452" s="14" t="str">
        <x:v>official_prozorro_api</x:v>
      </x:c>
      <x:c r="U452" s="14" t="str">
        <x:v>Не контактували</x:v>
      </x:c>
      <x:c r="V452" s="15" t="str">
        <x:v>Персоналізований free-pilot outreach по UA-2026-08-18-011836-a; попросити 1 пакет Н.14/Н.15</x:v>
      </x:c>
      <x:c r="W452" s="15" t="str">
        <x:v>Власник / виконавець; відповідальний за договір</x:v>
      </x:c>
      <x:c r="X452" s="15" t="str">
        <x:v>1 підтверджених перемог/договорів у Prozorro на 166 460 грн; 1 проєктів зі строком виконання не раніше 24.08.2026.</x:v>
      </x:c>
      <x:c r="Y452" s="15" t="str">
        <x:v>Електромонтажні роботи; строк до 2026-11-09. Попросити один знеособлений пакет здачі за цим workflow.</x:v>
      </x:c>
      <x:c r="Z452" s="15" t="str">
        <x:v>https://prozorro.gov.ua/tender/UA-2026-08-18-011836-a</x:v>
      </x:c>
      <x:c r="AA452" s="14" t="str">
        <x:v>2924717577</x:v>
      </x:c>
      <x:c r="AB452" s="14" t="str">
        <x:v>2026-08-24</x:v>
      </x:c>
      <x:c r="AC452" s="14" t="str"/>
      <x:c r="AD452" s="20" t="str"/>
      <x:c r="AE452" s="14" t="str"/>
      <x:c r="AF452" s="14" t="n">
        <x:v>53</x:v>
      </x:c>
      <x:c r="AG452" s="14" t="str">
        <x:v>I3</x:v>
      </x:c>
      <x:c r="AH452" s="14" t="n">
        <x:v>1</x:v>
      </x:c>
      <x:c r="AI452" s="14" t="n">
        <x:v>1</x:v>
      </x:c>
      <x:c r="AJ452" s="18" t="n">
        <x:v>166459.74</x:v>
      </x:c>
      <x:c r="AK452" s="14" t="str">
        <x:v>https://prozorro.gov.ua/tender/UA-2026-08-18-011836-a</x:v>
      </x:c>
      <x:c r="AL452" s="19" t="n">
        <x:v>46252.56706210648</x:v>
      </x:c>
      <x:c r="AM452" s="19" t="n">
        <x:v>46335</x:v>
      </x:c>
      <x:c r="AN452" s="15" t="str">
        <x:v>Електромонтаж</x:v>
      </x:c>
      <x:c r="AO452" s="15" t="str">
        <x:v>not_found_in_top_search</x:v>
      </x:c>
    </x:row>
    <x:row r="453">
      <x:c r="A453" s="14" t="str">
        <x:v>W3-181</x:v>
      </x:c>
      <x:c r="B453" s="14" t="str">
        <x:v>Prozorro winners — 24.08</x:v>
      </x:c>
      <x:c r="C453" s="14" t="str">
        <x:v>КОТЕЛЬЧУК ЛЮДМИЛА ЙОСИПІВНА</x:v>
      </x:c>
      <x:c r="D453" s="14" t="str">
        <x:v>Насосні станції</x:v>
      </x:c>
      <x:c r="E453" s="14" t="str">
        <x:v>Expansion discovery</x:v>
      </x:c>
      <x:c r="F453" s="17" t="str">
        <x:f>IF(E453="Pilot now",IF(P453&gt;=84,"P1",IF(P453&gt;=72,"P2","P3")),IF(E453="Expansion discovery",IF(Q453&gt;=88,"D1",IF(Q453&gt;=78,"D2","D3")),IF(E453="Later / requirements","L","Legacy")))</x:f>
        <x:v>D2</x:v>
      </x:c>
      <x:c r="G453" s="14" t="str"/>
      <x:c r="H453" s="14" t="str">
        <x:v>Discovery розширення — 2 тижні</x:v>
      </x:c>
      <x:c r="I453" s="16" t="n">
        <x:v>1</x:v>
      </x:c>
      <x:c r="J453" s="16" t="n">
        <x:v>5</x:v>
      </x:c>
      <x:c r="K453" s="16" t="n">
        <x:v>4</x:v>
      </x:c>
      <x:c r="L453" s="16" t="n">
        <x:v>2</x:v>
      </x:c>
      <x:c r="M453" s="16" t="n">
        <x:v>5</x:v>
      </x:c>
      <x:c r="N453" s="16" t="n">
        <x:v>3</x:v>
      </x:c>
      <x:c r="O453" s="16" t="n">
        <x:v>5</x:v>
      </x:c>
      <x:c r="P453" s="16" t="n">
        <x:f>IF(COUNT(I453:O453)&lt;7,"",I453*8+J453*3+K453*2+L453*2+M453*2+N453*2+O453)</x:f>
        <x:v>56</x:v>
      </x:c>
      <x:c r="Q453" s="16" t="n">
        <x:f>IF(COUNT(J453:O453)&lt;6,"",J453*5+K453*4+M453*4+L453*3+N453*2+O453*2)</x:f>
        <x:v>83</x:v>
      </x:c>
      <x:c r="R453" s="14" t="str">
        <x:v>high</x:v>
      </x:c>
      <x:c r="S453" s="14" t="str">
        <x:v>official_prozorro_award_2025_2026</x:v>
      </x:c>
      <x:c r="T453" s="14" t="str">
        <x:v>official_prozorro_api</x:v>
      </x:c>
      <x:c r="U453" s="14" t="str">
        <x:v>Не контактували</x:v>
      </x:c>
      <x:c r="V453" s="15" t="str">
        <x:v>Workflow-audit outreach по UA-2026-07-21-005571-a; попросити 1 пакет здачі та вимоги проєкту</x:v>
      </x:c>
      <x:c r="W453" s="15" t="str">
        <x:v>Власник / виконавець; відповідальний за договір</x:v>
      </x:c>
      <x:c r="X453" s="15" t="str">
        <x:v>1 підтверджених перемог/договорів у Prozorro на 132 996 грн; 1 проєктів зі строком виконання не раніше 24.08.2026.</x:v>
      </x:c>
      <x:c r="Y453" s="15" t="str">
        <x:v>Виготовлення проєктно-кошторисної документації з проходженням експертизи по об’єкту: «Реконструкція каналізаційної насосної станції №2 по вулиці Покровська, 4 К в селищі Сосниця Корюківського району Чернігівської області», за ЄЗС ДК 021:2015: 71320000-7 - Послуги з інженерного проєктування; строк до 2026-09-14. Попросити один знеособлений пакет здачі за цим workflow.</x:v>
      </x:c>
      <x:c r="Z453" s="15" t="str">
        <x:v>https://prozorro.gov.ua/tender/UA-2026-07-21-005571-a</x:v>
      </x:c>
      <x:c r="AA453" s="14" t="str">
        <x:v>2926317047</x:v>
      </x:c>
      <x:c r="AB453" s="14" t="str">
        <x:v>2026-08-24</x:v>
      </x:c>
      <x:c r="AC453" s="14" t="str"/>
      <x:c r="AD453" s="20" t="str"/>
      <x:c r="AE453" s="14" t="str"/>
      <x:c r="AF453" s="14" t="n">
        <x:v>53</x:v>
      </x:c>
      <x:c r="AG453" s="14" t="str">
        <x:v>I3</x:v>
      </x:c>
      <x:c r="AH453" s="14" t="n">
        <x:v>1</x:v>
      </x:c>
      <x:c r="AI453" s="14" t="n">
        <x:v>1</x:v>
      </x:c>
      <x:c r="AJ453" s="18" t="n">
        <x:v>132996</x:v>
      </x:c>
      <x:c r="AK453" s="14" t="str">
        <x:v>https://prozorro.gov.ua/tender/UA-2026-07-21-005571-a</x:v>
      </x:c>
      <x:c r="AL453" s="19" t="n">
        <x:v>46224.41716337963</x:v>
      </x:c>
      <x:c r="AM453" s="19" t="n">
        <x:v>46279</x:v>
      </x:c>
      <x:c r="AN453" s="15" t="str">
        <x:v>Насосні станції</x:v>
      </x:c>
      <x:c r="AO453" s="15" t="str">
        <x:v>not_found_in_top_search</x:v>
      </x:c>
    </x:row>
    <x:row r="454">
      <x:c r="A454" s="14" t="str">
        <x:v>W3-182</x:v>
      </x:c>
      <x:c r="B454" s="14" t="str">
        <x:v>Prozorro winners — 24.08</x:v>
      </x:c>
      <x:c r="C454" s="14" t="str">
        <x:v>ФОП Кашко Віктор Анатолійович</x:v>
      </x:c>
      <x:c r="D454" s="14" t="str">
        <x:v>Безпека / СКУД / CCTV</x:v>
      </x:c>
      <x:c r="E454" s="14" t="str">
        <x:v>Expansion discovery</x:v>
      </x:c>
      <x:c r="F454" s="17" t="str">
        <x:f>IF(E454="Pilot now",IF(P454&gt;=84,"P1",IF(P454&gt;=72,"P2","P3")),IF(E454="Expansion discovery",IF(Q454&gt;=88,"D1",IF(Q454&gt;=78,"D2","D3")),IF(E454="Later / requirements","L","Legacy")))</x:f>
        <x:v>D2</x:v>
      </x:c>
      <x:c r="G454" s="14" t="str"/>
      <x:c r="H454" s="14" t="str">
        <x:v>Discovery розширення — 2 тижні</x:v>
      </x:c>
      <x:c r="I454" s="16" t="n">
        <x:v>1</x:v>
      </x:c>
      <x:c r="J454" s="16" t="n">
        <x:v>5</x:v>
      </x:c>
      <x:c r="K454" s="16" t="n">
        <x:v>4</x:v>
      </x:c>
      <x:c r="L454" s="16" t="n">
        <x:v>1</x:v>
      </x:c>
      <x:c r="M454" s="16" t="n">
        <x:v>5</x:v>
      </x:c>
      <x:c r="N454" s="16" t="n">
        <x:v>3</x:v>
      </x:c>
      <x:c r="O454" s="16" t="n">
        <x:v>5</x:v>
      </x:c>
      <x:c r="P454" s="16" t="n">
        <x:f>IF(COUNT(I454:O454)&lt;7,"",I454*8+J454*3+K454*2+L454*2+M454*2+N454*2+O454)</x:f>
        <x:v>54</x:v>
      </x:c>
      <x:c r="Q454" s="16" t="n">
        <x:f>IF(COUNT(J454:O454)&lt;6,"",J454*5+K454*4+M454*4+L454*3+N454*2+O454*2)</x:f>
        <x:v>80</x:v>
      </x:c>
      <x:c r="R454" s="14" t="str">
        <x:v>high</x:v>
      </x:c>
      <x:c r="S454" s="14" t="str">
        <x:v>official_prozorro_award_2025_2026</x:v>
      </x:c>
      <x:c r="T454" s="14" t="str">
        <x:v>official_prozorro_api</x:v>
      </x:c>
      <x:c r="U454" s="14" t="str">
        <x:v>Не контактували</x:v>
      </x:c>
      <x:c r="V454" s="15" t="str">
        <x:v>Workflow-audit outreach по UA-2026-07-07-004364-a; попросити 1 пакет здачі та вимоги проєкту</x:v>
      </x:c>
      <x:c r="W454" s="15" t="str">
        <x:v>Власник / виконавець; відповідальний за договір</x:v>
      </x:c>
      <x:c r="X454" s="15" t="str">
        <x:v>2 підтверджених перемог/договорів у Prozorro на 43 909 грн; 2 проєктів зі строком виконання не раніше 24.08.2026.</x:v>
      </x:c>
      <x:c r="Y454" s="15" t="str">
        <x:v>Поточний ремонт захисних споруд цивільного захисту, найпростіших споруд, укриттів (демонтаж системи віддаленого контролю доступу до найпростішого укриття Neken та монтаж системи віддаленого контролю доступу до найпростішого укриття  Ajax за адресою: вул. Героїв Чорнобиля, 5/2 в м. Біла Церква Київської області) (Код ДК ЄЗС 021:2015 – 45450000-6 Інші завершальні будівельні роботи); строк до 2026-11-01. Попросити один знеособлений пакет здачі за цим workflow.</x:v>
      </x:c>
      <x:c r="Z454" s="15" t="str">
        <x:v>https://prozorro.gov.ua/tender/UA-2026-07-07-004364-a</x:v>
      </x:c>
      <x:c r="AA454" s="14" t="str">
        <x:v>2881702190</x:v>
      </x:c>
      <x:c r="AB454" s="14" t="str">
        <x:v>2026-08-24</x:v>
      </x:c>
      <x:c r="AC454" s="14" t="str"/>
      <x:c r="AD454" s="20" t="str"/>
      <x:c r="AE454" s="14" t="str"/>
      <x:c r="AF454" s="14" t="n">
        <x:v>53</x:v>
      </x:c>
      <x:c r="AG454" s="14" t="str">
        <x:v>I3</x:v>
      </x:c>
      <x:c r="AH454" s="14" t="n">
        <x:v>2</x:v>
      </x:c>
      <x:c r="AI454" s="14" t="n">
        <x:v>2</x:v>
      </x:c>
      <x:c r="AJ454" s="18" t="n">
        <x:v>43909</x:v>
      </x:c>
      <x:c r="AK454" s="14" t="str">
        <x:v>https://prozorro.gov.ua/tender/UA-2026-07-07-004364-a</x:v>
      </x:c>
      <x:c r="AL454" s="19" t="n">
        <x:v>46210.38042739583</x:v>
      </x:c>
      <x:c r="AM454" s="19" t="n">
        <x:v>46327</x:v>
      </x:c>
      <x:c r="AN454" s="15" t="str">
        <x:v>Безпека / СКУД / CCTV</x:v>
      </x:c>
      <x:c r="AO454" s="15" t="str">
        <x:v>not_found_in_top_search</x:v>
      </x:c>
    </x:row>
    <x:row r="455">
      <x:c r="A455" s="14" t="str">
        <x:v>W3-183</x:v>
      </x:c>
      <x:c r="B455" s="14" t="str">
        <x:v>Prozorro winners — 24.08</x:v>
      </x:c>
      <x:c r="C455" s="14" t="str">
        <x:v>Фізична особа-підприємець Штанько Вікторія Вадимівна</x:v>
      </x:c>
      <x:c r="D455" s="14" t="str">
        <x:v>Газопостачання / котельні</x:v>
      </x:c>
      <x:c r="E455" s="14" t="str">
        <x:v>Expansion discovery</x:v>
      </x:c>
      <x:c r="F455" s="17" t="str">
        <x:f>IF(E455="Pilot now",IF(P455&gt;=84,"P1",IF(P455&gt;=72,"P2","P3")),IF(E455="Expansion discovery",IF(Q455&gt;=88,"D1",IF(Q455&gt;=78,"D2","D3")),IF(E455="Later / requirements","L","Legacy")))</x:f>
        <x:v>D2</x:v>
      </x:c>
      <x:c r="G455" s="14" t="str"/>
      <x:c r="H455" s="14" t="str">
        <x:v>Discovery розширення — 2 тижні</x:v>
      </x:c>
      <x:c r="I455" s="16" t="n">
        <x:v>1</x:v>
      </x:c>
      <x:c r="J455" s="16" t="n">
        <x:v>5</x:v>
      </x:c>
      <x:c r="K455" s="16" t="n">
        <x:v>4</x:v>
      </x:c>
      <x:c r="L455" s="16" t="n">
        <x:v>1</x:v>
      </x:c>
      <x:c r="M455" s="16" t="n">
        <x:v>5</x:v>
      </x:c>
      <x:c r="N455" s="16" t="n">
        <x:v>3</x:v>
      </x:c>
      <x:c r="O455" s="16" t="n">
        <x:v>5</x:v>
      </x:c>
      <x:c r="P455" s="16" t="n">
        <x:f>IF(COUNT(I455:O455)&lt;7,"",I455*8+J455*3+K455*2+L455*2+M455*2+N455*2+O455)</x:f>
        <x:v>54</x:v>
      </x:c>
      <x:c r="Q455" s="16" t="n">
        <x:f>IF(COUNT(J455:O455)&lt;6,"",J455*5+K455*4+M455*4+L455*3+N455*2+O455*2)</x:f>
        <x:v>80</x:v>
      </x:c>
      <x:c r="R455" s="14" t="str">
        <x:v>high</x:v>
      </x:c>
      <x:c r="S455" s="14" t="str">
        <x:v>official_prozorro_award_2025_2026</x:v>
      </x:c>
      <x:c r="T455" s="14" t="str">
        <x:v>official_prozorro_api</x:v>
      </x:c>
      <x:c r="U455" s="14" t="str">
        <x:v>Не контактували</x:v>
      </x:c>
      <x:c r="V455" s="15" t="str">
        <x:v>Workflow-audit outreach по UA-2026-06-05-012035-a; попросити 1 пакет здачі та вимоги проєкту</x:v>
      </x:c>
      <x:c r="W455" s="15" t="str">
        <x:v>Власник / виконавець; відповідальний за договір</x:v>
      </x:c>
      <x:c r="X455" s="15" t="str">
        <x:v>2 підтверджених перемог/договорів у Prozorro на 29 000 грн; 2 проєктів зі строком виконання не раніше 24.08.2026.</x:v>
      </x:c>
      <x:c r="Y455" s="15" t="str">
        <x:v>Послуги з розроблення проекту землеустрою щодо відведення земельної ділянки для будівництва та/або розміщення, встановлення (монтаж) блочно-модульної котельні та подальшого надання її в постійне користування згідно ДК 021:2015 код 71250000-5 Архітектурні, інженерні та геодезичні послуги; строк до 2026-12-31. Попросити один знеособлений пакет здачі за цим workflow.</x:v>
      </x:c>
      <x:c r="Z455" s="15" t="str">
        <x:v>https://prozorro.gov.ua/tender/UA-2026-06-05-012035-a</x:v>
      </x:c>
      <x:c r="AA455" s="14" t="str">
        <x:v>2894222129</x:v>
      </x:c>
      <x:c r="AB455" s="14" t="str">
        <x:v>2026-08-24</x:v>
      </x:c>
      <x:c r="AC455" s="14" t="str"/>
      <x:c r="AD455" s="20" t="str"/>
      <x:c r="AE455" s="14" t="str"/>
      <x:c r="AF455" s="14" t="n">
        <x:v>53</x:v>
      </x:c>
      <x:c r="AG455" s="14" t="str">
        <x:v>I3</x:v>
      </x:c>
      <x:c r="AH455" s="14" t="n">
        <x:v>2</x:v>
      </x:c>
      <x:c r="AI455" s="14" t="n">
        <x:v>2</x:v>
      </x:c>
      <x:c r="AJ455" s="18" t="n">
        <x:v>29000</x:v>
      </x:c>
      <x:c r="AK455" s="14" t="str">
        <x:v>https://prozorro.gov.ua/tender/UA-2026-06-05-012035-a</x:v>
      </x:c>
      <x:c r="AL455" s="19" t="n">
        <x:v>46178.59995344908</x:v>
      </x:c>
      <x:c r="AM455" s="19" t="n">
        <x:v>46387</x:v>
      </x:c>
      <x:c r="AN455" s="15" t="str">
        <x:v>Газопостачання / котельні</x:v>
      </x:c>
      <x:c r="AO455" s="15" t="str">
        <x:v>not_found_in_top_search</x:v>
      </x:c>
    </x:row>
    <x:row r="456">
      <x:c r="A456" s="14" t="str">
        <x:v>W3-184</x:v>
      </x:c>
      <x:c r="B456" s="14" t="str">
        <x:v>Prozorro winners — 24.08</x:v>
      </x:c>
      <x:c r="C456" s="14" t="str">
        <x:v>Фізична особа-підприємець Дудка Ірина Володимирівна</x:v>
      </x:c>
      <x:c r="D456" s="14" t="str">
        <x:v>Мости / інфраструктура</x:v>
      </x:c>
      <x:c r="E456" s="14" t="str">
        <x:v>Expansion discovery</x:v>
      </x:c>
      <x:c r="F456" s="17" t="str">
        <x:f>IF(E456="Pilot now",IF(P456&gt;=84,"P1",IF(P456&gt;=72,"P2","P3")),IF(E456="Expansion discovery",IF(Q456&gt;=88,"D1",IF(Q456&gt;=78,"D2","D3")),IF(E456="Later / requirements","L","Legacy")))</x:f>
        <x:v>D2</x:v>
      </x:c>
      <x:c r="G456" s="14" t="str"/>
      <x:c r="H456" s="14" t="str">
        <x:v>Discovery розширення — 2 тижні</x:v>
      </x:c>
      <x:c r="I456" s="16" t="n">
        <x:v>1</x:v>
      </x:c>
      <x:c r="J456" s="16" t="n">
        <x:v>5</x:v>
      </x:c>
      <x:c r="K456" s="16" t="n">
        <x:v>4</x:v>
      </x:c>
      <x:c r="L456" s="16" t="n">
        <x:v>1</x:v>
      </x:c>
      <x:c r="M456" s="16" t="n">
        <x:v>5</x:v>
      </x:c>
      <x:c r="N456" s="16" t="n">
        <x:v>3</x:v>
      </x:c>
      <x:c r="O456" s="16" t="n">
        <x:v>5</x:v>
      </x:c>
      <x:c r="P456" s="16" t="n">
        <x:f>IF(COUNT(I456:O456)&lt;7,"",I456*8+J456*3+K456*2+L456*2+M456*2+N456*2+O456)</x:f>
        <x:v>54</x:v>
      </x:c>
      <x:c r="Q456" s="16" t="n">
        <x:f>IF(COUNT(J456:O456)&lt;6,"",J456*5+K456*4+M456*4+L456*3+N456*2+O456*2)</x:f>
        <x:v>80</x:v>
      </x:c>
      <x:c r="R456" s="14" t="str">
        <x:v>high</x:v>
      </x:c>
      <x:c r="S456" s="14" t="str">
        <x:v>official_prozorro_award_2025_2026</x:v>
      </x:c>
      <x:c r="T456" s="14" t="str">
        <x:v>official_prozorro_api</x:v>
      </x:c>
      <x:c r="U456" s="14" t="str">
        <x:v>Не контактували</x:v>
      </x:c>
      <x:c r="V456" s="15" t="str">
        <x:v>Workflow-audit outreach по UA-2026-06-18-012242-a; попросити 1 пакет здачі та вимоги проєкту</x:v>
      </x:c>
      <x:c r="W456" s="15" t="str">
        <x:v>Власник / виконавець; відповідальний за договір</x:v>
      </x:c>
      <x:c r="X456" s="15" t="str">
        <x:v>2 підтверджених перемог/договорів у Prozorro на 17 880 грн; 2 проєктів зі строком виконання не раніше 24.08.2026.</x:v>
      </x:c>
      <x:c r="Y456" s="15" t="str">
        <x:v>Придбання запчастин для ремонту автомобільного транспорту( (редуктор заднього моста); строк до 2026-12-31. Попросити один знеособлений пакет здачі за цим workflow.</x:v>
      </x:c>
      <x:c r="Z456" s="15" t="str">
        <x:v>https://prozorro.gov.ua/tender/UA-2026-06-18-012242-a</x:v>
      </x:c>
      <x:c r="AA456" s="14" t="str">
        <x:v>2724603941</x:v>
      </x:c>
      <x:c r="AB456" s="14" t="str">
        <x:v>2026-08-24</x:v>
      </x:c>
      <x:c r="AC456" s="14" t="str"/>
      <x:c r="AD456" s="20" t="str"/>
      <x:c r="AE456" s="14" t="str"/>
      <x:c r="AF456" s="14" t="n">
        <x:v>53</x:v>
      </x:c>
      <x:c r="AG456" s="14" t="str">
        <x:v>I3</x:v>
      </x:c>
      <x:c r="AH456" s="14" t="n">
        <x:v>2</x:v>
      </x:c>
      <x:c r="AI456" s="14" t="n">
        <x:v>2</x:v>
      </x:c>
      <x:c r="AJ456" s="18" t="n">
        <x:v>17880</x:v>
      </x:c>
      <x:c r="AK456" s="14" t="str">
        <x:v>https://prozorro.gov.ua/tender/UA-2026-06-18-012242-a</x:v>
      </x:c>
      <x:c r="AL456" s="19" t="n">
        <x:v>46191.561872673614</x:v>
      </x:c>
      <x:c r="AM456" s="19" t="n">
        <x:v>46387.60627314815</x:v>
      </x:c>
      <x:c r="AN456" s="15" t="str">
        <x:v>Мости / інфраструктура</x:v>
      </x:c>
      <x:c r="AO456" s="15" t="str">
        <x:v>not_found_in_top_search</x:v>
      </x:c>
    </x:row>
    <x:row r="457">
      <x:c r="A457" s="14" t="str">
        <x:v>W3-185</x:v>
      </x:c>
      <x:c r="B457" s="14" t="str">
        <x:v>Prozorro winners — 24.08</x:v>
      </x:c>
      <x:c r="C457" s="14" t="str">
        <x:v>ДОВЖИК ПЕТРО ВАСИЛЬОВИЧ</x:v>
      </x:c>
      <x:c r="D457" s="14" t="str">
        <x:v>Сонячна енергетика</x:v>
      </x:c>
      <x:c r="E457" s="14" t="str">
        <x:v>Expansion discovery</x:v>
      </x:c>
      <x:c r="F457" s="17" t="str">
        <x:f>IF(E457="Pilot now",IF(P457&gt;=84,"P1",IF(P457&gt;=72,"P2","P3")),IF(E457="Expansion discovery",IF(Q457&gt;=88,"D1",IF(Q457&gt;=78,"D2","D3")),IF(E457="Later / requirements","L","Legacy")))</x:f>
        <x:v>D2</x:v>
      </x:c>
      <x:c r="G457" s="14" t="str"/>
      <x:c r="H457" s="14" t="str">
        <x:v>Discovery розширення — 2 тижні</x:v>
      </x:c>
      <x:c r="I457" s="16" t="n">
        <x:v>1</x:v>
      </x:c>
      <x:c r="J457" s="16" t="n">
        <x:v>5</x:v>
      </x:c>
      <x:c r="K457" s="16" t="n">
        <x:v>4</x:v>
      </x:c>
      <x:c r="L457" s="16" t="n">
        <x:v>2</x:v>
      </x:c>
      <x:c r="M457" s="16" t="n">
        <x:v>5</x:v>
      </x:c>
      <x:c r="N457" s="16" t="n">
        <x:v>3</x:v>
      </x:c>
      <x:c r="O457" s="16" t="n">
        <x:v>5</x:v>
      </x:c>
      <x:c r="P457" s="16" t="n">
        <x:f>IF(COUNT(I457:O457)&lt;7,"",I457*8+J457*3+K457*2+L457*2+M457*2+N457*2+O457)</x:f>
        <x:v>56</x:v>
      </x:c>
      <x:c r="Q457" s="16" t="n">
        <x:f>IF(COUNT(J457:O457)&lt;6,"",J457*5+K457*4+M457*4+L457*3+N457*2+O457*2)</x:f>
        <x:v>83</x:v>
      </x:c>
      <x:c r="R457" s="14" t="str">
        <x:v>high</x:v>
      </x:c>
      <x:c r="S457" s="14" t="str">
        <x:v>official_prozorro_award_2025_2026</x:v>
      </x:c>
      <x:c r="T457" s="14" t="str">
        <x:v>official_prozorro_api</x:v>
      </x:c>
      <x:c r="U457" s="14" t="str">
        <x:v>Не контактували</x:v>
      </x:c>
      <x:c r="V457" s="15" t="str">
        <x:v>Workflow-audit outreach по UA-2026-06-15-003455-a; попросити 1 пакет здачі та вимоги проєкту</x:v>
      </x:c>
      <x:c r="W457" s="15" t="str">
        <x:v>Власник / виконавець; відповідальний за договір</x:v>
      </x:c>
      <x:c r="X457" s="15" t="str">
        <x:v>2 підтверджених перемог/договорів у Prozorro на 199 080 грн; 1 проєктів зі строком виконання не раніше 24.08.2026.</x:v>
      </x:c>
      <x:c r="Y457" s="15" t="str">
        <x:v>Послуги з технічного обстеження несучих і огороджувальних конструкцій одно- триповерхової будівлі Комунального закладу «Жмеринський ліцей №6» по вул. Огієнка Івана, буд.3 в м. Жмеринка Вінницької області для встановлення можливості монтажу обладнання сонячних електростанцій
; строк до 2026-07-03. Попросити один знеособлений пакет здачі за цим workflow.</x:v>
      </x:c>
      <x:c r="Z457" s="15" t="str">
        <x:v>https://prozorro.gov.ua/tender/UA-2026-06-15-003455-a</x:v>
      </x:c>
      <x:c r="AA457" s="14" t="str">
        <x:v>2347612999</x:v>
      </x:c>
      <x:c r="AB457" s="14" t="str">
        <x:v>2026-08-24</x:v>
      </x:c>
      <x:c r="AC457" s="14" t="str"/>
      <x:c r="AD457" s="20" t="str"/>
      <x:c r="AE457" s="14" t="str"/>
      <x:c r="AF457" s="14" t="n">
        <x:v>52</x:v>
      </x:c>
      <x:c r="AG457" s="14" t="str">
        <x:v>I3</x:v>
      </x:c>
      <x:c r="AH457" s="14" t="n">
        <x:v>2</x:v>
      </x:c>
      <x:c r="AI457" s="14" t="n">
        <x:v>1</x:v>
      </x:c>
      <x:c r="AJ457" s="18" t="n">
        <x:v>199080</x:v>
      </x:c>
      <x:c r="AK457" s="14" t="str">
        <x:v>https://prozorro.gov.ua/tender/UA-2026-06-15-003455-a</x:v>
      </x:c>
      <x:c r="AL457" s="19" t="n">
        <x:v>46188.35211075231</x:v>
      </x:c>
      <x:c r="AM457" s="19" t="n">
        <x:v>46206</x:v>
      </x:c>
      <x:c r="AN457" s="15" t="str">
        <x:v>Сонячна енергетика</x:v>
      </x:c>
      <x:c r="AO457" s="15" t="str">
        <x:v>not_found_in_top_search</x:v>
      </x:c>
    </x:row>
    <x:row r="458">
      <x:c r="A458" s="14" t="str">
        <x:v>W3-186</x:v>
      </x:c>
      <x:c r="B458" s="14" t="str">
        <x:v>Prozorro winners — 24.08</x:v>
      </x:c>
      <x:c r="C458" s="14" t="str">
        <x:v>ФОП Пащенко Лариса Станіславівна</x:v>
      </x:c>
      <x:c r="D458" s="14" t="str">
        <x:v>Безпека / СКУД / CCTV</x:v>
      </x:c>
      <x:c r="E458" s="14" t="str">
        <x:v>Expansion discovery</x:v>
      </x:c>
      <x:c r="F458" s="17" t="str">
        <x:f>IF(E458="Pilot now",IF(P458&gt;=84,"P1",IF(P458&gt;=72,"P2","P3")),IF(E458="Expansion discovery",IF(Q458&gt;=88,"D1",IF(Q458&gt;=78,"D2","D3")),IF(E458="Later / requirements","L","Legacy")))</x:f>
        <x:v>D2</x:v>
      </x:c>
      <x:c r="G458" s="14" t="str"/>
      <x:c r="H458" s="14" t="str">
        <x:v>Discovery розширення — 2 тижні</x:v>
      </x:c>
      <x:c r="I458" s="16" t="n">
        <x:v>1</x:v>
      </x:c>
      <x:c r="J458" s="16" t="n">
        <x:v>5</x:v>
      </x:c>
      <x:c r="K458" s="16" t="n">
        <x:v>4</x:v>
      </x:c>
      <x:c r="L458" s="16" t="n">
        <x:v>2</x:v>
      </x:c>
      <x:c r="M458" s="16" t="n">
        <x:v>5</x:v>
      </x:c>
      <x:c r="N458" s="16" t="n">
        <x:v>3</x:v>
      </x:c>
      <x:c r="O458" s="16" t="n">
        <x:v>5</x:v>
      </x:c>
      <x:c r="P458" s="16" t="n">
        <x:f>IF(COUNT(I458:O458)&lt;7,"",I458*8+J458*3+K458*2+L458*2+M458*2+N458*2+O458)</x:f>
        <x:v>56</x:v>
      </x:c>
      <x:c r="Q458" s="16" t="n">
        <x:f>IF(COUNT(J458:O458)&lt;6,"",J458*5+K458*4+M458*4+L458*3+N458*2+O458*2)</x:f>
        <x:v>83</x:v>
      </x:c>
      <x:c r="R458" s="14" t="str">
        <x:v>high</x:v>
      </x:c>
      <x:c r="S458" s="14" t="str">
        <x:v>official_prozorro_award_2025_2026</x:v>
      </x:c>
      <x:c r="T458" s="14" t="str">
        <x:v>official_prozorro_api</x:v>
      </x:c>
      <x:c r="U458" s="14" t="str">
        <x:v>Не контактували</x:v>
      </x:c>
      <x:c r="V458" s="15" t="str">
        <x:v>Workflow-audit outreach по UA-2026-07-03-002326-a; попросити 1 пакет здачі та вимоги проєкту</x:v>
      </x:c>
      <x:c r="W458" s="15" t="str">
        <x:v>Власник / виконавець; відповідальний за договір</x:v>
      </x:c>
      <x:c r="X458" s="15" t="str">
        <x:v>2 підтверджених перемог/договорів у Prozorro на 143 698 грн; 1 проєктів зі строком виконання не раніше 24.08.2026.</x:v>
      </x:c>
      <x:c r="Y458" s="15" t="str">
        <x:v>Послуги з монтажу, установки та налаштування системи контролю та управління доступом; строк до 2026-07-31. Попросити один знеособлений пакет здачі за цим workflow.</x:v>
      </x:c>
      <x:c r="Z458" s="15" t="str">
        <x:v>https://prozorro.gov.ua/tender/UA-2026-07-03-002326-a</x:v>
      </x:c>
      <x:c r="AA458" s="14" t="str">
        <x:v>2867217849</x:v>
      </x:c>
      <x:c r="AB458" s="14" t="str">
        <x:v>2026-08-24</x:v>
      </x:c>
      <x:c r="AC458" s="14" t="str"/>
      <x:c r="AD458" s="20" t="str"/>
      <x:c r="AE458" s="14" t="str"/>
      <x:c r="AF458" s="14" t="n">
        <x:v>52</x:v>
      </x:c>
      <x:c r="AG458" s="14" t="str">
        <x:v>I3</x:v>
      </x:c>
      <x:c r="AH458" s="14" t="n">
        <x:v>2</x:v>
      </x:c>
      <x:c r="AI458" s="14" t="n">
        <x:v>1</x:v>
      </x:c>
      <x:c r="AJ458" s="18" t="n">
        <x:v>143698.35</x:v>
      </x:c>
      <x:c r="AK458" s="14" t="str">
        <x:v>https://prozorro.gov.ua/tender/UA-2026-07-03-002326-a</x:v>
      </x:c>
      <x:c r="AL458" s="19" t="n">
        <x:v>46206.32034493056</x:v>
      </x:c>
      <x:c r="AM458" s="19" t="n">
        <x:v>46234</x:v>
      </x:c>
      <x:c r="AN458" s="15" t="str">
        <x:v>Безпека / СКУД / CCTV</x:v>
      </x:c>
      <x:c r="AO458" s="15" t="str">
        <x:v>not_found_in_top_search</x:v>
      </x:c>
    </x:row>
    <x:row r="459">
      <x:c r="A459" s="14" t="str">
        <x:v>W3-187</x:v>
      </x:c>
      <x:c r="B459" s="14" t="str">
        <x:v>Prozorro winners — 24.08</x:v>
      </x:c>
      <x:c r="C459" s="14" t="str">
        <x:v>ПНВП  «Прометей-Сервіс»</x:v>
      </x:c>
      <x:c r="D459" s="14" t="str">
        <x:v>Пожежогасіння</x:v>
      </x:c>
      <x:c r="E459" s="14" t="str">
        <x:v>Expansion discovery</x:v>
      </x:c>
      <x:c r="F459" s="17" t="str">
        <x:f>IF(E459="Pilot now",IF(P459&gt;=84,"P1",IF(P459&gt;=72,"P2","P3")),IF(E459="Expansion discovery",IF(Q459&gt;=88,"D1",IF(Q459&gt;=78,"D2","D3")),IF(E459="Later / requirements","L","Legacy")))</x:f>
        <x:v>D2</x:v>
      </x:c>
      <x:c r="G459" s="14" t="str"/>
      <x:c r="H459" s="14" t="str">
        <x:v>Discovery розширення — 2 тижні</x:v>
      </x:c>
      <x:c r="I459" s="16" t="n">
        <x:v>1</x:v>
      </x:c>
      <x:c r="J459" s="16" t="n">
        <x:v>5</x:v>
      </x:c>
      <x:c r="K459" s="16" t="n">
        <x:v>4</x:v>
      </x:c>
      <x:c r="L459" s="16" t="n">
        <x:v>1</x:v>
      </x:c>
      <x:c r="M459" s="16" t="n">
        <x:v>5</x:v>
      </x:c>
      <x:c r="N459" s="16" t="n">
        <x:v>5</x:v>
      </x:c>
      <x:c r="O459" s="16" t="n">
        <x:v>5</x:v>
      </x:c>
      <x:c r="P459" s="16" t="n">
        <x:f>IF(COUNT(I459:O459)&lt;7,"",I459*8+J459*3+K459*2+L459*2+M459*2+N459*2+O459)</x:f>
        <x:v>58</x:v>
      </x:c>
      <x:c r="Q459" s="16" t="n">
        <x:f>IF(COUNT(J459:O459)&lt;6,"",J459*5+K459*4+M459*4+L459*3+N459*2+O459*2)</x:f>
        <x:v>84</x:v>
      </x:c>
      <x:c r="R459" s="14" t="str">
        <x:v>high</x:v>
      </x:c>
      <x:c r="S459" s="14" t="str">
        <x:v>official_prozorro_award_2025_2026</x:v>
      </x:c>
      <x:c r="T459" s="14" t="str">
        <x:v>official_prozorro_api</x:v>
      </x:c>
      <x:c r="U459" s="14" t="str">
        <x:v>Не контактували</x:v>
      </x:c>
      <x:c r="V459" s="15" t="str">
        <x:v>Workflow-audit outreach по UA-2026-08-07-005902-a; попросити 1 пакет здачі та вимоги проєкту</x:v>
      </x:c>
      <x:c r="W459" s="15" t="str">
        <x:v>Власник / директор; керівник ПТО; відповідальний за договори</x:v>
      </x:c>
      <x:c r="X459" s="15" t="str">
        <x:v>1 підтверджених перемог/договорів у Prozorro на 99 926 грн; 1 проєктів зі строком виконання не раніше 24.08.2026.</x:v>
      </x:c>
      <x:c r="Y459" s="15" t="str">
        <x:v>Електромонтажні роботи - за ДК 021:2015 - 45310000-3 (Роботи з монтажу автоматичної системи пожежної сигналізації та системи мовленнєвого оповіщення людей про пожежу на об'єкті (7 поверх, блок "А")-  за ДК 021:2015 - 45312100-8 Встановлення систем пожежної сигналізації); строк до 2026-12-31. Попросити один знеособлений пакет здачі за цим workflow.</x:v>
      </x:c>
      <x:c r="Z459" s="15" t="str">
        <x:v>https://prozorro.gov.ua/tender/UA-2026-08-07-005902-a</x:v>
      </x:c>
      <x:c r="AA459" s="14" t="str">
        <x:v>35435961 КБВ: БАДЬОР КИРИЛО ОЛЕКСІЙ, громадянство:</x:v>
      </x:c>
      <x:c r="AB459" s="14" t="str">
        <x:v>2026-08-24</x:v>
      </x:c>
      <x:c r="AC459" s="14" t="str"/>
      <x:c r="AD459" s="20" t="str"/>
      <x:c r="AE459" s="14" t="str"/>
      <x:c r="AF459" s="14" t="n">
        <x:v>52</x:v>
      </x:c>
      <x:c r="AG459" s="14" t="str">
        <x:v>I3</x:v>
      </x:c>
      <x:c r="AH459" s="14" t="n">
        <x:v>1</x:v>
      </x:c>
      <x:c r="AI459" s="14" t="n">
        <x:v>1</x:v>
      </x:c>
      <x:c r="AJ459" s="18" t="n">
        <x:v>99925.9</x:v>
      </x:c>
      <x:c r="AK459" s="14" t="str">
        <x:v>https://prozorro.gov.ua/tender/UA-2026-08-07-005902-a</x:v>
      </x:c>
      <x:c r="AL459" s="19" t="n">
        <x:v>46241.41233940972</x:v>
      </x:c>
      <x:c r="AM459" s="19" t="n">
        <x:v>46387</x:v>
      </x:c>
      <x:c r="AN459" s="15" t="str">
        <x:v>Пожежогасіння</x:v>
      </x:c>
      <x:c r="AO459" s="15" t="str">
        <x:v>not_found_in_top_search</x:v>
      </x:c>
    </x:row>
    <x:row r="460">
      <x:c r="A460" s="14" t="str">
        <x:v>W3-188</x:v>
      </x:c>
      <x:c r="B460" s="14" t="str">
        <x:v>Prozorro winners — 24.08</x:v>
      </x:c>
      <x:c r="C460" s="14" t="str">
        <x:v>ТОВ "ІНФОНЕТ ТЕЛЕКОМ"</x:v>
      </x:c>
      <x:c r="D460" s="14" t="str">
        <x:v>Безпека / СКУД / CCTV</x:v>
      </x:c>
      <x:c r="E460" s="14" t="str">
        <x:v>Expansion discovery</x:v>
      </x:c>
      <x:c r="F460" s="17" t="str">
        <x:f>IF(E460="Pilot now",IF(P460&gt;=84,"P1",IF(P460&gt;=72,"P2","P3")),IF(E460="Expansion discovery",IF(Q460&gt;=88,"D1",IF(Q460&gt;=78,"D2","D3")),IF(E460="Later / requirements","L","Legacy")))</x:f>
        <x:v>D2</x:v>
      </x:c>
      <x:c r="G460" s="14" t="str"/>
      <x:c r="H460" s="14" t="str">
        <x:v>Discovery розширення — 2 тижні</x:v>
      </x:c>
      <x:c r="I460" s="16" t="n">
        <x:v>1</x:v>
      </x:c>
      <x:c r="J460" s="16" t="n">
        <x:v>5</x:v>
      </x:c>
      <x:c r="K460" s="16" t="n">
        <x:v>4</x:v>
      </x:c>
      <x:c r="L460" s="16" t="n">
        <x:v>1</x:v>
      </x:c>
      <x:c r="M460" s="16" t="n">
        <x:v>5</x:v>
      </x:c>
      <x:c r="N460" s="16" t="n">
        <x:v>5</x:v>
      </x:c>
      <x:c r="O460" s="16" t="n">
        <x:v>5</x:v>
      </x:c>
      <x:c r="P460" s="16" t="n">
        <x:f>IF(COUNT(I460:O460)&lt;7,"",I460*8+J460*3+K460*2+L460*2+M460*2+N460*2+O460)</x:f>
        <x:v>58</x:v>
      </x:c>
      <x:c r="Q460" s="16" t="n">
        <x:f>IF(COUNT(J460:O460)&lt;6,"",J460*5+K460*4+M460*4+L460*3+N460*2+O460*2)</x:f>
        <x:v>84</x:v>
      </x:c>
      <x:c r="R460" s="14" t="str">
        <x:v>high</x:v>
      </x:c>
      <x:c r="S460" s="14" t="str">
        <x:v>official_prozorro_award_2025_2026</x:v>
      </x:c>
      <x:c r="T460" s="14" t="str">
        <x:v>official_prozorro_api</x:v>
      </x:c>
      <x:c r="U460" s="14" t="str">
        <x:v>Не контактували</x:v>
      </x:c>
      <x:c r="V460" s="15" t="str">
        <x:v>Workflow-audit outreach по UA-2026-08-11-011701-a; попросити 1 пакет здачі та вимоги проєкту</x:v>
      </x:c>
      <x:c r="W460" s="15" t="str">
        <x:v>Власник / директор; керівник ПТО; відповідальний за договори</x:v>
      </x:c>
      <x:c r="X460" s="15" t="str">
        <x:v>1 підтверджених перемог/договорів у Prozorro на 99 200 грн; 1 проєктів зі строком виконання не раніше 24.08.2026.</x:v>
      </x:c>
      <x:c r="Y460" s="15" t="str">
        <x:v>Монтаж та встановлення системи відеоспостереження з матеріалів замовника; строк до 2026-08-25. Попросити один знеособлений пакет здачі за цим workflow.</x:v>
      </x:c>
      <x:c r="Z460" s="15" t="str">
        <x:v>https://prozorro.gov.ua/tender/UA-2026-08-11-011701-a</x:v>
      </x:c>
      <x:c r="AA460" s="14" t="str">
        <x:v>39329860</x:v>
      </x:c>
      <x:c r="AB460" s="14" t="str">
        <x:v>2026-08-24</x:v>
      </x:c>
      <x:c r="AC460" s="14" t="str"/>
      <x:c r="AD460" s="20" t="str"/>
      <x:c r="AE460" s="14" t="str"/>
      <x:c r="AF460" s="14" t="n">
        <x:v>52</x:v>
      </x:c>
      <x:c r="AG460" s="14" t="str">
        <x:v>I3</x:v>
      </x:c>
      <x:c r="AH460" s="14" t="n">
        <x:v>1</x:v>
      </x:c>
      <x:c r="AI460" s="14" t="n">
        <x:v>1</x:v>
      </x:c>
      <x:c r="AJ460" s="18" t="n">
        <x:v>99200</x:v>
      </x:c>
      <x:c r="AK460" s="14" t="str">
        <x:v>https://prozorro.gov.ua/tender/UA-2026-08-11-011701-a</x:v>
      </x:c>
      <x:c r="AL460" s="19" t="n">
        <x:v>46245.57245854167</x:v>
      </x:c>
      <x:c r="AM460" s="19" t="n">
        <x:v>46259.57413194444</x:v>
      </x:c>
      <x:c r="AN460" s="15" t="str">
        <x:v>Безпека / СКУД / CCTV</x:v>
      </x:c>
      <x:c r="AO460" s="15" t="str">
        <x:v>not_found_in_top_search</x:v>
      </x:c>
    </x:row>
    <x:row r="461">
      <x:c r="A461" s="14" t="str">
        <x:v>W3-189</x:v>
      </x:c>
      <x:c r="B461" s="14" t="str">
        <x:v>Prozorro winners — 24.08</x:v>
      </x:c>
      <x:c r="C461" s="14" t="str">
        <x:v>УПРАВЛІННЯ ПОЛІЦІЇ ОХОРОНИ У ВОЛИНСЬКІЙ ОБЛАСТІ</x:v>
      </x:c>
      <x:c r="D461" s="14" t="str">
        <x:v>Пожежогасіння</x:v>
      </x:c>
      <x:c r="E461" s="14" t="str">
        <x:v>Expansion discovery</x:v>
      </x:c>
      <x:c r="F461" s="17" t="str">
        <x:f>IF(E461="Pilot now",IF(P461&gt;=84,"P1",IF(P461&gt;=72,"P2","P3")),IF(E461="Expansion discovery",IF(Q461&gt;=88,"D1",IF(Q461&gt;=78,"D2","D3")),IF(E461="Later / requirements","L","Legacy")))</x:f>
        <x:v>D2</x:v>
      </x:c>
      <x:c r="G461" s="14" t="str"/>
      <x:c r="H461" s="14" t="str">
        <x:v>Discovery розширення — 2 тижні</x:v>
      </x:c>
      <x:c r="I461" s="16" t="n">
        <x:v>1</x:v>
      </x:c>
      <x:c r="J461" s="16" t="n">
        <x:v>5</x:v>
      </x:c>
      <x:c r="K461" s="16" t="n">
        <x:v>4</x:v>
      </x:c>
      <x:c r="L461" s="16" t="n">
        <x:v>1</x:v>
      </x:c>
      <x:c r="M461" s="16" t="n">
        <x:v>5</x:v>
      </x:c>
      <x:c r="N461" s="16" t="n">
        <x:v>5</x:v>
      </x:c>
      <x:c r="O461" s="16" t="n">
        <x:v>5</x:v>
      </x:c>
      <x:c r="P461" s="16" t="n">
        <x:f>IF(COUNT(I461:O461)&lt;7,"",I461*8+J461*3+K461*2+L461*2+M461*2+N461*2+O461)</x:f>
        <x:v>58</x:v>
      </x:c>
      <x:c r="Q461" s="16" t="n">
        <x:f>IF(COUNT(J461:O461)&lt;6,"",J461*5+K461*4+M461*4+L461*3+N461*2+O461*2)</x:f>
        <x:v>84</x:v>
      </x:c>
      <x:c r="R461" s="14" t="str">
        <x:v>high</x:v>
      </x:c>
      <x:c r="S461" s="14" t="str">
        <x:v>official_prozorro_award_2025_2026</x:v>
      </x:c>
      <x:c r="T461" s="14" t="str">
        <x:v>official_prozorro_api</x:v>
      </x:c>
      <x:c r="U461" s="14" t="str">
        <x:v>Не контактували</x:v>
      </x:c>
      <x:c r="V461" s="15" t="str">
        <x:v>Workflow-audit outreach по UA-2026-08-04-009018-a; попросити 1 пакет здачі та вимоги проєкту</x:v>
      </x:c>
      <x:c r="W461" s="15" t="str">
        <x:v>Власник / директор; керівник ПТО; відповідальний за договори</x:v>
      </x:c>
      <x:c r="X461" s="15" t="str">
        <x:v>1 підтверджених перемог/договорів у Prozorro на 99 057 грн; 1 проєктів зі строком виконання не раніше 24.08.2026.</x:v>
      </x:c>
      <x:c r="Y461" s="15" t="str">
        <x:v>Монтаж системи пожежної сигналізації (ДК 021:2015: 45310000-3 — Електромонтажні роботи); строк до 2026-12-31. Попросити один знеособлений пакет здачі за цим workflow.</x:v>
      </x:c>
      <x:c r="Z461" s="15" t="str">
        <x:v>https://prozorro.gov.ua/tender/UA-2026-08-04-009018-a</x:v>
      </x:c>
      <x:c r="AA461" s="14" t="str">
        <x:v>40108803</x:v>
      </x:c>
      <x:c r="AB461" s="14" t="str">
        <x:v>2026-08-24</x:v>
      </x:c>
      <x:c r="AC461" s="14" t="str"/>
      <x:c r="AD461" s="20" t="str"/>
      <x:c r="AE461" s="14" t="str"/>
      <x:c r="AF461" s="14" t="n">
        <x:v>52</x:v>
      </x:c>
      <x:c r="AG461" s="14" t="str">
        <x:v>I3</x:v>
      </x:c>
      <x:c r="AH461" s="14" t="n">
        <x:v>1</x:v>
      </x:c>
      <x:c r="AI461" s="14" t="n">
        <x:v>1</x:v>
      </x:c>
      <x:c r="AJ461" s="18" t="n">
        <x:v>99057.2</x:v>
      </x:c>
      <x:c r="AK461" s="14" t="str">
        <x:v>https://prozorro.gov.ua/tender/UA-2026-08-04-009018-a</x:v>
      </x:c>
      <x:c r="AL461" s="19" t="n">
        <x:v>46238.511679675925</x:v>
      </x:c>
      <x:c r="AM461" s="19" t="n">
        <x:v>46387</x:v>
      </x:c>
      <x:c r="AN461" s="15" t="str">
        <x:v>Пожежогасіння</x:v>
      </x:c>
      <x:c r="AO461" s="15" t="str">
        <x:v>not_found_in_top_search</x:v>
      </x:c>
    </x:row>
    <x:row r="462">
      <x:c r="A462" s="14" t="str">
        <x:v>W3-190</x:v>
      </x:c>
      <x:c r="B462" s="14" t="str">
        <x:v>Prozorro winners — 24.08</x:v>
      </x:c>
      <x:c r="C462" s="14" t="str">
        <x:v>Бучнєв Богдан Володимирович</x:v>
      </x:c>
      <x:c r="D462" s="14" t="str">
        <x:v>Електромонтаж</x:v>
      </x:c>
      <x:c r="E462" s="14" t="str">
        <x:v>Pilot now</x:v>
      </x:c>
      <x:c r="F462" s="17" t="str">
        <x:f>IF(E462="Pilot now",IF(P462&gt;=84,"P1",IF(P462&gt;=72,"P2","P3")),IF(E462="Expansion discovery",IF(Q462&gt;=88,"D1",IF(Q462&gt;=78,"D2","D3")),IF(E462="Later / requirements","L","Legacy")))</x:f>
        <x:v>P1</x:v>
      </x:c>
      <x:c r="G462" s="14" t="str"/>
      <x:c r="H462" s="14" t="str">
        <x:v>Пілот зараз — Н.15</x:v>
      </x:c>
      <x:c r="I462" s="16" t="n">
        <x:v>5</x:v>
      </x:c>
      <x:c r="J462" s="16" t="n">
        <x:v>5</x:v>
      </x:c>
      <x:c r="K462" s="16" t="n">
        <x:v>5</x:v>
      </x:c>
      <x:c r="L462" s="16" t="n">
        <x:v>1</x:v>
      </x:c>
      <x:c r="M462" s="16" t="n">
        <x:v>5</x:v>
      </x:c>
      <x:c r="N462" s="16" t="n">
        <x:v>3</x:v>
      </x:c>
      <x:c r="O462" s="16" t="n">
        <x:v>5</x:v>
      </x:c>
      <x:c r="P462" s="16" t="n">
        <x:f>IF(COUNT(I462:O462)&lt;7,"",I462*8+J462*3+K462*2+L462*2+M462*2+N462*2+O462)</x:f>
        <x:v>88</x:v>
      </x:c>
      <x:c r="Q462" s="16" t="n">
        <x:f>IF(COUNT(J462:O462)&lt;6,"",J462*5+K462*4+M462*4+L462*3+N462*2+O462*2)</x:f>
        <x:v>84</x:v>
      </x:c>
      <x:c r="R462" s="14" t="str">
        <x:v>high</x:v>
      </x:c>
      <x:c r="S462" s="14" t="str">
        <x:v>official_prozorro_award_2025_2026</x:v>
      </x:c>
      <x:c r="T462" s="14" t="str">
        <x:v>official_prozorro_api</x:v>
      </x:c>
      <x:c r="U462" s="14" t="str">
        <x:v>Не контактували</x:v>
      </x:c>
      <x:c r="V462" s="15" t="str">
        <x:v>Персоналізований free-pilot outreach по UA-2026-08-21-012488-a; попросити 1 пакет Н.14/Н.15</x:v>
      </x:c>
      <x:c r="W462" s="15" t="str">
        <x:v>Власник / виконавець; відповідальний за договір</x:v>
      </x:c>
      <x:c r="X462" s="15" t="str">
        <x:v>1 підтверджених перемог/договорів у Prozorro на 99 000 грн; 1 проєктів зі строком виконання не раніше 24.08.2026.</x:v>
      </x:c>
      <x:c r="Y462" s="15" t="str">
        <x:v>Послуги зі встановлення , монтажу та підключення (сонячної)електростанції до внутрішніх електричних мереж будівлі селищної ради, згідно ДК 021:2015 45260000-7 Покрівельні роботи та інші спеціалізовані будівельні роботи; строк до 2026-12-31. Попросити один знеособлений пакет здачі за цим workflow.</x:v>
      </x:c>
      <x:c r="Z462" s="15" t="str">
        <x:v>https://prozorro.gov.ua/tender/UA-2026-08-21-012488-a</x:v>
      </x:c>
      <x:c r="AA462" s="14" t="str">
        <x:v>3429408577</x:v>
      </x:c>
      <x:c r="AB462" s="14" t="str">
        <x:v>2026-08-24</x:v>
      </x:c>
      <x:c r="AC462" s="14" t="str"/>
      <x:c r="AD462" s="20" t="str"/>
      <x:c r="AE462" s="14" t="str"/>
      <x:c r="AF462" s="14" t="n">
        <x:v>52</x:v>
      </x:c>
      <x:c r="AG462" s="14" t="str">
        <x:v>I3</x:v>
      </x:c>
      <x:c r="AH462" s="14" t="n">
        <x:v>1</x:v>
      </x:c>
      <x:c r="AI462" s="14" t="n">
        <x:v>1</x:v>
      </x:c>
      <x:c r="AJ462" s="18" t="n">
        <x:v>99000</x:v>
      </x:c>
      <x:c r="AK462" s="14" t="str">
        <x:v>https://prozorro.gov.ua/tender/UA-2026-08-21-012488-a</x:v>
      </x:c>
      <x:c r="AL462" s="19" t="n">
        <x:v>46255.6182291088</x:v>
      </x:c>
      <x:c r="AM462" s="19" t="n">
        <x:v>46387</x:v>
      </x:c>
      <x:c r="AN462" s="15" t="str">
        <x:v>Електромонтаж; Сонячна енергетика</x:v>
      </x:c>
      <x:c r="AO462" s="15" t="str">
        <x:v>not_found_in_top_search</x:v>
      </x:c>
    </x:row>
    <x:row r="463">
      <x:c r="A463" s="14" t="str">
        <x:v>W3-191</x:v>
      </x:c>
      <x:c r="B463" s="14" t="str">
        <x:v>Prozorro winners — 24.08</x:v>
      </x:c>
      <x:c r="C463" s="14" t="str">
        <x:v>ПРИВАТНЕ ПІДПРИЄМСТВО "ВІНАСТЕРІСК"</x:v>
      </x:c>
      <x:c r="D463" s="14" t="str">
        <x:v>Електромонтаж</x:v>
      </x:c>
      <x:c r="E463" s="14" t="str">
        <x:v>Pilot now</x:v>
      </x:c>
      <x:c r="F463" s="17" t="str">
        <x:f>IF(E463="Pilot now",IF(P463&gt;=84,"P1",IF(P463&gt;=72,"P2","P3")),IF(E463="Expansion discovery",IF(Q463&gt;=88,"D1",IF(Q463&gt;=78,"D2","D3")),IF(E463="Later / requirements","L","Legacy")))</x:f>
        <x:v>P1</x:v>
      </x:c>
      <x:c r="G463" s="14" t="str"/>
      <x:c r="H463" s="14" t="str">
        <x:v>Пілот зараз — Н.15</x:v>
      </x:c>
      <x:c r="I463" s="16" t="n">
        <x:v>5</x:v>
      </x:c>
      <x:c r="J463" s="16" t="n">
        <x:v>5</x:v>
      </x:c>
      <x:c r="K463" s="16" t="n">
        <x:v>5</x:v>
      </x:c>
      <x:c r="L463" s="16" t="n">
        <x:v>1</x:v>
      </x:c>
      <x:c r="M463" s="16" t="n">
        <x:v>5</x:v>
      </x:c>
      <x:c r="N463" s="16" t="n">
        <x:v>5</x:v>
      </x:c>
      <x:c r="O463" s="16" t="n">
        <x:v>5</x:v>
      </x:c>
      <x:c r="P463" s="16" t="n">
        <x:f>IF(COUNT(I463:O463)&lt;7,"",I463*8+J463*3+K463*2+L463*2+M463*2+N463*2+O463)</x:f>
        <x:v>92</x:v>
      </x:c>
      <x:c r="Q463" s="16" t="n">
        <x:f>IF(COUNT(J463:O463)&lt;6,"",J463*5+K463*4+M463*4+L463*3+N463*2+O463*2)</x:f>
        <x:v>88</x:v>
      </x:c>
      <x:c r="R463" s="14" t="str">
        <x:v>high</x:v>
      </x:c>
      <x:c r="S463" s="14" t="str">
        <x:v>official_prozorro_award_2025_2026</x:v>
      </x:c>
      <x:c r="T463" s="14" t="str">
        <x:v>official_prozorro_api</x:v>
      </x:c>
      <x:c r="U463" s="14" t="str">
        <x:v>Не контактували</x:v>
      </x:c>
      <x:c r="V463" s="15" t="str">
        <x:v>Персоналізований free-pilot outreach по UA-2026-07-24-005773-a; попросити 1 пакет Н.14/Н.15</x:v>
      </x:c>
      <x:c r="W463" s="15" t="str">
        <x:v>Власник / директор; керівник ПТО; відповідальний за договори</x:v>
      </x:c>
      <x:c r="X463" s="15" t="str">
        <x:v>1 підтверджених перемог/договорів у Prozorro на 97 500 грн; 1 проєктів зі строком виконання не раніше 24.08.2026.</x:v>
      </x:c>
      <x:c r="Y463" s="15" t="str">
        <x:v>електромонтажні роботи; строк до 2026-08-31. Попросити один знеособлений пакет здачі за цим workflow.</x:v>
      </x:c>
      <x:c r="Z463" s="15" t="str">
        <x:v>https://prozorro.gov.ua/tender/UA-2026-07-24-005773-a</x:v>
      </x:c>
      <x:c r="AA463" s="14" t="str">
        <x:v>35542326</x:v>
      </x:c>
      <x:c r="AB463" s="14" t="str">
        <x:v>2026-08-24</x:v>
      </x:c>
      <x:c r="AC463" s="14" t="str"/>
      <x:c r="AD463" s="20" t="str"/>
      <x:c r="AE463" s="14" t="str"/>
      <x:c r="AF463" s="14" t="n">
        <x:v>52</x:v>
      </x:c>
      <x:c r="AG463" s="14" t="str">
        <x:v>I3</x:v>
      </x:c>
      <x:c r="AH463" s="14" t="n">
        <x:v>1</x:v>
      </x:c>
      <x:c r="AI463" s="14" t="n">
        <x:v>1</x:v>
      </x:c>
      <x:c r="AJ463" s="18" t="n">
        <x:v>97500</x:v>
      </x:c>
      <x:c r="AK463" s="14" t="str">
        <x:v>https://prozorro.gov.ua/tender/UA-2026-07-24-005773-a</x:v>
      </x:c>
      <x:c r="AL463" s="19" t="n">
        <x:v>46227.429720127315</x:v>
      </x:c>
      <x:c r="AM463" s="19" t="n">
        <x:v>46265</x:v>
      </x:c>
      <x:c r="AN463" s="15" t="str">
        <x:v>Електромонтаж</x:v>
      </x:c>
      <x:c r="AO463" s="15" t="str">
        <x:v>not_found_in_top_search</x:v>
      </x:c>
    </x:row>
    <x:row r="464">
      <x:c r="A464" s="14" t="str">
        <x:v>W3-192</x:v>
      </x:c>
      <x:c r="B464" s="14" t="str">
        <x:v>Prozorro winners — 24.08</x:v>
      </x:c>
      <x:c r="C464" s="14" t="str">
        <x:v>ТОВАРИСТВО З ОБМЕЖЕНОЮ ВІДПОВІДАЛЬНІСТЮ "ПОЖСЕРВІС"</x:v>
      </x:c>
      <x:c r="D464" s="14" t="str">
        <x:v>Пожежогасіння</x:v>
      </x:c>
      <x:c r="E464" s="14" t="str">
        <x:v>Expansion discovery</x:v>
      </x:c>
      <x:c r="F464" s="17" t="str">
        <x:f>IF(E464="Pilot now",IF(P464&gt;=84,"P1",IF(P464&gt;=72,"P2","P3")),IF(E464="Expansion discovery",IF(Q464&gt;=88,"D1",IF(Q464&gt;=78,"D2","D3")),IF(E464="Later / requirements","L","Legacy")))</x:f>
        <x:v>D2</x:v>
      </x:c>
      <x:c r="G464" s="14" t="str"/>
      <x:c r="H464" s="14" t="str">
        <x:v>Discovery розширення — 2 тижні</x:v>
      </x:c>
      <x:c r="I464" s="16" t="n">
        <x:v>1</x:v>
      </x:c>
      <x:c r="J464" s="16" t="n">
        <x:v>5</x:v>
      </x:c>
      <x:c r="K464" s="16" t="n">
        <x:v>4</x:v>
      </x:c>
      <x:c r="L464" s="16" t="n">
        <x:v>1</x:v>
      </x:c>
      <x:c r="M464" s="16" t="n">
        <x:v>5</x:v>
      </x:c>
      <x:c r="N464" s="16" t="n">
        <x:v>5</x:v>
      </x:c>
      <x:c r="O464" s="16" t="n">
        <x:v>5</x:v>
      </x:c>
      <x:c r="P464" s="16" t="n">
        <x:f>IF(COUNT(I464:O464)&lt;7,"",I464*8+J464*3+K464*2+L464*2+M464*2+N464*2+O464)</x:f>
        <x:v>58</x:v>
      </x:c>
      <x:c r="Q464" s="16" t="n">
        <x:f>IF(COUNT(J464:O464)&lt;6,"",J464*5+K464*4+M464*4+L464*3+N464*2+O464*2)</x:f>
        <x:v>84</x:v>
      </x:c>
      <x:c r="R464" s="14" t="str">
        <x:v>high</x:v>
      </x:c>
      <x:c r="S464" s="14" t="str">
        <x:v>official_prozorro_award_2025_2026</x:v>
      </x:c>
      <x:c r="T464" s="14" t="str">
        <x:v>official_prozorro_api</x:v>
      </x:c>
      <x:c r="U464" s="14" t="str">
        <x:v>Не контактували</x:v>
      </x:c>
      <x:c r="V464" s="15" t="str">
        <x:v>Workflow-audit outreach по UA-2026-08-19-008418-a; попросити 1 пакет здачі та вимоги проєкту</x:v>
      </x:c>
      <x:c r="W464" s="15" t="str">
        <x:v>Власник / директор; керівник ПТО; відповідальний за договори</x:v>
      </x:c>
      <x:c r="X464" s="15" t="str">
        <x:v>1 підтверджених перемог/договорів у Prozorro на 95 989 грн; 1 проєктів зі строком виконання не раніше 24.08.2026.</x:v>
      </x:c>
      <x:c r="Y464" s="15" t="str">
        <x:v>Послуги з монтажу системи пожежної сигналізації в приміщеннях навчального корпусу за адресою м. Житомир вул. Київська, 9
; строк до 2026-09-18. Попросити один знеособлений пакет здачі за цим workflow.</x:v>
      </x:c>
      <x:c r="Z464" s="15" t="str">
        <x:v>https://prozorro.gov.ua/tender/UA-2026-08-19-008418-a</x:v>
      </x:c>
      <x:c r="AA464" s="14" t="str">
        <x:v>33020041</x:v>
      </x:c>
      <x:c r="AB464" s="14" t="str">
        <x:v>2026-08-24</x:v>
      </x:c>
      <x:c r="AC464" s="14" t="str"/>
      <x:c r="AD464" s="20" t="str"/>
      <x:c r="AE464" s="14" t="str"/>
      <x:c r="AF464" s="14" t="n">
        <x:v>52</x:v>
      </x:c>
      <x:c r="AG464" s="14" t="str">
        <x:v>I3</x:v>
      </x:c>
      <x:c r="AH464" s="14" t="n">
        <x:v>1</x:v>
      </x:c>
      <x:c r="AI464" s="14" t="n">
        <x:v>1</x:v>
      </x:c>
      <x:c r="AJ464" s="18" t="n">
        <x:v>95989</x:v>
      </x:c>
      <x:c r="AK464" s="14" t="str">
        <x:v>https://prozorro.gov.ua/tender/UA-2026-08-19-008418-a</x:v>
      </x:c>
      <x:c r="AL464" s="19" t="n">
        <x:v>46253.48640649306</x:v>
      </x:c>
      <x:c r="AM464" s="19" t="n">
        <x:v>46283</x:v>
      </x:c>
      <x:c r="AN464" s="15" t="str">
        <x:v>Пожежогасіння</x:v>
      </x:c>
      <x:c r="AO464" s="15" t="str">
        <x:v>not_found_in_top_search</x:v>
      </x:c>
    </x:row>
    <x:row r="465">
      <x:c r="A465" s="14" t="str">
        <x:v>W3-193</x:v>
      </x:c>
      <x:c r="B465" s="14" t="str">
        <x:v>Prozorro winners — 24.08</x:v>
      </x:c>
      <x:c r="C465" s="14" t="str">
        <x:v>Товариство з обмеженою відповідальністю "Науково-дослідний та проектно-вишукувальний інститут "УКРКОМУНПРОЕКТ"</x:v>
      </x:c>
      <x:c r="D465" s="14" t="str">
        <x:v>Насосні станції</x:v>
      </x:c>
      <x:c r="E465" s="14" t="str">
        <x:v>Expansion discovery</x:v>
      </x:c>
      <x:c r="F465" s="17" t="str">
        <x:f>IF(E465="Pilot now",IF(P465&gt;=84,"P1",IF(P465&gt;=72,"P2","P3")),IF(E465="Expansion discovery",IF(Q465&gt;=88,"D1",IF(Q465&gt;=78,"D2","D3")),IF(E465="Later / requirements","L","Legacy")))</x:f>
        <x:v>D2</x:v>
      </x:c>
      <x:c r="G465" s="14" t="str"/>
      <x:c r="H465" s="14" t="str">
        <x:v>Discovery розширення — 2 тижні</x:v>
      </x:c>
      <x:c r="I465" s="16" t="n">
        <x:v>1</x:v>
      </x:c>
      <x:c r="J465" s="16" t="n">
        <x:v>5</x:v>
      </x:c>
      <x:c r="K465" s="16" t="n">
        <x:v>4</x:v>
      </x:c>
      <x:c r="L465" s="16" t="n">
        <x:v>1</x:v>
      </x:c>
      <x:c r="M465" s="16" t="n">
        <x:v>5</x:v>
      </x:c>
      <x:c r="N465" s="16" t="n">
        <x:v>5</x:v>
      </x:c>
      <x:c r="O465" s="16" t="n">
        <x:v>5</x:v>
      </x:c>
      <x:c r="P465" s="16" t="n">
        <x:f>IF(COUNT(I465:O465)&lt;7,"",I465*8+J465*3+K465*2+L465*2+M465*2+N465*2+O465)</x:f>
        <x:v>58</x:v>
      </x:c>
      <x:c r="Q465" s="16" t="n">
        <x:f>IF(COUNT(J465:O465)&lt;6,"",J465*5+K465*4+M465*4+L465*3+N465*2+O465*2)</x:f>
        <x:v>84</x:v>
      </x:c>
      <x:c r="R465" s="14" t="str">
        <x:v>high</x:v>
      </x:c>
      <x:c r="S465" s="14" t="str">
        <x:v>official_prozorro_award_2025_2026</x:v>
      </x:c>
      <x:c r="T465" s="14" t="str">
        <x:v>official_prozorro_api</x:v>
      </x:c>
      <x:c r="U465" s="14" t="str">
        <x:v>Не контактували</x:v>
      </x:c>
      <x:c r="V465" s="15" t="str">
        <x:v>Workflow-audit outreach по UA-2026-07-27-011147-a; попросити 1 пакет здачі та вимоги проєкту</x:v>
      </x:c>
      <x:c r="W465" s="15" t="str">
        <x:v>Власник / директор; керівник ПТО; відповідальний за договори</x:v>
      </x:c>
      <x:c r="X465" s="15" t="str">
        <x:v>1 підтверджених перемог/договорів у Prozorro на 85 895 грн; 1 проєктів зі строком виконання не раніше 24.08.2026.</x:v>
      </x:c>
      <x:c r="Y465" s="15" t="str">
        <x:v>Авторський  нагляд по об’єкту «Реконструкція каналізаційної насосної станції КНС-2 по вул. Романа Шухевича, 1а в м. Конотоп Сумської області (Коригування)» (за кодом ДК 021-2015(CPV): 71520000-9 – Послуги з нагляду за виконанням будівельних робіт); строк до 2026-11-30. Попросити один знеособлений пакет здачі за цим workflow.</x:v>
      </x:c>
      <x:c r="Z465" s="15" t="str">
        <x:v>https://prozorro.gov.ua/tender/UA-2026-07-27-011147-a</x:v>
      </x:c>
      <x:c r="AA465" s="14" t="str">
        <x:v>44029139</x:v>
      </x:c>
      <x:c r="AB465" s="14" t="str">
        <x:v>2026-08-24</x:v>
      </x:c>
      <x:c r="AC465" s="14" t="str"/>
      <x:c r="AD465" s="20" t="str"/>
      <x:c r="AE465" s="14" t="str"/>
      <x:c r="AF465" s="14" t="n">
        <x:v>52</x:v>
      </x:c>
      <x:c r="AG465" s="14" t="str">
        <x:v>I3</x:v>
      </x:c>
      <x:c r="AH465" s="14" t="n">
        <x:v>1</x:v>
      </x:c>
      <x:c r="AI465" s="14" t="n">
        <x:v>1</x:v>
      </x:c>
      <x:c r="AJ465" s="18" t="n">
        <x:v>85895</x:v>
      </x:c>
      <x:c r="AK465" s="14" t="str">
        <x:v>https://prozorro.gov.ua/tender/UA-2026-07-27-011147-a</x:v>
      </x:c>
      <x:c r="AL465" s="19" t="n">
        <x:v>46230.62885929398</x:v>
      </x:c>
      <x:c r="AM465" s="19" t="n">
        <x:v>46356.669328703705</x:v>
      </x:c>
      <x:c r="AN465" s="15" t="str">
        <x:v>Насосні станції</x:v>
      </x:c>
      <x:c r="AO465" s="15" t="str">
        <x:v>not_found_in_top_search</x:v>
      </x:c>
    </x:row>
    <x:row r="466">
      <x:c r="A466" s="14" t="str">
        <x:v>W3-194</x:v>
      </x:c>
      <x:c r="B466" s="14" t="str">
        <x:v>Prozorro winners — 24.08</x:v>
      </x:c>
      <x:c r="C466" s="14" t="str">
        <x:v>ТОВАРИСТВО З ОБМЕЖЕНОЮ ВІДПОВІДАЛЬНІСТЮ "ГРАНІТ. БЕЗПЕКА ТА БІЗНЕС"</x:v>
      </x:c>
      <x:c r="D466" s="14" t="str">
        <x:v>Безпека / СКУД / CCTV</x:v>
      </x:c>
      <x:c r="E466" s="14" t="str">
        <x:v>Expansion discovery</x:v>
      </x:c>
      <x:c r="F466" s="17" t="str">
        <x:f>IF(E466="Pilot now",IF(P466&gt;=84,"P1",IF(P466&gt;=72,"P2","P3")),IF(E466="Expansion discovery",IF(Q466&gt;=88,"D1",IF(Q466&gt;=78,"D2","D3")),IF(E466="Later / requirements","L","Legacy")))</x:f>
        <x:v>D2</x:v>
      </x:c>
      <x:c r="G466" s="14" t="str"/>
      <x:c r="H466" s="14" t="str">
        <x:v>Discovery розширення — 2 тижні</x:v>
      </x:c>
      <x:c r="I466" s="16" t="n">
        <x:v>1</x:v>
      </x:c>
      <x:c r="J466" s="16" t="n">
        <x:v>5</x:v>
      </x:c>
      <x:c r="K466" s="16" t="n">
        <x:v>4</x:v>
      </x:c>
      <x:c r="L466" s="16" t="n">
        <x:v>1</x:v>
      </x:c>
      <x:c r="M466" s="16" t="n">
        <x:v>5</x:v>
      </x:c>
      <x:c r="N466" s="16" t="n">
        <x:v>5</x:v>
      </x:c>
      <x:c r="O466" s="16" t="n">
        <x:v>5</x:v>
      </x:c>
      <x:c r="P466" s="16" t="n">
        <x:f>IF(COUNT(I466:O466)&lt;7,"",I466*8+J466*3+K466*2+L466*2+M466*2+N466*2+O466)</x:f>
        <x:v>58</x:v>
      </x:c>
      <x:c r="Q466" s="16" t="n">
        <x:f>IF(COUNT(J466:O466)&lt;6,"",J466*5+K466*4+M466*4+L466*3+N466*2+O466*2)</x:f>
        <x:v>84</x:v>
      </x:c>
      <x:c r="R466" s="14" t="str">
        <x:v>high</x:v>
      </x:c>
      <x:c r="S466" s="14" t="str">
        <x:v>official_prozorro_award_2025_2026</x:v>
      </x:c>
      <x:c r="T466" s="14" t="str">
        <x:v>official_prozorro_api</x:v>
      </x:c>
      <x:c r="U466" s="14" t="str">
        <x:v>Не контактували</x:v>
      </x:c>
      <x:c r="V466" s="15" t="str">
        <x:v>Workflow-audit outreach по UA-2026-07-10-003006-a; попросити 1 пакет здачі та вимоги проєкту</x:v>
      </x:c>
      <x:c r="W466" s="15" t="str">
        <x:v>Власник / директор; керівник ПТО; відповідальний за договори</x:v>
      </x:c>
      <x:c r="X466" s="15" t="str">
        <x:v>1 підтверджених перемог/договорів у Prozorro на 83 640 грн; 1 проєктів зі строком виконання не раніше 24.08.2026.</x:v>
      </x:c>
      <x:c r="Y466" s="15" t="str">
        <x:v>Встановлення системи відеоспостереження (з монтажем, підключенням та налаштуванням); строк до 2026-12-31. Попросити один знеособлений пакет здачі за цим workflow.</x:v>
      </x:c>
      <x:c r="Z466" s="15" t="str">
        <x:v>https://prozorro.gov.ua/tender/UA-2026-07-10-003006-a</x:v>
      </x:c>
      <x:c r="AA466" s="14" t="str">
        <x:v>43674658</x:v>
      </x:c>
      <x:c r="AB466" s="14" t="str">
        <x:v>2026-08-24</x:v>
      </x:c>
      <x:c r="AC466" s="14" t="str"/>
      <x:c r="AD466" s="20" t="str"/>
      <x:c r="AE466" s="14" t="str"/>
      <x:c r="AF466" s="14" t="n">
        <x:v>52</x:v>
      </x:c>
      <x:c r="AG466" s="14" t="str">
        <x:v>I3</x:v>
      </x:c>
      <x:c r="AH466" s="14" t="n">
        <x:v>1</x:v>
      </x:c>
      <x:c r="AI466" s="14" t="n">
        <x:v>1</x:v>
      </x:c>
      <x:c r="AJ466" s="18" t="n">
        <x:v>83640</x:v>
      </x:c>
      <x:c r="AK466" s="14" t="str">
        <x:v>https://prozorro.gov.ua/tender/UA-2026-07-10-003006-a</x:v>
      </x:c>
      <x:c r="AL466" s="19" t="n">
        <x:v>46213.33753651621</x:v>
      </x:c>
      <x:c r="AM466" s="19" t="n">
        <x:v>46387</x:v>
      </x:c>
      <x:c r="AN466" s="15" t="str">
        <x:v>Безпека / СКУД / CCTV</x:v>
      </x:c>
      <x:c r="AO466" s="15" t="str">
        <x:v>not_found_in_top_search</x:v>
      </x:c>
    </x:row>
    <x:row r="467">
      <x:c r="A467" s="14" t="str">
        <x:v>W3-195</x:v>
      </x:c>
      <x:c r="B467" s="14" t="str">
        <x:v>Prozorro winners — 24.08</x:v>
      </x:c>
      <x:c r="C467" s="14" t="str">
        <x:v>ТОВ "телерадіокомпанія "ГОК"</x:v>
      </x:c>
      <x:c r="D467" s="14" t="str">
        <x:v>Безпека / СКУД / CCTV</x:v>
      </x:c>
      <x:c r="E467" s="14" t="str">
        <x:v>Expansion discovery</x:v>
      </x:c>
      <x:c r="F467" s="17" t="str">
        <x:f>IF(E467="Pilot now",IF(P467&gt;=84,"P1",IF(P467&gt;=72,"P2","P3")),IF(E467="Expansion discovery",IF(Q467&gt;=88,"D1",IF(Q467&gt;=78,"D2","D3")),IF(E467="Later / requirements","L","Legacy")))</x:f>
        <x:v>D2</x:v>
      </x:c>
      <x:c r="G467" s="14" t="str"/>
      <x:c r="H467" s="14" t="str">
        <x:v>Discovery розширення — 2 тижні</x:v>
      </x:c>
      <x:c r="I467" s="16" t="n">
        <x:v>1</x:v>
      </x:c>
      <x:c r="J467" s="16" t="n">
        <x:v>5</x:v>
      </x:c>
      <x:c r="K467" s="16" t="n">
        <x:v>4</x:v>
      </x:c>
      <x:c r="L467" s="16" t="n">
        <x:v>1</x:v>
      </x:c>
      <x:c r="M467" s="16" t="n">
        <x:v>5</x:v>
      </x:c>
      <x:c r="N467" s="16" t="n">
        <x:v>5</x:v>
      </x:c>
      <x:c r="O467" s="16" t="n">
        <x:v>5</x:v>
      </x:c>
      <x:c r="P467" s="16" t="n">
        <x:f>IF(COUNT(I467:O467)&lt;7,"",I467*8+J467*3+K467*2+L467*2+M467*2+N467*2+O467)</x:f>
        <x:v>58</x:v>
      </x:c>
      <x:c r="Q467" s="16" t="n">
        <x:f>IF(COUNT(J467:O467)&lt;6,"",J467*5+K467*4+M467*4+L467*3+N467*2+O467*2)</x:f>
        <x:v>84</x:v>
      </x:c>
      <x:c r="R467" s="14" t="str">
        <x:v>high</x:v>
      </x:c>
      <x:c r="S467" s="14" t="str">
        <x:v>official_prozorro_award_2025_2026</x:v>
      </x:c>
      <x:c r="T467" s="14" t="str">
        <x:v>official_prozorro_api</x:v>
      </x:c>
      <x:c r="U467" s="14" t="str">
        <x:v>Не контактували</x:v>
      </x:c>
      <x:c r="V467" s="15" t="str">
        <x:v>Workflow-audit outreach по UA-2026-08-24-008102-a; попросити 1 пакет здачі та вимоги проєкту</x:v>
      </x:c>
      <x:c r="W467" s="15" t="str">
        <x:v>Власник / директор; керівник ПТО; відповідальний за договори</x:v>
      </x:c>
      <x:c r="X467" s="15" t="str">
        <x:v>1 підтверджених перемог/договорів у Prozorro на 79 194 грн; 1 проєктів зі строком виконання не раніше 24.08.2026.</x:v>
      </x:c>
      <x:c r="Y467" s="15" t="str">
        <x:v>Послуги  з монтажу, установки системи відеоспостереження; строк до 2026-12-31. Попросити один знеособлений пакет здачі за цим workflow.</x:v>
      </x:c>
      <x:c r="Z467" s="15" t="str">
        <x:v>https://prozorro.gov.ua/tender/UA-2026-08-24-008102-a</x:v>
      </x:c>
      <x:c r="AA467" s="14" t="str">
        <x:v>24564256</x:v>
      </x:c>
      <x:c r="AB467" s="14" t="str">
        <x:v>2026-08-24</x:v>
      </x:c>
      <x:c r="AC467" s="14" t="str"/>
      <x:c r="AD467" s="20" t="str"/>
      <x:c r="AE467" s="14" t="str"/>
      <x:c r="AF467" s="14" t="n">
        <x:v>52</x:v>
      </x:c>
      <x:c r="AG467" s="14" t="str">
        <x:v>I3</x:v>
      </x:c>
      <x:c r="AH467" s="14" t="n">
        <x:v>1</x:v>
      </x:c>
      <x:c r="AI467" s="14" t="n">
        <x:v>1</x:v>
      </x:c>
      <x:c r="AJ467" s="18" t="n">
        <x:v>79194.23</x:v>
      </x:c>
      <x:c r="AK467" s="14" t="str">
        <x:v>https://prozorro.gov.ua/tender/UA-2026-08-24-008102-a</x:v>
      </x:c>
      <x:c r="AL467" s="19" t="n">
        <x:v>46258.52711094907</x:v>
      </x:c>
      <x:c r="AM467" s="19" t="n">
        <x:v>46387.570439814815</x:v>
      </x:c>
      <x:c r="AN467" s="15" t="str">
        <x:v>Безпека / СКУД / CCTV</x:v>
      </x:c>
      <x:c r="AO467" s="15" t="str">
        <x:v>not_found_in_top_search</x:v>
      </x:c>
    </x:row>
    <x:row r="468">
      <x:c r="A468" s="14" t="str">
        <x:v>W3-196</x:v>
      </x:c>
      <x:c r="B468" s="14" t="str">
        <x:v>Prozorro winners — 24.08</x:v>
      </x:c>
      <x:c r="C468" s="14" t="str">
        <x:v>ТОВАРИСТВО З ОБМЕЖЕНОЮ ВІДПОВІДАЛЬНІСТЮ НАУКОВО-ВИРОБНИЧЕ ЕНЕРГЕТИЧНЕ ПІДПРИЄМСТВО "ПРОМІНЬ"</x:v>
      </x:c>
      <x:c r="D468" s="14" t="str">
        <x:v>Електромонтаж</x:v>
      </x:c>
      <x:c r="E468" s="14" t="str">
        <x:v>Pilot now</x:v>
      </x:c>
      <x:c r="F468" s="17" t="str">
        <x:f>IF(E468="Pilot now",IF(P468&gt;=84,"P1",IF(P468&gt;=72,"P2","P3")),IF(E468="Expansion discovery",IF(Q468&gt;=88,"D1",IF(Q468&gt;=78,"D2","D3")),IF(E468="Later / requirements","L","Legacy")))</x:f>
        <x:v>P1</x:v>
      </x:c>
      <x:c r="G468" s="14" t="str"/>
      <x:c r="H468" s="14" t="str">
        <x:v>Пілот зараз — Н.15</x:v>
      </x:c>
      <x:c r="I468" s="16" t="n">
        <x:v>5</x:v>
      </x:c>
      <x:c r="J468" s="16" t="n">
        <x:v>5</x:v>
      </x:c>
      <x:c r="K468" s="16" t="n">
        <x:v>5</x:v>
      </x:c>
      <x:c r="L468" s="16" t="n">
        <x:v>1</x:v>
      </x:c>
      <x:c r="M468" s="16" t="n">
        <x:v>5</x:v>
      </x:c>
      <x:c r="N468" s="16" t="n">
        <x:v>5</x:v>
      </x:c>
      <x:c r="O468" s="16" t="n">
        <x:v>5</x:v>
      </x:c>
      <x:c r="P468" s="16" t="n">
        <x:f>IF(COUNT(I468:O468)&lt;7,"",I468*8+J468*3+K468*2+L468*2+M468*2+N468*2+O468)</x:f>
        <x:v>92</x:v>
      </x:c>
      <x:c r="Q468" s="16" t="n">
        <x:f>IF(COUNT(J468:O468)&lt;6,"",J468*5+K468*4+M468*4+L468*3+N468*2+O468*2)</x:f>
        <x:v>88</x:v>
      </x:c>
      <x:c r="R468" s="14" t="str">
        <x:v>high</x:v>
      </x:c>
      <x:c r="S468" s="14" t="str">
        <x:v>official_prozorro_award_2025_2026</x:v>
      </x:c>
      <x:c r="T468" s="14" t="str">
        <x:v>official_prozorro_api</x:v>
      </x:c>
      <x:c r="U468" s="14" t="str">
        <x:v>Не контактували</x:v>
      </x:c>
      <x:c r="V468" s="15" t="str">
        <x:v>Персоналізований free-pilot outreach по UA-2026-08-10-004471-a; попросити 1 пакет Н.14/Н.15</x:v>
      </x:c>
      <x:c r="W468" s="15" t="str">
        <x:v>Власник / директор; керівник ПТО; відповідальний за договори</x:v>
      </x:c>
      <x:c r="X468" s="15" t="str">
        <x:v>1 підтверджених перемог/договорів у Prozorro на 74 156 грн; 1 проєктів зі строком виконання не раніше 24.08.2026.</x:v>
      </x:c>
      <x:c r="Y468" s="15" t="str">
        <x:v>електромонтажні роботи; строк до 2026-12-31. Попросити один знеособлений пакет здачі за цим workflow.</x:v>
      </x:c>
      <x:c r="Z468" s="15" t="str">
        <x:v>https://prozorro.gov.ua/tender/UA-2026-08-10-004471-a</x:v>
      </x:c>
      <x:c r="AA468" s="14" t="str">
        <x:v>30593114</x:v>
      </x:c>
      <x:c r="AB468" s="14" t="str">
        <x:v>2026-08-24</x:v>
      </x:c>
      <x:c r="AC468" s="14" t="str"/>
      <x:c r="AD468" s="20" t="str"/>
      <x:c r="AE468" s="14" t="str"/>
      <x:c r="AF468" s="14" t="n">
        <x:v>52</x:v>
      </x:c>
      <x:c r="AG468" s="14" t="str">
        <x:v>I3</x:v>
      </x:c>
      <x:c r="AH468" s="14" t="n">
        <x:v>1</x:v>
      </x:c>
      <x:c r="AI468" s="14" t="n">
        <x:v>1</x:v>
      </x:c>
      <x:c r="AJ468" s="18" t="n">
        <x:v>74156.47</x:v>
      </x:c>
      <x:c r="AK468" s="14" t="str">
        <x:v>https://prozorro.gov.ua/tender/UA-2026-08-10-004471-a</x:v>
      </x:c>
      <x:c r="AL468" s="19" t="n">
        <x:v>46244.39672505787</x:v>
      </x:c>
      <x:c r="AM468" s="19" t="n">
        <x:v>46387</x:v>
      </x:c>
      <x:c r="AN468" s="15" t="str">
        <x:v>Електромонтаж</x:v>
      </x:c>
      <x:c r="AO468" s="15" t="str">
        <x:v>not_found_in_top_search</x:v>
      </x:c>
    </x:row>
    <x:row r="469">
      <x:c r="A469" s="14" t="str">
        <x:v>W3-197</x:v>
      </x:c>
      <x:c r="B469" s="14" t="str">
        <x:v>Prozorro winners — 24.08</x:v>
      </x:c>
      <x:c r="C469" s="14" t="str">
        <x:v>ТОВАРИСТВО З ОБМЕЖЕНОЮ ВІДПОВІДАЛЬНІСТЮ "ПОЖЕЖНО-ТЕХНІЧНИЙ ЗАХИСТ"</x:v>
      </x:c>
      <x:c r="D469" s="14" t="str">
        <x:v>Пожежогасіння</x:v>
      </x:c>
      <x:c r="E469" s="14" t="str">
        <x:v>Expansion discovery</x:v>
      </x:c>
      <x:c r="F469" s="17" t="str">
        <x:f>IF(E469="Pilot now",IF(P469&gt;=84,"P1",IF(P469&gt;=72,"P2","P3")),IF(E469="Expansion discovery",IF(Q469&gt;=88,"D1",IF(Q469&gt;=78,"D2","D3")),IF(E469="Later / requirements","L","Legacy")))</x:f>
        <x:v>D2</x:v>
      </x:c>
      <x:c r="G469" s="14" t="str"/>
      <x:c r="H469" s="14" t="str">
        <x:v>Discovery розширення — 2 тижні</x:v>
      </x:c>
      <x:c r="I469" s="16" t="n">
        <x:v>1</x:v>
      </x:c>
      <x:c r="J469" s="16" t="n">
        <x:v>5</x:v>
      </x:c>
      <x:c r="K469" s="16" t="n">
        <x:v>4</x:v>
      </x:c>
      <x:c r="L469" s="16" t="n">
        <x:v>1</x:v>
      </x:c>
      <x:c r="M469" s="16" t="n">
        <x:v>5</x:v>
      </x:c>
      <x:c r="N469" s="16" t="n">
        <x:v>5</x:v>
      </x:c>
      <x:c r="O469" s="16" t="n">
        <x:v>5</x:v>
      </x:c>
      <x:c r="P469" s="16" t="n">
        <x:f>IF(COUNT(I469:O469)&lt;7,"",I469*8+J469*3+K469*2+L469*2+M469*2+N469*2+O469)</x:f>
        <x:v>58</x:v>
      </x:c>
      <x:c r="Q469" s="16" t="n">
        <x:f>IF(COUNT(J469:O469)&lt;6,"",J469*5+K469*4+M469*4+L469*3+N469*2+O469*2)</x:f>
        <x:v>84</x:v>
      </x:c>
      <x:c r="R469" s="14" t="str">
        <x:v>high</x:v>
      </x:c>
      <x:c r="S469" s="14" t="str">
        <x:v>official_prozorro_award_2025_2026</x:v>
      </x:c>
      <x:c r="T469" s="14" t="str">
        <x:v>official_prozorro_api</x:v>
      </x:c>
      <x:c r="U469" s="14" t="str">
        <x:v>Не контактували</x:v>
      </x:c>
      <x:c r="V469" s="15" t="str">
        <x:v>Workflow-audit outreach по UA-2026-08-12-002950-a; попросити 1 пакет здачі та вимоги проєкту</x:v>
      </x:c>
      <x:c r="W469" s="15" t="str">
        <x:v>Власник / директор; керівник ПТО; відповідальний за договори</x:v>
      </x:c>
      <x:c r="X469" s="15" t="str">
        <x:v>1 підтверджених перемог/договорів у Prozorro на 67 500 грн; 1 проєктів зі строком виконання не раніше 24.08.2026.</x:v>
      </x:c>
      <x:c r="Y469" s="15" t="str">
        <x:v>Розробка проєктної документації на монтаж систем автоматичної пожежної сигналізації та автоматичного газового пожежогасіння з проведенням експертної оцінки кошторисно-проєктної документації; строк до 2026-10-13. Попросити один знеособлений пакет здачі за цим workflow.</x:v>
      </x:c>
      <x:c r="Z469" s="15" t="str">
        <x:v>https://prozorro.gov.ua/tender/UA-2026-08-12-002950-a</x:v>
      </x:c>
      <x:c r="AA469" s="14" t="str">
        <x:v>38852332</x:v>
      </x:c>
      <x:c r="AB469" s="14" t="str">
        <x:v>2026-08-24</x:v>
      </x:c>
      <x:c r="AC469" s="14" t="str"/>
      <x:c r="AD469" s="20" t="str"/>
      <x:c r="AE469" s="14" t="str"/>
      <x:c r="AF469" s="14" t="n">
        <x:v>52</x:v>
      </x:c>
      <x:c r="AG469" s="14" t="str">
        <x:v>I3</x:v>
      </x:c>
      <x:c r="AH469" s="14" t="n">
        <x:v>1</x:v>
      </x:c>
      <x:c r="AI469" s="14" t="n">
        <x:v>1</x:v>
      </x:c>
      <x:c r="AJ469" s="18" t="n">
        <x:v>67500</x:v>
      </x:c>
      <x:c r="AK469" s="14" t="str">
        <x:v>https://prozorro.gov.ua/tender/UA-2026-08-12-002950-a</x:v>
      </x:c>
      <x:c r="AL469" s="19" t="n">
        <x:v>46246.33533635417</x:v>
      </x:c>
      <x:c r="AM469" s="19" t="n">
        <x:v>46308</x:v>
      </x:c>
      <x:c r="AN469" s="15" t="str">
        <x:v>Пожежогасіння</x:v>
      </x:c>
      <x:c r="AO469" s="15" t="str">
        <x:v>not_found_in_top_search</x:v>
      </x:c>
    </x:row>
    <x:row r="470">
      <x:c r="A470" s="14" t="str">
        <x:v>W3-198</x:v>
      </x:c>
      <x:c r="B470" s="14" t="str">
        <x:v>Prozorro winners — 24.08</x:v>
      </x:c>
      <x:c r="C470" s="14" t="str">
        <x:v>ПП "Енергодар Т"</x:v>
      </x:c>
      <x:c r="D470" s="14" t="str">
        <x:v>Електромонтаж</x:v>
      </x:c>
      <x:c r="E470" s="14" t="str">
        <x:v>Pilot now</x:v>
      </x:c>
      <x:c r="F470" s="17" t="str">
        <x:f>IF(E470="Pilot now",IF(P470&gt;=84,"P1",IF(P470&gt;=72,"P2","P3")),IF(E470="Expansion discovery",IF(Q470&gt;=88,"D1",IF(Q470&gt;=78,"D2","D3")),IF(E470="Later / requirements","L","Legacy")))</x:f>
        <x:v>P1</x:v>
      </x:c>
      <x:c r="G470" s="14" t="str"/>
      <x:c r="H470" s="14" t="str">
        <x:v>Пілот зараз — Н.15</x:v>
      </x:c>
      <x:c r="I470" s="16" t="n">
        <x:v>5</x:v>
      </x:c>
      <x:c r="J470" s="16" t="n">
        <x:v>5</x:v>
      </x:c>
      <x:c r="K470" s="16" t="n">
        <x:v>5</x:v>
      </x:c>
      <x:c r="L470" s="16" t="n">
        <x:v>1</x:v>
      </x:c>
      <x:c r="M470" s="16" t="n">
        <x:v>5</x:v>
      </x:c>
      <x:c r="N470" s="16" t="n">
        <x:v>5</x:v>
      </x:c>
      <x:c r="O470" s="16" t="n">
        <x:v>5</x:v>
      </x:c>
      <x:c r="P470" s="16" t="n">
        <x:f>IF(COUNT(I470:O470)&lt;7,"",I470*8+J470*3+K470*2+L470*2+M470*2+N470*2+O470)</x:f>
        <x:v>92</x:v>
      </x:c>
      <x:c r="Q470" s="16" t="n">
        <x:f>IF(COUNT(J470:O470)&lt;6,"",J470*5+K470*4+M470*4+L470*3+N470*2+O470*2)</x:f>
        <x:v>88</x:v>
      </x:c>
      <x:c r="R470" s="14" t="str">
        <x:v>high</x:v>
      </x:c>
      <x:c r="S470" s="14" t="str">
        <x:v>official_prozorro_award_2025_2026</x:v>
      </x:c>
      <x:c r="T470" s="14" t="str">
        <x:v>official_prozorro_api</x:v>
      </x:c>
      <x:c r="U470" s="14" t="str">
        <x:v>Не контактували</x:v>
      </x:c>
      <x:c r="V470" s="15" t="str">
        <x:v>Персоналізований free-pilot outreach по UA-2026-08-12-008165-a; попросити 1 пакет Н.14/Н.15</x:v>
      </x:c>
      <x:c r="W470" s="15" t="str">
        <x:v>Власник / директор; керівник ПТО; відповідальний за договори</x:v>
      </x:c>
      <x:c r="X470" s="15" t="str">
        <x:v>1 підтверджених перемог/договорів у Prozorro на 64 360 грн; 1 проєктів зі строком виконання не раніше 24.08.2026.</x:v>
      </x:c>
      <x:c r="Y470" s="15" t="str">
        <x:v>Електромонтажні роботи; строк до 2026-12-31. Попросити один знеособлений пакет здачі за цим workflow.</x:v>
      </x:c>
      <x:c r="Z470" s="15" t="str">
        <x:v>https://prozorro.gov.ua/tender/UA-2026-08-12-008165-a</x:v>
      </x:c>
      <x:c r="AA470" s="14" t="str">
        <x:v>34252343</x:v>
      </x:c>
      <x:c r="AB470" s="14" t="str">
        <x:v>2026-08-24</x:v>
      </x:c>
      <x:c r="AC470" s="14" t="str"/>
      <x:c r="AD470" s="20" t="str"/>
      <x:c r="AE470" s="14" t="str"/>
      <x:c r="AF470" s="14" t="n">
        <x:v>52</x:v>
      </x:c>
      <x:c r="AG470" s="14" t="str">
        <x:v>I3</x:v>
      </x:c>
      <x:c r="AH470" s="14" t="n">
        <x:v>1</x:v>
      </x:c>
      <x:c r="AI470" s="14" t="n">
        <x:v>1</x:v>
      </x:c>
      <x:c r="AJ470" s="18" t="n">
        <x:v>64360</x:v>
      </x:c>
      <x:c r="AK470" s="14" t="str">
        <x:v>https://prozorro.gov.ua/tender/UA-2026-08-12-008165-a</x:v>
      </x:c>
      <x:c r="AL470" s="19" t="n">
        <x:v>46246.499455798614</x:v>
      </x:c>
      <x:c r="AM470" s="19" t="n">
        <x:v>46387.543599537035</x:v>
      </x:c>
      <x:c r="AN470" s="15" t="str">
        <x:v>Електромонтаж</x:v>
      </x:c>
      <x:c r="AO470" s="15" t="str">
        <x:v>not_found_in_top_search</x:v>
      </x:c>
    </x:row>
    <x:row r="471">
      <x:c r="A471" s="14" t="str">
        <x:v>W3-199</x:v>
      </x:c>
      <x:c r="B471" s="14" t="str">
        <x:v>Prozorro winners — 24.08</x:v>
      </x:c>
      <x:c r="C471" s="14" t="str">
        <x:v>ТОВ "АМіЛа"</x:v>
      </x:c>
      <x:c r="D471" s="14" t="str">
        <x:v>Газопостачання / котельні</x:v>
      </x:c>
      <x:c r="E471" s="14" t="str">
        <x:v>Expansion discovery</x:v>
      </x:c>
      <x:c r="F471" s="17" t="str">
        <x:f>IF(E471="Pilot now",IF(P471&gt;=84,"P1",IF(P471&gt;=72,"P2","P3")),IF(E471="Expansion discovery",IF(Q471&gt;=88,"D1",IF(Q471&gt;=78,"D2","D3")),IF(E471="Later / requirements","L","Legacy")))</x:f>
        <x:v>D2</x:v>
      </x:c>
      <x:c r="G471" s="14" t="str"/>
      <x:c r="H471" s="14" t="str">
        <x:v>Discovery розширення — 2 тижні</x:v>
      </x:c>
      <x:c r="I471" s="16" t="n">
        <x:v>1</x:v>
      </x:c>
      <x:c r="J471" s="16" t="n">
        <x:v>5</x:v>
      </x:c>
      <x:c r="K471" s="16" t="n">
        <x:v>4</x:v>
      </x:c>
      <x:c r="L471" s="16" t="n">
        <x:v>1</x:v>
      </x:c>
      <x:c r="M471" s="16" t="n">
        <x:v>5</x:v>
      </x:c>
      <x:c r="N471" s="16" t="n">
        <x:v>5</x:v>
      </x:c>
      <x:c r="O471" s="16" t="n">
        <x:v>5</x:v>
      </x:c>
      <x:c r="P471" s="16" t="n">
        <x:f>IF(COUNT(I471:O471)&lt;7,"",I471*8+J471*3+K471*2+L471*2+M471*2+N471*2+O471)</x:f>
        <x:v>58</x:v>
      </x:c>
      <x:c r="Q471" s="16" t="n">
        <x:f>IF(COUNT(J471:O471)&lt;6,"",J471*5+K471*4+M471*4+L471*3+N471*2+O471*2)</x:f>
        <x:v>84</x:v>
      </x:c>
      <x:c r="R471" s="14" t="str">
        <x:v>high</x:v>
      </x:c>
      <x:c r="S471" s="14" t="str">
        <x:v>official_prozorro_award_2025_2026</x:v>
      </x:c>
      <x:c r="T471" s="14" t="str">
        <x:v>official_prozorro_api</x:v>
      </x:c>
      <x:c r="U471" s="14" t="str">
        <x:v>Не контактували</x:v>
      </x:c>
      <x:c r="V471" s="15" t="str">
        <x:v>Workflow-audit outreach по UA-2026-08-20-000929-a; попросити 1 пакет здачі та вимоги проєкту</x:v>
      </x:c>
      <x:c r="W471" s="15" t="str">
        <x:v>Власник / директор; керівник ПТО; відповідальний за договори</x:v>
      </x:c>
      <x:c r="X471" s="15" t="str">
        <x:v>1 підтверджених перемог/договорів у Prozorro на 63 270 грн; 1 проєктів зі строком виконання не раніше 24.08.2026.</x:v>
      </x:c>
      <x:c r="Y471" s="15" t="str">
        <x:v>ДК 021:2015:50720000-8 Послуги з ремонту і технічного обслуговування систем центрального опалення ( Послуги з демонтажу та монтажу димової труби котельні дитячо-юнацької спортивної школи Турійської селищної ради Ковельського району Волинської області); строк до 2026-12-31. Попросити один знеособлений пакет здачі за цим workflow.</x:v>
      </x:c>
      <x:c r="Z471" s="15" t="str">
        <x:v>https://prozorro.gov.ua/tender/UA-2026-08-20-000929-a</x:v>
      </x:c>
      <x:c r="AA471" s="14" t="str">
        <x:v>25090493</x:v>
      </x:c>
      <x:c r="AB471" s="14" t="str">
        <x:v>2026-08-24</x:v>
      </x:c>
      <x:c r="AC471" s="14" t="str"/>
      <x:c r="AD471" s="20" t="str"/>
      <x:c r="AE471" s="14" t="str"/>
      <x:c r="AF471" s="14" t="n">
        <x:v>52</x:v>
      </x:c>
      <x:c r="AG471" s="14" t="str">
        <x:v>I3</x:v>
      </x:c>
      <x:c r="AH471" s="14" t="n">
        <x:v>1</x:v>
      </x:c>
      <x:c r="AI471" s="14" t="n">
        <x:v>1</x:v>
      </x:c>
      <x:c r="AJ471" s="18" t="n">
        <x:v>63270</x:v>
      </x:c>
      <x:c r="AK471" s="14" t="str">
        <x:v>https://prozorro.gov.ua/tender/UA-2026-08-20-000929-a</x:v>
      </x:c>
      <x:c r="AL471" s="19" t="n">
        <x:v>46254.269428611115</x:v>
      </x:c>
      <x:c r="AM471" s="19" t="n">
        <x:v>46387</x:v>
      </x:c>
      <x:c r="AN471" s="15" t="str">
        <x:v>Газопостачання / котельні</x:v>
      </x:c>
      <x:c r="AO471" s="15" t="str">
        <x:v>not_found_in_top_search</x:v>
      </x:c>
    </x:row>
    <x:row r="472">
      <x:c r="A472" s="14" t="str">
        <x:v>W3-200</x:v>
      </x:c>
      <x:c r="B472" s="14" t="str">
        <x:v>Prozorro winners — 24.08</x:v>
      </x:c>
      <x:c r="C472" s="14" t="str">
        <x:v>ТОВАРИСТВО З ОБМЕЖЕНОЮ ВІДПОВІДАЛЬНІСТЮ "ОХОРОННИЙ ХОЛДІНГ- СЛАВУТИЧ"</x:v>
      </x:c>
      <x:c r="D472" s="14" t="str">
        <x:v>Пожежогасіння</x:v>
      </x:c>
      <x:c r="E472" s="14" t="str">
        <x:v>Expansion discovery</x:v>
      </x:c>
      <x:c r="F472" s="17" t="str">
        <x:f>IF(E472="Pilot now",IF(P472&gt;=84,"P1",IF(P472&gt;=72,"P2","P3")),IF(E472="Expansion discovery",IF(Q472&gt;=88,"D1",IF(Q472&gt;=78,"D2","D3")),IF(E472="Later / requirements","L","Legacy")))</x:f>
        <x:v>D2</x:v>
      </x:c>
      <x:c r="G472" s="14" t="str"/>
      <x:c r="H472" s="14" t="str">
        <x:v>Discovery розширення — 2 тижні</x:v>
      </x:c>
      <x:c r="I472" s="16" t="n">
        <x:v>1</x:v>
      </x:c>
      <x:c r="J472" s="16" t="n">
        <x:v>5</x:v>
      </x:c>
      <x:c r="K472" s="16" t="n">
        <x:v>4</x:v>
      </x:c>
      <x:c r="L472" s="16" t="n">
        <x:v>1</x:v>
      </x:c>
      <x:c r="M472" s="16" t="n">
        <x:v>5</x:v>
      </x:c>
      <x:c r="N472" s="16" t="n">
        <x:v>5</x:v>
      </x:c>
      <x:c r="O472" s="16" t="n">
        <x:v>5</x:v>
      </x:c>
      <x:c r="P472" s="16" t="n">
        <x:f>IF(COUNT(I472:O472)&lt;7,"",I472*8+J472*3+K472*2+L472*2+M472*2+N472*2+O472)</x:f>
        <x:v>58</x:v>
      </x:c>
      <x:c r="Q472" s="16" t="n">
        <x:f>IF(COUNT(J472:O472)&lt;6,"",J472*5+K472*4+M472*4+L472*3+N472*2+O472*2)</x:f>
        <x:v>84</x:v>
      </x:c>
      <x:c r="R472" s="14" t="str">
        <x:v>high</x:v>
      </x:c>
      <x:c r="S472" s="14" t="str">
        <x:v>official_prozorro_award_2025_2026</x:v>
      </x:c>
      <x:c r="T472" s="14" t="str">
        <x:v>official_prozorro_api</x:v>
      </x:c>
      <x:c r="U472" s="14" t="str">
        <x:v>Не контактували</x:v>
      </x:c>
      <x:c r="V472" s="15" t="str">
        <x:v>Workflow-audit outreach по UA-2026-07-16-009632-a; попросити 1 пакет здачі та вимоги проєкту</x:v>
      </x:c>
      <x:c r="W472" s="15" t="str">
        <x:v>Власник / директор; керівник ПТО; відповідальний за договори</x:v>
      </x:c>
      <x:c r="X472" s="15" t="str">
        <x:v>1 підтверджених перемог/договорів у Prozorro на 61 771 грн; 1 проєктів зі строком виконання не раніше 24.08.2026.</x:v>
      </x:c>
      <x:c r="Y472" s="15" t="str">
        <x:v>Послуги з монтажу, установки пожежної сигналізації, з проектуванням та пусконалагодженням, на об’єкті Замовника за адресою: Дніпропетровська обл., м. Павлоград, вул. Соборна, буд. 54, прим. 101 (45312100-8 - Встановлення систем пожежної сигналізації); строк до 2026-12-31. Попросити один знеособлений пакет здачі за цим workflow.</x:v>
      </x:c>
      <x:c r="Z472" s="15" t="str">
        <x:v>https://prozorro.gov.ua/tender/UA-2026-07-16-009632-a</x:v>
      </x:c>
      <x:c r="AA472" s="14" t="str">
        <x:v>43317264</x:v>
      </x:c>
      <x:c r="AB472" s="14" t="str">
        <x:v>2026-08-24</x:v>
      </x:c>
      <x:c r="AC472" s="14" t="str"/>
      <x:c r="AD472" s="20" t="str"/>
      <x:c r="AE472" s="14" t="str"/>
      <x:c r="AF472" s="14" t="n">
        <x:v>52</x:v>
      </x:c>
      <x:c r="AG472" s="14" t="str">
        <x:v>I3</x:v>
      </x:c>
      <x:c r="AH472" s="14" t="n">
        <x:v>1</x:v>
      </x:c>
      <x:c r="AI472" s="14" t="n">
        <x:v>1</x:v>
      </x:c>
      <x:c r="AJ472" s="18" t="n">
        <x:v>61771.38</x:v>
      </x:c>
      <x:c r="AK472" s="14" t="str">
        <x:v>https://prozorro.gov.ua/tender/UA-2026-07-16-009632-a</x:v>
      </x:c>
      <x:c r="AL472" s="19" t="n">
        <x:v>46219.57483662037</x:v>
      </x:c>
      <x:c r="AM472" s="19" t="n">
        <x:v>46387</x:v>
      </x:c>
      <x:c r="AN472" s="15" t="str">
        <x:v>Пожежогасіння</x:v>
      </x:c>
      <x:c r="AO472" s="15" t="str">
        <x:v>not_found_in_top_search</x:v>
      </x:c>
    </x:row>
    <x:row r="473">
      <x:c r="A473" s="14" t="str">
        <x:v>W3-201</x:v>
      </x:c>
      <x:c r="B473" s="14" t="str">
        <x:v>Prozorro winners — 24.08</x:v>
      </x:c>
      <x:c r="C473" s="14" t="str">
        <x:v>Управління поліції охорони у Закарпатській області</x:v>
      </x:c>
      <x:c r="D473" s="14" t="str">
        <x:v>Пожежогасіння</x:v>
      </x:c>
      <x:c r="E473" s="14" t="str">
        <x:v>Expansion discovery</x:v>
      </x:c>
      <x:c r="F473" s="17" t="str">
        <x:f>IF(E473="Pilot now",IF(P473&gt;=84,"P1",IF(P473&gt;=72,"P2","P3")),IF(E473="Expansion discovery",IF(Q473&gt;=88,"D1",IF(Q473&gt;=78,"D2","D3")),IF(E473="Later / requirements","L","Legacy")))</x:f>
        <x:v>D2</x:v>
      </x:c>
      <x:c r="G473" s="14" t="str"/>
      <x:c r="H473" s="14" t="str">
        <x:v>Discovery розширення — 2 тижні</x:v>
      </x:c>
      <x:c r="I473" s="16" t="n">
        <x:v>1</x:v>
      </x:c>
      <x:c r="J473" s="16" t="n">
        <x:v>5</x:v>
      </x:c>
      <x:c r="K473" s="16" t="n">
        <x:v>4</x:v>
      </x:c>
      <x:c r="L473" s="16" t="n">
        <x:v>1</x:v>
      </x:c>
      <x:c r="M473" s="16" t="n">
        <x:v>5</x:v>
      </x:c>
      <x:c r="N473" s="16" t="n">
        <x:v>5</x:v>
      </x:c>
      <x:c r="O473" s="16" t="n">
        <x:v>5</x:v>
      </x:c>
      <x:c r="P473" s="16" t="n">
        <x:f>IF(COUNT(I473:O473)&lt;7,"",I473*8+J473*3+K473*2+L473*2+M473*2+N473*2+O473)</x:f>
        <x:v>58</x:v>
      </x:c>
      <x:c r="Q473" s="16" t="n">
        <x:f>IF(COUNT(J473:O473)&lt;6,"",J473*5+K473*4+M473*4+L473*3+N473*2+O473*2)</x:f>
        <x:v>84</x:v>
      </x:c>
      <x:c r="R473" s="14" t="str">
        <x:v>high</x:v>
      </x:c>
      <x:c r="S473" s="14" t="str">
        <x:v>official_prozorro_award_2025_2026</x:v>
      </x:c>
      <x:c r="T473" s="14" t="str">
        <x:v>official_prozorro_api</x:v>
      </x:c>
      <x:c r="U473" s="14" t="str">
        <x:v>Не контактували</x:v>
      </x:c>
      <x:c r="V473" s="15" t="str">
        <x:v>Workflow-audit outreach по UA-2026-07-17-002821-a; попросити 1 пакет здачі та вимоги проєкту</x:v>
      </x:c>
      <x:c r="W473" s="15" t="str">
        <x:v>Власник / директор; керівник ПТО; відповідальний за договори</x:v>
      </x:c>
      <x:c r="X473" s="15" t="str">
        <x:v>1 підтверджених перемог/договорів у Prozorro на 51 421 грн; 1 проєктів зі строком виконання не раніше 24.08.2026.</x:v>
      </x:c>
      <x:c r="Y473" s="15" t="str">
        <x:v>Монтаж, пусконалагоджування системи охоронної та пожежної сигналізації; строк до 2026-12-31. Попросити один знеособлений пакет здачі за цим workflow.</x:v>
      </x:c>
      <x:c r="Z473" s="15" t="str">
        <x:v>https://prozorro.gov.ua/tender/UA-2026-07-17-002821-a</x:v>
      </x:c>
      <x:c r="AA473" s="14" t="str">
        <x:v>40108997</x:v>
      </x:c>
      <x:c r="AB473" s="14" t="str">
        <x:v>2026-08-24</x:v>
      </x:c>
      <x:c r="AC473" s="14" t="str"/>
      <x:c r="AD473" s="20" t="str"/>
      <x:c r="AE473" s="14" t="str"/>
      <x:c r="AF473" s="14" t="n">
        <x:v>52</x:v>
      </x:c>
      <x:c r="AG473" s="14" t="str">
        <x:v>I3</x:v>
      </x:c>
      <x:c r="AH473" s="14" t="n">
        <x:v>1</x:v>
      </x:c>
      <x:c r="AI473" s="14" t="n">
        <x:v>1</x:v>
      </x:c>
      <x:c r="AJ473" s="18" t="n">
        <x:v>51420.62</x:v>
      </x:c>
      <x:c r="AK473" s="14" t="str">
        <x:v>https://prozorro.gov.ua/tender/UA-2026-07-17-002821-a</x:v>
      </x:c>
      <x:c r="AL473" s="19" t="n">
        <x:v>46220.33287883102</x:v>
      </x:c>
      <x:c r="AM473" s="19" t="n">
        <x:v>46387</x:v>
      </x:c>
      <x:c r="AN473" s="15" t="str">
        <x:v>Пожежогасіння</x:v>
      </x:c>
      <x:c r="AO473" s="15" t="str">
        <x:v>not_found_in_top_search</x:v>
      </x:c>
    </x:row>
    <x:row r="474">
      <x:c r="A474" s="14" t="str">
        <x:v>W3-202</x:v>
      </x:c>
      <x:c r="B474" s="14" t="str">
        <x:v>Prozorro winners — 24.08</x:v>
      </x:c>
      <x:c r="C474" s="14" t="str">
        <x:v>ПП "Формула-безпеки"</x:v>
      </x:c>
      <x:c r="D474" s="14" t="str">
        <x:v>Безпека / СКУД / CCTV</x:v>
      </x:c>
      <x:c r="E474" s="14" t="str">
        <x:v>Expansion discovery</x:v>
      </x:c>
      <x:c r="F474" s="17" t="str">
        <x:f>IF(E474="Pilot now",IF(P474&gt;=84,"P1",IF(P474&gt;=72,"P2","P3")),IF(E474="Expansion discovery",IF(Q474&gt;=88,"D1",IF(Q474&gt;=78,"D2","D3")),IF(E474="Later / requirements","L","Legacy")))</x:f>
        <x:v>D2</x:v>
      </x:c>
      <x:c r="G474" s="14" t="str"/>
      <x:c r="H474" s="14" t="str">
        <x:v>Discovery розширення — 2 тижні</x:v>
      </x:c>
      <x:c r="I474" s="16" t="n">
        <x:v>1</x:v>
      </x:c>
      <x:c r="J474" s="16" t="n">
        <x:v>5</x:v>
      </x:c>
      <x:c r="K474" s="16" t="n">
        <x:v>4</x:v>
      </x:c>
      <x:c r="L474" s="16" t="n">
        <x:v>1</x:v>
      </x:c>
      <x:c r="M474" s="16" t="n">
        <x:v>5</x:v>
      </x:c>
      <x:c r="N474" s="16" t="n">
        <x:v>5</x:v>
      </x:c>
      <x:c r="O474" s="16" t="n">
        <x:v>5</x:v>
      </x:c>
      <x:c r="P474" s="16" t="n">
        <x:f>IF(COUNT(I474:O474)&lt;7,"",I474*8+J474*3+K474*2+L474*2+M474*2+N474*2+O474)</x:f>
        <x:v>58</x:v>
      </x:c>
      <x:c r="Q474" s="16" t="n">
        <x:f>IF(COUNT(J474:O474)&lt;6,"",J474*5+K474*4+M474*4+L474*3+N474*2+O474*2)</x:f>
        <x:v>84</x:v>
      </x:c>
      <x:c r="R474" s="14" t="str">
        <x:v>high</x:v>
      </x:c>
      <x:c r="S474" s="14" t="str">
        <x:v>official_prozorro_award_2025_2026</x:v>
      </x:c>
      <x:c r="T474" s="14" t="str">
        <x:v>official_prozorro_api</x:v>
      </x:c>
      <x:c r="U474" s="14" t="str">
        <x:v>Не контактували</x:v>
      </x:c>
      <x:c r="V474" s="15" t="str">
        <x:v>Workflow-audit outreach по UA-2026-08-21-007420-a; попросити 1 пакет здачі та вимоги проєкту</x:v>
      </x:c>
      <x:c r="W474" s="15" t="str">
        <x:v>Власник / директор; керівник ПТО; відповідальний за договори</x:v>
      </x:c>
      <x:c r="X474" s="15" t="str">
        <x:v>1 підтверджених перемог/договорів у Prozorro на 50 050 грн; 1 проєктів зі строком виконання не раніше 24.08.2026.</x:v>
      </x:c>
      <x:c r="Y474" s="15" t="str">
        <x:v>Послуги з монтажу та налаштування системи відеоспостереження. код ДК 021:2015 51310000-8; строк до 2026-12-31. Попросити один знеособлений пакет здачі за цим workflow.</x:v>
      </x:c>
      <x:c r="Z474" s="15" t="str">
        <x:v>https://prozorro.gov.ua/tender/UA-2026-08-21-007420-a</x:v>
      </x:c>
      <x:c r="AA474" s="14" t="str">
        <x:v>38553461</x:v>
      </x:c>
      <x:c r="AB474" s="14" t="str">
        <x:v>2026-08-24</x:v>
      </x:c>
      <x:c r="AC474" s="14" t="str"/>
      <x:c r="AD474" s="20" t="str"/>
      <x:c r="AE474" s="14" t="str"/>
      <x:c r="AF474" s="14" t="n">
        <x:v>52</x:v>
      </x:c>
      <x:c r="AG474" s="14" t="str">
        <x:v>I3</x:v>
      </x:c>
      <x:c r="AH474" s="14" t="n">
        <x:v>1</x:v>
      </x:c>
      <x:c r="AI474" s="14" t="n">
        <x:v>1</x:v>
      </x:c>
      <x:c r="AJ474" s="18" t="n">
        <x:v>50050</x:v>
      </x:c>
      <x:c r="AK474" s="14" t="str">
        <x:v>https://prozorro.gov.ua/tender/UA-2026-08-21-007420-a</x:v>
      </x:c>
      <x:c r="AL474" s="19" t="n">
        <x:v>46255.44458350694</x:v>
      </x:c>
      <x:c r="AM474" s="19" t="n">
        <x:v>46387</x:v>
      </x:c>
      <x:c r="AN474" s="15" t="str">
        <x:v>Безпека / СКУД / CCTV</x:v>
      </x:c>
      <x:c r="AO474" s="15" t="str">
        <x:v>not_found_in_top_search</x:v>
      </x:c>
    </x:row>
    <x:row r="475">
      <x:c r="A475" s="14" t="str">
        <x:v>W3-203</x:v>
      </x:c>
      <x:c r="B475" s="14" t="str">
        <x:v>Prozorro winners — 24.08</x:v>
      </x:c>
      <x:c r="C475" s="14" t="str">
        <x:v>ПП"Енергоресурс"</x:v>
      </x:c>
      <x:c r="D475" s="14" t="str">
        <x:v>Електромонтаж</x:v>
      </x:c>
      <x:c r="E475" s="14" t="str">
        <x:v>Pilot now</x:v>
      </x:c>
      <x:c r="F475" s="17" t="str">
        <x:f>IF(E475="Pilot now",IF(P475&gt;=84,"P1",IF(P475&gt;=72,"P2","P3")),IF(E475="Expansion discovery",IF(Q475&gt;=88,"D1",IF(Q475&gt;=78,"D2","D3")),IF(E475="Later / requirements","L","Legacy")))</x:f>
        <x:v>P1</x:v>
      </x:c>
      <x:c r="G475" s="14" t="str"/>
      <x:c r="H475" s="14" t="str">
        <x:v>Пілот зараз — Н.15</x:v>
      </x:c>
      <x:c r="I475" s="16" t="n">
        <x:v>5</x:v>
      </x:c>
      <x:c r="J475" s="16" t="n">
        <x:v>5</x:v>
      </x:c>
      <x:c r="K475" s="16" t="n">
        <x:v>5</x:v>
      </x:c>
      <x:c r="L475" s="16" t="n">
        <x:v>1</x:v>
      </x:c>
      <x:c r="M475" s="16" t="n">
        <x:v>5</x:v>
      </x:c>
      <x:c r="N475" s="16" t="n">
        <x:v>5</x:v>
      </x:c>
      <x:c r="O475" s="16" t="n">
        <x:v>5</x:v>
      </x:c>
      <x:c r="P475" s="16" t="n">
        <x:f>IF(COUNT(I475:O475)&lt;7,"",I475*8+J475*3+K475*2+L475*2+M475*2+N475*2+O475)</x:f>
        <x:v>92</x:v>
      </x:c>
      <x:c r="Q475" s="16" t="n">
        <x:f>IF(COUNT(J475:O475)&lt;6,"",J475*5+K475*4+M475*4+L475*3+N475*2+O475*2)</x:f>
        <x:v>88</x:v>
      </x:c>
      <x:c r="R475" s="14" t="str">
        <x:v>high</x:v>
      </x:c>
      <x:c r="S475" s="14" t="str">
        <x:v>official_prozorro_award_2025_2026</x:v>
      </x:c>
      <x:c r="T475" s="14" t="str">
        <x:v>official_prozorro_api</x:v>
      </x:c>
      <x:c r="U475" s="14" t="str">
        <x:v>Не контактували</x:v>
      </x:c>
      <x:c r="V475" s="15" t="str">
        <x:v>Персоналізований free-pilot outreach по UA-2026-08-13-000311-a; попросити 1 пакет Н.14/Н.15</x:v>
      </x:c>
      <x:c r="W475" s="15" t="str">
        <x:v>Власник / директор; керівник ПТО; відповідальний за договори</x:v>
      </x:c>
      <x:c r="X475" s="15" t="str">
        <x:v>1 підтверджених перемог/договорів у Prozorro на 43 526 грн; 1 проєктів зі строком виконання не раніше 24.08.2026.</x:v>
      </x:c>
      <x:c r="Y475" s="15" t="str">
        <x:v>Послуги з поточного ремонту-виготовлення і монтаж контура заземлення, виконання електромонтажних робіт по під'єднанню електроплити, бойлера, холодильника до нової змонтованої електромережі, лабораторні електровимірювальні і випробувальні роботи, перевірка стану нового змонтованого електрообладнання; строк до 2026-08-31. Попросити один знеособлений пакет здачі за цим workflow.</x:v>
      </x:c>
      <x:c r="Z475" s="15" t="str">
        <x:v>https://prozorro.gov.ua/tender/UA-2026-08-13-000311-a</x:v>
      </x:c>
      <x:c r="AA475" s="14" t="str">
        <x:v>32393416</x:v>
      </x:c>
      <x:c r="AB475" s="14" t="str">
        <x:v>2026-08-24</x:v>
      </x:c>
      <x:c r="AC475" s="14" t="str"/>
      <x:c r="AD475" s="20" t="str"/>
      <x:c r="AE475" s="14" t="str"/>
      <x:c r="AF475" s="14" t="n">
        <x:v>52</x:v>
      </x:c>
      <x:c r="AG475" s="14" t="str">
        <x:v>I3</x:v>
      </x:c>
      <x:c r="AH475" s="14" t="n">
        <x:v>1</x:v>
      </x:c>
      <x:c r="AI475" s="14" t="n">
        <x:v>1</x:v>
      </x:c>
      <x:c r="AJ475" s="18" t="n">
        <x:v>43526.4</x:v>
      </x:c>
      <x:c r="AK475" s="14" t="str">
        <x:v>https://prozorro.gov.ua/tender/UA-2026-08-13-000311-a</x:v>
      </x:c>
      <x:c r="AL475" s="19" t="n">
        <x:v>46247.231268020834</x:v>
      </x:c>
      <x:c r="AM475" s="19" t="n">
        <x:v>46265.2325462963</x:v>
      </x:c>
      <x:c r="AN475" s="15" t="str">
        <x:v>Електромонтаж</x:v>
      </x:c>
      <x:c r="AO475" s="15" t="str">
        <x:v>not_found_in_top_search</x:v>
      </x:c>
    </x:row>
    <x:row r="476">
      <x:c r="A476" s="14" t="str">
        <x:v>W3-204</x:v>
      </x:c>
      <x:c r="B476" s="14" t="str">
        <x:v>Prozorro winners — 24.08</x:v>
      </x:c>
      <x:c r="C476" s="14" t="str">
        <x:v>ПРИВАТНЕ ПІДПРИЄМСТВО "ГРАНТ"</x:v>
      </x:c>
      <x:c r="D476" s="14" t="str">
        <x:v>Безпека / СКУД / CCTV</x:v>
      </x:c>
      <x:c r="E476" s="14" t="str">
        <x:v>Expansion discovery</x:v>
      </x:c>
      <x:c r="F476" s="17" t="str">
        <x:f>IF(E476="Pilot now",IF(P476&gt;=84,"P1",IF(P476&gt;=72,"P2","P3")),IF(E476="Expansion discovery",IF(Q476&gt;=88,"D1",IF(Q476&gt;=78,"D2","D3")),IF(E476="Later / requirements","L","Legacy")))</x:f>
        <x:v>D2</x:v>
      </x:c>
      <x:c r="G476" s="14" t="str"/>
      <x:c r="H476" s="14" t="str">
        <x:v>Discovery розширення — 2 тижні</x:v>
      </x:c>
      <x:c r="I476" s="16" t="n">
        <x:v>1</x:v>
      </x:c>
      <x:c r="J476" s="16" t="n">
        <x:v>5</x:v>
      </x:c>
      <x:c r="K476" s="16" t="n">
        <x:v>4</x:v>
      </x:c>
      <x:c r="L476" s="16" t="n">
        <x:v>1</x:v>
      </x:c>
      <x:c r="M476" s="16" t="n">
        <x:v>5</x:v>
      </x:c>
      <x:c r="N476" s="16" t="n">
        <x:v>5</x:v>
      </x:c>
      <x:c r="O476" s="16" t="n">
        <x:v>5</x:v>
      </x:c>
      <x:c r="P476" s="16" t="n">
        <x:f>IF(COUNT(I476:O476)&lt;7,"",I476*8+J476*3+K476*2+L476*2+M476*2+N476*2+O476)</x:f>
        <x:v>58</x:v>
      </x:c>
      <x:c r="Q476" s="16" t="n">
        <x:f>IF(COUNT(J476:O476)&lt;6,"",J476*5+K476*4+M476*4+L476*3+N476*2+O476*2)</x:f>
        <x:v>84</x:v>
      </x:c>
      <x:c r="R476" s="14" t="str">
        <x:v>high</x:v>
      </x:c>
      <x:c r="S476" s="14" t="str">
        <x:v>official_prozorro_award_2025_2026</x:v>
      </x:c>
      <x:c r="T476" s="14" t="str">
        <x:v>official_prozorro_api</x:v>
      </x:c>
      <x:c r="U476" s="14" t="str">
        <x:v>Не контактували</x:v>
      </x:c>
      <x:c r="V476" s="15" t="str">
        <x:v>Workflow-audit outreach по UA-2026-08-19-003036-a; попросити 1 пакет здачі та вимоги проєкту</x:v>
      </x:c>
      <x:c r="W476" s="15" t="str">
        <x:v>Власник / директор; керівник ПТО; відповідальний за договори</x:v>
      </x:c>
      <x:c r="X476" s="15" t="str">
        <x:v>1 підтверджених перемог/договорів у Prozorro на 41 364 грн; 1 проєктів зі строком виконання не раніше 24.08.2026.</x:v>
      </x:c>
      <x:c r="Y476" s="15" t="str">
        <x:v>Монтаж та встановлення системи відеоспостереження; строк до 2026-08-24. Попросити один знеособлений пакет здачі за цим workflow.</x:v>
      </x:c>
      <x:c r="Z476" s="15" t="str">
        <x:v>https://prozorro.gov.ua/tender/UA-2026-08-19-003036-a</x:v>
      </x:c>
      <x:c r="AA476" s="14" t="str">
        <x:v>31854396</x:v>
      </x:c>
      <x:c r="AB476" s="14" t="str">
        <x:v>2026-08-24</x:v>
      </x:c>
      <x:c r="AC476" s="14" t="str"/>
      <x:c r="AD476" s="20" t="str"/>
      <x:c r="AE476" s="14" t="str"/>
      <x:c r="AF476" s="14" t="n">
        <x:v>52</x:v>
      </x:c>
      <x:c r="AG476" s="14" t="str">
        <x:v>I3</x:v>
      </x:c>
      <x:c r="AH476" s="14" t="n">
        <x:v>1</x:v>
      </x:c>
      <x:c r="AI476" s="14" t="n">
        <x:v>1</x:v>
      </x:c>
      <x:c r="AJ476" s="18" t="n">
        <x:v>41364</x:v>
      </x:c>
      <x:c r="AK476" s="14" t="str">
        <x:v>https://prozorro.gov.ua/tender/UA-2026-08-19-003036-a</x:v>
      </x:c>
      <x:c r="AL476" s="19" t="n">
        <x:v>46253.333494467595</x:v>
      </x:c>
      <x:c r="AM476" s="19" t="n">
        <x:v>46258</x:v>
      </x:c>
      <x:c r="AN476" s="15" t="str">
        <x:v>Безпека / СКУД / CCTV</x:v>
      </x:c>
      <x:c r="AO476" s="15" t="str">
        <x:v>not_found_in_top_search</x:v>
      </x:c>
    </x:row>
    <x:row r="477">
      <x:c r="A477" s="14" t="str">
        <x:v>W3-205</x:v>
      </x:c>
      <x:c r="B477" s="14" t="str">
        <x:v>Prozorro winners — 24.08</x:v>
      </x:c>
      <x:c r="C477" s="14" t="str">
        <x:v>ТОВАРИСТВО З ОБМЕЖЕНОЮ ВІДПОВІДАЛЬНІСТЮ "ПРОФВІДЕОСЕРВІС 1"</x:v>
      </x:c>
      <x:c r="D477" s="14" t="str">
        <x:v>Безпека / СКУД / CCTV</x:v>
      </x:c>
      <x:c r="E477" s="14" t="str">
        <x:v>Expansion discovery</x:v>
      </x:c>
      <x:c r="F477" s="17" t="str">
        <x:f>IF(E477="Pilot now",IF(P477&gt;=84,"P1",IF(P477&gt;=72,"P2","P3")),IF(E477="Expansion discovery",IF(Q477&gt;=88,"D1",IF(Q477&gt;=78,"D2","D3")),IF(E477="Later / requirements","L","Legacy")))</x:f>
        <x:v>D2</x:v>
      </x:c>
      <x:c r="G477" s="14" t="str"/>
      <x:c r="H477" s="14" t="str">
        <x:v>Discovery розширення — 2 тижні</x:v>
      </x:c>
      <x:c r="I477" s="16" t="n">
        <x:v>1</x:v>
      </x:c>
      <x:c r="J477" s="16" t="n">
        <x:v>5</x:v>
      </x:c>
      <x:c r="K477" s="16" t="n">
        <x:v>4</x:v>
      </x:c>
      <x:c r="L477" s="16" t="n">
        <x:v>1</x:v>
      </x:c>
      <x:c r="M477" s="16" t="n">
        <x:v>5</x:v>
      </x:c>
      <x:c r="N477" s="16" t="n">
        <x:v>5</x:v>
      </x:c>
      <x:c r="O477" s="16" t="n">
        <x:v>5</x:v>
      </x:c>
      <x:c r="P477" s="16" t="n">
        <x:f>IF(COUNT(I477:O477)&lt;7,"",I477*8+J477*3+K477*2+L477*2+M477*2+N477*2+O477)</x:f>
        <x:v>58</x:v>
      </x:c>
      <x:c r="Q477" s="16" t="n">
        <x:f>IF(COUNT(J477:O477)&lt;6,"",J477*5+K477*4+M477*4+L477*3+N477*2+O477*2)</x:f>
        <x:v>84</x:v>
      </x:c>
      <x:c r="R477" s="14" t="str">
        <x:v>high</x:v>
      </x:c>
      <x:c r="S477" s="14" t="str">
        <x:v>official_prozorro_award_2025_2026</x:v>
      </x:c>
      <x:c r="T477" s="14" t="str">
        <x:v>official_prozorro_api</x:v>
      </x:c>
      <x:c r="U477" s="14" t="str">
        <x:v>Не контактували</x:v>
      </x:c>
      <x:c r="V477" s="15" t="str">
        <x:v>Workflow-audit outreach по UA-2026-07-29-010611-a; попросити 1 пакет здачі та вимоги проєкту</x:v>
      </x:c>
      <x:c r="W477" s="15" t="str">
        <x:v>Власник / директор; керівник ПТО; відповідальний за договори</x:v>
      </x:c>
      <x:c r="X477" s="15" t="str">
        <x:v>1 підтверджених перемог/договорів у Prozorro на 40 200 грн; 1 проєктів зі строком виконання не раніше 24.08.2026.</x:v>
      </x:c>
      <x:c r="Y477" s="15" t="str">
        <x:v>Послуги з монтажу, налаштування та технічного обслуговування системи відеоспостереження; строк до 2026-12-31. Попросити один знеособлений пакет здачі за цим workflow.</x:v>
      </x:c>
      <x:c r="Z477" s="15" t="str">
        <x:v>https://prozorro.gov.ua/tender/UA-2026-07-29-010611-a</x:v>
      </x:c>
      <x:c r="AA477" s="14" t="str">
        <x:v>45991906</x:v>
      </x:c>
      <x:c r="AB477" s="14" t="str">
        <x:v>2026-08-24</x:v>
      </x:c>
      <x:c r="AC477" s="14" t="str"/>
      <x:c r="AD477" s="20" t="str"/>
      <x:c r="AE477" s="14" t="str"/>
      <x:c r="AF477" s="14" t="n">
        <x:v>52</x:v>
      </x:c>
      <x:c r="AG477" s="14" t="str">
        <x:v>I3</x:v>
      </x:c>
      <x:c r="AH477" s="14" t="n">
        <x:v>1</x:v>
      </x:c>
      <x:c r="AI477" s="14" t="n">
        <x:v>1</x:v>
      </x:c>
      <x:c r="AJ477" s="18" t="n">
        <x:v>40200</x:v>
      </x:c>
      <x:c r="AK477" s="14" t="str">
        <x:v>https://prozorro.gov.ua/tender/UA-2026-07-29-010611-a</x:v>
      </x:c>
      <x:c r="AL477" s="19" t="n">
        <x:v>46232.59387545139</x:v>
      </x:c>
      <x:c r="AM477" s="19" t="n">
        <x:v>46387</x:v>
      </x:c>
      <x:c r="AN477" s="15" t="str">
        <x:v>Безпека / СКУД / CCTV</x:v>
      </x:c>
      <x:c r="AO477" s="15" t="str">
        <x:v>not_found_in_top_search</x:v>
      </x:c>
    </x:row>
    <x:row r="478">
      <x:c r="A478" s="14" t="str">
        <x:v>W3-206</x:v>
      </x:c>
      <x:c r="B478" s="14" t="str">
        <x:v>Prozorro winners — 24.08</x:v>
      </x:c>
      <x:c r="C478" s="14" t="str">
        <x:v>ЖИТОМИРСЬКЕ КОЛЕКТИВНЕ ПІДПРИЄМСТВО ПО ПРОЕКТУВАННЮ ЦИВІЛЬНОГО І ПРОМИСЛОВОГО БУДІВНИЦТВА "ЖИТОМИРПРОЕКТ"</x:v>
      </x:c>
      <x:c r="D478" s="14" t="str">
        <x:v>Теплові мережі</x:v>
      </x:c>
      <x:c r="E478" s="14" t="str">
        <x:v>Expansion discovery</x:v>
      </x:c>
      <x:c r="F478" s="17" t="str">
        <x:f>IF(E478="Pilot now",IF(P478&gt;=84,"P1",IF(P478&gt;=72,"P2","P3")),IF(E478="Expansion discovery",IF(Q478&gt;=88,"D1",IF(Q478&gt;=78,"D2","D3")),IF(E478="Later / requirements","L","Legacy")))</x:f>
        <x:v>D2</x:v>
      </x:c>
      <x:c r="G478" s="14" t="str"/>
      <x:c r="H478" s="14" t="str">
        <x:v>Discovery розширення — 2 тижні</x:v>
      </x:c>
      <x:c r="I478" s="16" t="n">
        <x:v>1</x:v>
      </x:c>
      <x:c r="J478" s="16" t="n">
        <x:v>5</x:v>
      </x:c>
      <x:c r="K478" s="16" t="n">
        <x:v>4</x:v>
      </x:c>
      <x:c r="L478" s="16" t="n">
        <x:v>1</x:v>
      </x:c>
      <x:c r="M478" s="16" t="n">
        <x:v>5</x:v>
      </x:c>
      <x:c r="N478" s="16" t="n">
        <x:v>5</x:v>
      </x:c>
      <x:c r="O478" s="16" t="n">
        <x:v>5</x:v>
      </x:c>
      <x:c r="P478" s="16" t="n">
        <x:f>IF(COUNT(I478:O478)&lt;7,"",I478*8+J478*3+K478*2+L478*2+M478*2+N478*2+O478)</x:f>
        <x:v>58</x:v>
      </x:c>
      <x:c r="Q478" s="16" t="n">
        <x:f>IF(COUNT(J478:O478)&lt;6,"",J478*5+K478*4+M478*4+L478*3+N478*2+O478*2)</x:f>
        <x:v>84</x:v>
      </x:c>
      <x:c r="R478" s="14" t="str">
        <x:v>high</x:v>
      </x:c>
      <x:c r="S478" s="14" t="str">
        <x:v>official_prozorro_award_2025_2026</x:v>
      </x:c>
      <x:c r="T478" s="14" t="str">
        <x:v>official_prozorro_api</x:v>
      </x:c>
      <x:c r="U478" s="14" t="str">
        <x:v>Не контактували</x:v>
      </x:c>
      <x:c r="V478" s="15" t="str">
        <x:v>Workflow-audit outreach по UA-2026-08-20-004861-a; попросити 1 пакет здачі та вимоги проєкту</x:v>
      </x:c>
      <x:c r="W478" s="15" t="str">
        <x:v>Власник / директор; керівник ПТО; відповідальний за договори</x:v>
      </x:c>
      <x:c r="X478" s="15" t="str">
        <x:v>1 підтверджених перемог/договорів у Prozorro на 35 566 грн; 1 проєктів зі строком виконання не раніше 24.08.2026.</x:v>
      </x:c>
      <x:c r="Y478" s="15" t="str">
        <x:v>Авторський нагляд по об'єкту: "Реконструкція теплової мережі котельні РК-5 від т. 462 до ТК-20 за адресою вул. Чуднівська, 101 в м. Житомирі "(Коригування); строк до 2026-12-31. Попросити один знеособлений пакет здачі за цим workflow.</x:v>
      </x:c>
      <x:c r="Z478" s="15" t="str">
        <x:v>https://prozorro.gov.ua/tender/UA-2026-08-20-004861-a</x:v>
      </x:c>
      <x:c r="AA478" s="14" t="str">
        <x:v>02498103</x:v>
      </x:c>
      <x:c r="AB478" s="14" t="str">
        <x:v>2026-08-24</x:v>
      </x:c>
      <x:c r="AC478" s="14" t="str"/>
      <x:c r="AD478" s="20" t="str"/>
      <x:c r="AE478" s="14" t="str"/>
      <x:c r="AF478" s="14" t="n">
        <x:v>52</x:v>
      </x:c>
      <x:c r="AG478" s="14" t="str">
        <x:v>I3</x:v>
      </x:c>
      <x:c r="AH478" s="14" t="n">
        <x:v>1</x:v>
      </x:c>
      <x:c r="AI478" s="14" t="n">
        <x:v>1</x:v>
      </x:c>
      <x:c r="AJ478" s="18" t="n">
        <x:v>35565.6</x:v>
      </x:c>
      <x:c r="AK478" s="14" t="str">
        <x:v>https://prozorro.gov.ua/tender/UA-2026-08-20-004861-a</x:v>
      </x:c>
      <x:c r="AL478" s="19" t="n">
        <x:v>46254.37346806713</x:v>
      </x:c>
      <x:c r="AM478" s="19" t="n">
        <x:v>46387</x:v>
      </x:c>
      <x:c r="AN478" s="15" t="str">
        <x:v>Теплові мережі</x:v>
      </x:c>
      <x:c r="AO478" s="15" t="str">
        <x:v>not_found_in_top_search</x:v>
      </x:c>
    </x:row>
    <x:row r="479">
      <x:c r="A479" s="14" t="str">
        <x:v>W3-207</x:v>
      </x:c>
      <x:c r="B479" s="14" t="str">
        <x:v>Prozorro winners — 24.08</x:v>
      </x:c>
      <x:c r="C479" s="14" t="str">
        <x:v>ТОВАРИСТВО З ОБМЕЖЕНОЮ ВІДПОВІДАЛЬНІСТЮ НАУКОВО-ВИРОБНИЧЕ ПІДПРИЄМСТВО "БЛІЦ-КОНТАКТ"</x:v>
      </x:c>
      <x:c r="D479" s="14" t="str">
        <x:v>Безпека / СКУД / CCTV</x:v>
      </x:c>
      <x:c r="E479" s="14" t="str">
        <x:v>Expansion discovery</x:v>
      </x:c>
      <x:c r="F479" s="17" t="str">
        <x:f>IF(E479="Pilot now",IF(P479&gt;=84,"P1",IF(P479&gt;=72,"P2","P3")),IF(E479="Expansion discovery",IF(Q479&gt;=88,"D1",IF(Q479&gt;=78,"D2","D3")),IF(E479="Later / requirements","L","Legacy")))</x:f>
        <x:v>D2</x:v>
      </x:c>
      <x:c r="G479" s="14" t="str"/>
      <x:c r="H479" s="14" t="str">
        <x:v>Discovery розширення — 2 тижні</x:v>
      </x:c>
      <x:c r="I479" s="16" t="n">
        <x:v>1</x:v>
      </x:c>
      <x:c r="J479" s="16" t="n">
        <x:v>5</x:v>
      </x:c>
      <x:c r="K479" s="16" t="n">
        <x:v>4</x:v>
      </x:c>
      <x:c r="L479" s="16" t="n">
        <x:v>1</x:v>
      </x:c>
      <x:c r="M479" s="16" t="n">
        <x:v>5</x:v>
      </x:c>
      <x:c r="N479" s="16" t="n">
        <x:v>5</x:v>
      </x:c>
      <x:c r="O479" s="16" t="n">
        <x:v>5</x:v>
      </x:c>
      <x:c r="P479" s="16" t="n">
        <x:f>IF(COUNT(I479:O479)&lt;7,"",I479*8+J479*3+K479*2+L479*2+M479*2+N479*2+O479)</x:f>
        <x:v>58</x:v>
      </x:c>
      <x:c r="Q479" s="16" t="n">
        <x:f>IF(COUNT(J479:O479)&lt;6,"",J479*5+K479*4+M479*4+L479*3+N479*2+O479*2)</x:f>
        <x:v>84</x:v>
      </x:c>
      <x:c r="R479" s="14" t="str">
        <x:v>high</x:v>
      </x:c>
      <x:c r="S479" s="14" t="str">
        <x:v>official_prozorro_award_2025_2026</x:v>
      </x:c>
      <x:c r="T479" s="14" t="str">
        <x:v>official_prozorro_api</x:v>
      </x:c>
      <x:c r="U479" s="14" t="str">
        <x:v>Не контактували</x:v>
      </x:c>
      <x:c r="V479" s="15" t="str">
        <x:v>Workflow-audit outreach по UA-2026-07-23-005645-a; попросити 1 пакет здачі та вимоги проєкту</x:v>
      </x:c>
      <x:c r="W479" s="15" t="str">
        <x:v>Власник / директор; керівник ПТО; відповідальний за договори</x:v>
      </x:c>
      <x:c r="X479" s="15" t="str">
        <x:v>1 підтверджених перемог/договорів у Prozorro на 35 268 грн; 1 проєктів зі строком виконання не раніше 24.08.2026.</x:v>
      </x:c>
      <x:c r="Y479" s="15" t="str">
        <x:v>Послуги з монтажу системи контролю доступу ; строк до 2026-12-31. Попросити один знеособлений пакет здачі за цим workflow.</x:v>
      </x:c>
      <x:c r="Z479" s="15" t="str">
        <x:v>https://prozorro.gov.ua/tender/UA-2026-07-23-005645-a</x:v>
      </x:c>
      <x:c r="AA479" s="14" t="str">
        <x:v>30992516</x:v>
      </x:c>
      <x:c r="AB479" s="14" t="str">
        <x:v>2026-08-24</x:v>
      </x:c>
      <x:c r="AC479" s="14" t="str"/>
      <x:c r="AD479" s="20" t="str"/>
      <x:c r="AE479" s="14" t="str"/>
      <x:c r="AF479" s="14" t="n">
        <x:v>52</x:v>
      </x:c>
      <x:c r="AG479" s="14" t="str">
        <x:v>I3</x:v>
      </x:c>
      <x:c r="AH479" s="14" t="n">
        <x:v>1</x:v>
      </x:c>
      <x:c r="AI479" s="14" t="n">
        <x:v>1</x:v>
      </x:c>
      <x:c r="AJ479" s="18" t="n">
        <x:v>35268</x:v>
      </x:c>
      <x:c r="AK479" s="14" t="str">
        <x:v>https://prozorro.gov.ua/tender/UA-2026-07-23-005645-a</x:v>
      </x:c>
      <x:c r="AL479" s="19" t="n">
        <x:v>46226.41934983796</x:v>
      </x:c>
      <x:c r="AM479" s="19" t="n">
        <x:v>46387</x:v>
      </x:c>
      <x:c r="AN479" s="15" t="str">
        <x:v>Безпека / СКУД / CCTV</x:v>
      </x:c>
      <x:c r="AO479" s="15" t="str">
        <x:v>not_found_in_top_search</x:v>
      </x:c>
    </x:row>
    <x:row r="480">
      <x:c r="A480" s="14" t="str">
        <x:v>W3-208</x:v>
      </x:c>
      <x:c r="B480" s="14" t="str">
        <x:v>Prozorro winners — 24.08</x:v>
      </x:c>
      <x:c r="C480" s="14" t="str">
        <x:v>АКЦІОНЕРНЕ ТОВАРИСТВО "ЖИТОМИРОБЛЕНЕРГО"</x:v>
      </x:c>
      <x:c r="D480" s="14" t="str">
        <x:v>Електромонтаж</x:v>
      </x:c>
      <x:c r="E480" s="14" t="str">
        <x:v>Pilot now</x:v>
      </x:c>
      <x:c r="F480" s="17" t="str">
        <x:f>IF(E480="Pilot now",IF(P480&gt;=84,"P1",IF(P480&gt;=72,"P2","P3")),IF(E480="Expansion discovery",IF(Q480&gt;=88,"D1",IF(Q480&gt;=78,"D2","D3")),IF(E480="Later / requirements","L","Legacy")))</x:f>
        <x:v>P1</x:v>
      </x:c>
      <x:c r="G480" s="14" t="str"/>
      <x:c r="H480" s="14" t="str">
        <x:v>Пілот зараз — Н.15</x:v>
      </x:c>
      <x:c r="I480" s="16" t="n">
        <x:v>5</x:v>
      </x:c>
      <x:c r="J480" s="16" t="n">
        <x:v>5</x:v>
      </x:c>
      <x:c r="K480" s="16" t="n">
        <x:v>5</x:v>
      </x:c>
      <x:c r="L480" s="16" t="n">
        <x:v>1</x:v>
      </x:c>
      <x:c r="M480" s="16" t="n">
        <x:v>5</x:v>
      </x:c>
      <x:c r="N480" s="16" t="n">
        <x:v>5</x:v>
      </x:c>
      <x:c r="O480" s="16" t="n">
        <x:v>5</x:v>
      </x:c>
      <x:c r="P480" s="16" t="n">
        <x:f>IF(COUNT(I480:O480)&lt;7,"",I480*8+J480*3+K480*2+L480*2+M480*2+N480*2+O480)</x:f>
        <x:v>92</x:v>
      </x:c>
      <x:c r="Q480" s="16" t="n">
        <x:f>IF(COUNT(J480:O480)&lt;6,"",J480*5+K480*4+M480*4+L480*3+N480*2+O480*2)</x:f>
        <x:v>88</x:v>
      </x:c>
      <x:c r="R480" s="14" t="str">
        <x:v>high</x:v>
      </x:c>
      <x:c r="S480" s="14" t="str">
        <x:v>official_prozorro_award_2025_2026</x:v>
      </x:c>
      <x:c r="T480" s="14" t="str">
        <x:v>official_prozorro_api</x:v>
      </x:c>
      <x:c r="U480" s="14" t="str">
        <x:v>Не контактували</x:v>
      </x:c>
      <x:c r="V480" s="15" t="str">
        <x:v>Персоналізований free-pilot outreach по UA-2026-07-30-001605-a; попросити 1 пакет Н.14/Н.15</x:v>
      </x:c>
      <x:c r="W480" s="15" t="str">
        <x:v>Власник / директор; керівник ПТО; відповідальний за договори</x:v>
      </x:c>
      <x:c r="X480" s="15" t="str">
        <x:v>1 підтверджених перемог/договорів у Prozorro на 30 735 грн; 1 проєктів зі строком виконання не раніше 24.08.2026.</x:v>
      </x:c>
      <x:c r="Y480" s="15" t="str">
        <x:v> Електромонтажні роботи; строк до 2026-12-31. Попросити один знеособлений пакет здачі за цим workflow.</x:v>
      </x:c>
      <x:c r="Z480" s="15" t="str">
        <x:v>https://prozorro.gov.ua/tender/UA-2026-07-30-001605-a</x:v>
      </x:c>
      <x:c r="AA480" s="14" t="str">
        <x:v>22048622</x:v>
      </x:c>
      <x:c r="AB480" s="14" t="str">
        <x:v>2026-08-24</x:v>
      </x:c>
      <x:c r="AC480" s="14" t="str"/>
      <x:c r="AD480" s="20" t="str"/>
      <x:c r="AE480" s="14" t="str"/>
      <x:c r="AF480" s="14" t="n">
        <x:v>52</x:v>
      </x:c>
      <x:c r="AG480" s="14" t="str">
        <x:v>I3</x:v>
      </x:c>
      <x:c r="AH480" s="14" t="n">
        <x:v>1</x:v>
      </x:c>
      <x:c r="AI480" s="14" t="n">
        <x:v>1</x:v>
      </x:c>
      <x:c r="AJ480" s="18" t="n">
        <x:v>30735.06</x:v>
      </x:c>
      <x:c r="AK480" s="14" t="str">
        <x:v>https://prozorro.gov.ua/tender/UA-2026-07-30-001605-a</x:v>
      </x:c>
      <x:c r="AL480" s="19" t="n">
        <x:v>46233.30539790509</x:v>
      </x:c>
      <x:c r="AM480" s="19" t="n">
        <x:v>46387</x:v>
      </x:c>
      <x:c r="AN480" s="15" t="str">
        <x:v>Електромонтаж</x:v>
      </x:c>
      <x:c r="AO480" s="15" t="str">
        <x:v>not_found_in_top_search</x:v>
      </x:c>
    </x:row>
    <x:row r="481">
      <x:c r="A481" s="14" t="str">
        <x:v>W3-209</x:v>
      </x:c>
      <x:c r="B481" s="14" t="str">
        <x:v>Prozorro winners — 24.08</x:v>
      </x:c>
      <x:c r="C481" s="14" t="str">
        <x:v>ПРИВАТНА ФІРМА КОМПАНІЯ «НЕО»</x:v>
      </x:c>
      <x:c r="D481" s="14" t="str">
        <x:v>Електромонтаж</x:v>
      </x:c>
      <x:c r="E481" s="14" t="str">
        <x:v>Pilot now</x:v>
      </x:c>
      <x:c r="F481" s="17" t="str">
        <x:f>IF(E481="Pilot now",IF(P481&gt;=84,"P1",IF(P481&gt;=72,"P2","P3")),IF(E481="Expansion discovery",IF(Q481&gt;=88,"D1",IF(Q481&gt;=78,"D2","D3")),IF(E481="Later / requirements","L","Legacy")))</x:f>
        <x:v>P1</x:v>
      </x:c>
      <x:c r="G481" s="14" t="str"/>
      <x:c r="H481" s="14" t="str">
        <x:v>Пілот зараз — Н.15</x:v>
      </x:c>
      <x:c r="I481" s="16" t="n">
        <x:v>5</x:v>
      </x:c>
      <x:c r="J481" s="16" t="n">
        <x:v>5</x:v>
      </x:c>
      <x:c r="K481" s="16" t="n">
        <x:v>5</x:v>
      </x:c>
      <x:c r="L481" s="16" t="n">
        <x:v>1</x:v>
      </x:c>
      <x:c r="M481" s="16" t="n">
        <x:v>5</x:v>
      </x:c>
      <x:c r="N481" s="16" t="n">
        <x:v>5</x:v>
      </x:c>
      <x:c r="O481" s="16" t="n">
        <x:v>5</x:v>
      </x:c>
      <x:c r="P481" s="16" t="n">
        <x:f>IF(COUNT(I481:O481)&lt;7,"",I481*8+J481*3+K481*2+L481*2+M481*2+N481*2+O481)</x:f>
        <x:v>92</x:v>
      </x:c>
      <x:c r="Q481" s="16" t="n">
        <x:f>IF(COUNT(J481:O481)&lt;6,"",J481*5+K481*4+M481*4+L481*3+N481*2+O481*2)</x:f>
        <x:v>88</x:v>
      </x:c>
      <x:c r="R481" s="14" t="str">
        <x:v>high</x:v>
      </x:c>
      <x:c r="S481" s="14" t="str">
        <x:v>official_prozorro_award_2025_2026</x:v>
      </x:c>
      <x:c r="T481" s="14" t="str">
        <x:v>official_prozorro_api</x:v>
      </x:c>
      <x:c r="U481" s="14" t="str">
        <x:v>Не контактували</x:v>
      </x:c>
      <x:c r="V481" s="15" t="str">
        <x:v>Персоналізований free-pilot outreach по UA-2026-08-21-003061-a; попросити 1 пакет Н.14/Н.15</x:v>
      </x:c>
      <x:c r="W481" s="15" t="str">
        <x:v>Власник / директор; керівник ПТО; відповідальний за договори</x:v>
      </x:c>
      <x:c r="X481" s="15" t="str">
        <x:v>1 підтверджених перемог/договорів у Prozorro на 29 126 грн; 1 проєктів зі строком виконання не раніше 24.08.2026.</x:v>
      </x:c>
      <x:c r="Y481" s="15" t="str">
        <x:v>Електромонтажні роботи (монтаж кондиціонера); строк до 2026-12-31. Попросити один знеособлений пакет здачі за цим workflow.</x:v>
      </x:c>
      <x:c r="Z481" s="15" t="str">
        <x:v>https://prozorro.gov.ua/tender/UA-2026-08-21-003061-a</x:v>
      </x:c>
      <x:c r="AA481" s="14" t="str">
        <x:v>31232303</x:v>
      </x:c>
      <x:c r="AB481" s="14" t="str">
        <x:v>2026-08-24</x:v>
      </x:c>
      <x:c r="AC481" s="14" t="str"/>
      <x:c r="AD481" s="20" t="str"/>
      <x:c r="AE481" s="14" t="str"/>
      <x:c r="AF481" s="14" t="n">
        <x:v>52</x:v>
      </x:c>
      <x:c r="AG481" s="14" t="str">
        <x:v>I3</x:v>
      </x:c>
      <x:c r="AH481" s="14" t="n">
        <x:v>1</x:v>
      </x:c>
      <x:c r="AI481" s="14" t="n">
        <x:v>1</x:v>
      </x:c>
      <x:c r="AJ481" s="18" t="n">
        <x:v>29126</x:v>
      </x:c>
      <x:c r="AK481" s="14" t="str">
        <x:v>https://prozorro.gov.ua/tender/UA-2026-08-21-003061-a</x:v>
      </x:c>
      <x:c r="AL481" s="19" t="n">
        <x:v>46255.32717296296</x:v>
      </x:c>
      <x:c r="AM481" s="19" t="n">
        <x:v>46387.916655092595</x:v>
      </x:c>
      <x:c r="AN481" s="15" t="str">
        <x:v>Електромонтаж</x:v>
      </x:c>
      <x:c r="AO481" s="15" t="str">
        <x:v>not_found_in_top_search</x:v>
      </x:c>
    </x:row>
    <x:row r="482">
      <x:c r="A482" s="14" t="str">
        <x:v>W3-210</x:v>
      </x:c>
      <x:c r="B482" s="14" t="str">
        <x:v>Prozorro winners — 24.08</x:v>
      </x:c>
      <x:c r="C482" s="14" t="str">
        <x:v>ТОВАРИСТВО З ОБМЕЖЕНОЮ ВІДПОВІДАЛЬНІСТЮ СПЕЦІАЛІЗОВАНЕ ПІДПРИЄМСТВО "ЗАЩИТА-92"</x:v>
      </x:c>
      <x:c r="D482" s="14" t="str">
        <x:v>Безпека / СКУД / CCTV</x:v>
      </x:c>
      <x:c r="E482" s="14" t="str">
        <x:v>Expansion discovery</x:v>
      </x:c>
      <x:c r="F482" s="17" t="str">
        <x:f>IF(E482="Pilot now",IF(P482&gt;=84,"P1",IF(P482&gt;=72,"P2","P3")),IF(E482="Expansion discovery",IF(Q482&gt;=88,"D1",IF(Q482&gt;=78,"D2","D3")),IF(E482="Later / requirements","L","Legacy")))</x:f>
        <x:v>D2</x:v>
      </x:c>
      <x:c r="G482" s="14" t="str"/>
      <x:c r="H482" s="14" t="str">
        <x:v>Discovery розширення — 2 тижні</x:v>
      </x:c>
      <x:c r="I482" s="16" t="n">
        <x:v>1</x:v>
      </x:c>
      <x:c r="J482" s="16" t="n">
        <x:v>5</x:v>
      </x:c>
      <x:c r="K482" s="16" t="n">
        <x:v>4</x:v>
      </x:c>
      <x:c r="L482" s="16" t="n">
        <x:v>1</x:v>
      </x:c>
      <x:c r="M482" s="16" t="n">
        <x:v>5</x:v>
      </x:c>
      <x:c r="N482" s="16" t="n">
        <x:v>5</x:v>
      </x:c>
      <x:c r="O482" s="16" t="n">
        <x:v>5</x:v>
      </x:c>
      <x:c r="P482" s="16" t="n">
        <x:f>IF(COUNT(I482:O482)&lt;7,"",I482*8+J482*3+K482*2+L482*2+M482*2+N482*2+O482)</x:f>
        <x:v>58</x:v>
      </x:c>
      <x:c r="Q482" s="16" t="n">
        <x:f>IF(COUNT(J482:O482)&lt;6,"",J482*5+K482*4+M482*4+L482*3+N482*2+O482*2)</x:f>
        <x:v>84</x:v>
      </x:c>
      <x:c r="R482" s="14" t="str">
        <x:v>high</x:v>
      </x:c>
      <x:c r="S482" s="14" t="str">
        <x:v>official_prozorro_award_2025_2026</x:v>
      </x:c>
      <x:c r="T482" s="14" t="str">
        <x:v>official_prozorro_api</x:v>
      </x:c>
      <x:c r="U482" s="14" t="str">
        <x:v>Не контактували</x:v>
      </x:c>
      <x:c r="V482" s="15" t="str">
        <x:v>Workflow-audit outreach по UA-2026-08-05-012230-a; попросити 1 пакет здачі та вимоги проєкту</x:v>
      </x:c>
      <x:c r="W482" s="15" t="str">
        <x:v>Власник / директор; керівник ПТО; відповідальний за договори</x:v>
      </x:c>
      <x:c r="X482" s="15" t="str">
        <x:v>1 підтверджених перемог/договорів у Prozorro на 28 754 грн; 1 проєктів зі строком виконання не раніше 24.08.2026.</x:v>
      </x:c>
      <x:c r="Y482" s="15" t="str">
        <x:v>Послуги з монтажу системи відеоспостереження; строк до 2026-12-31. Попросити один знеособлений пакет здачі за цим workflow.</x:v>
      </x:c>
      <x:c r="Z482" s="15" t="str">
        <x:v>https://prozorro.gov.ua/tender/UA-2026-08-05-012230-a</x:v>
      </x:c>
      <x:c r="AA482" s="14" t="str">
        <x:v>14008181</x:v>
      </x:c>
      <x:c r="AB482" s="14" t="str">
        <x:v>2026-08-24</x:v>
      </x:c>
      <x:c r="AC482" s="14" t="str"/>
      <x:c r="AD482" s="20" t="str"/>
      <x:c r="AE482" s="14" t="str"/>
      <x:c r="AF482" s="14" t="n">
        <x:v>52</x:v>
      </x:c>
      <x:c r="AG482" s="14" t="str">
        <x:v>I3</x:v>
      </x:c>
      <x:c r="AH482" s="14" t="n">
        <x:v>1</x:v>
      </x:c>
      <x:c r="AI482" s="14" t="n">
        <x:v>1</x:v>
      </x:c>
      <x:c r="AJ482" s="18" t="n">
        <x:v>28753.56</x:v>
      </x:c>
      <x:c r="AK482" s="14" t="str">
        <x:v>https://prozorro.gov.ua/tender/UA-2026-08-05-012230-a</x:v>
      </x:c>
      <x:c r="AL482" s="19" t="n">
        <x:v>46239.61833405092</x:v>
      </x:c>
      <x:c r="AM482" s="19" t="n">
        <x:v>46387</x:v>
      </x:c>
      <x:c r="AN482" s="15" t="str">
        <x:v>Безпека / СКУД / CCTV</x:v>
      </x:c>
      <x:c r="AO482" s="15" t="str">
        <x:v>not_found_in_top_search</x:v>
      </x:c>
    </x:row>
    <x:row r="483">
      <x:c r="A483" s="14" t="str">
        <x:v>W3-211</x:v>
      </x:c>
      <x:c r="B483" s="14" t="str">
        <x:v>Prozorro winners — 24.08</x:v>
      </x:c>
      <x:c r="C483" s="14" t="str">
        <x:v>ТОВАРИСТВО З ОБМЕЖЕНОЮ ВІДПОВІДАЛЬНІСТЮ " ДІВІКС"</x:v>
      </x:c>
      <x:c r="D483" s="14" t="str">
        <x:v>Безпека / СКУД / CCTV</x:v>
      </x:c>
      <x:c r="E483" s="14" t="str">
        <x:v>Expansion discovery</x:v>
      </x:c>
      <x:c r="F483" s="17" t="str">
        <x:f>IF(E483="Pilot now",IF(P483&gt;=84,"P1",IF(P483&gt;=72,"P2","P3")),IF(E483="Expansion discovery",IF(Q483&gt;=88,"D1",IF(Q483&gt;=78,"D2","D3")),IF(E483="Later / requirements","L","Legacy")))</x:f>
        <x:v>D2</x:v>
      </x:c>
      <x:c r="G483" s="14" t="str"/>
      <x:c r="H483" s="14" t="str">
        <x:v>Discovery розширення — 2 тижні</x:v>
      </x:c>
      <x:c r="I483" s="16" t="n">
        <x:v>1</x:v>
      </x:c>
      <x:c r="J483" s="16" t="n">
        <x:v>5</x:v>
      </x:c>
      <x:c r="K483" s="16" t="n">
        <x:v>4</x:v>
      </x:c>
      <x:c r="L483" s="16" t="n">
        <x:v>1</x:v>
      </x:c>
      <x:c r="M483" s="16" t="n">
        <x:v>5</x:v>
      </x:c>
      <x:c r="N483" s="16" t="n">
        <x:v>5</x:v>
      </x:c>
      <x:c r="O483" s="16" t="n">
        <x:v>5</x:v>
      </x:c>
      <x:c r="P483" s="16" t="n">
        <x:f>IF(COUNT(I483:O483)&lt;7,"",I483*8+J483*3+K483*2+L483*2+M483*2+N483*2+O483)</x:f>
        <x:v>58</x:v>
      </x:c>
      <x:c r="Q483" s="16" t="n">
        <x:f>IF(COUNT(J483:O483)&lt;6,"",J483*5+K483*4+M483*4+L483*3+N483*2+O483*2)</x:f>
        <x:v>84</x:v>
      </x:c>
      <x:c r="R483" s="14" t="str">
        <x:v>high</x:v>
      </x:c>
      <x:c r="S483" s="14" t="str">
        <x:v>official_prozorro_award_2025_2026</x:v>
      </x:c>
      <x:c r="T483" s="14" t="str">
        <x:v>official_prozorro_api</x:v>
      </x:c>
      <x:c r="U483" s="14" t="str">
        <x:v>Не контактували</x:v>
      </x:c>
      <x:c r="V483" s="15" t="str">
        <x:v>Workflow-audit outreach по UA-2026-07-29-001219-a; попросити 1 пакет здачі та вимоги проєкту</x:v>
      </x:c>
      <x:c r="W483" s="15" t="str">
        <x:v>Власник / директор; керівник ПТО; відповідальний за договори</x:v>
      </x:c>
      <x:c r="X483" s="15" t="str">
        <x:v>1 підтверджених перемог/договорів у Prozorro на 25 963 грн; 1 проєктів зі строком виконання не раніше 24.08.2026.</x:v>
      </x:c>
      <x:c r="Y483" s="15" t="str">
        <x:v>Послуги з монтажу та пусконалагоджені системи контролю та управління доступом; строк до 2026-12-31. Попросити один знеособлений пакет здачі за цим workflow.</x:v>
      </x:c>
      <x:c r="Z483" s="15" t="str">
        <x:v>https://prozorro.gov.ua/tender/UA-2026-07-29-001219-a</x:v>
      </x:c>
      <x:c r="AA483" s="14" t="str">
        <x:v>33463396</x:v>
      </x:c>
      <x:c r="AB483" s="14" t="str">
        <x:v>2026-08-24</x:v>
      </x:c>
      <x:c r="AC483" s="14" t="str"/>
      <x:c r="AD483" s="20" t="str"/>
      <x:c r="AE483" s="14" t="str"/>
      <x:c r="AF483" s="14" t="n">
        <x:v>52</x:v>
      </x:c>
      <x:c r="AG483" s="14" t="str">
        <x:v>I3</x:v>
      </x:c>
      <x:c r="AH483" s="14" t="n">
        <x:v>1</x:v>
      </x:c>
      <x:c r="AI483" s="14" t="n">
        <x:v>1</x:v>
      </x:c>
      <x:c r="AJ483" s="18" t="n">
        <x:v>25963.2</x:v>
      </x:c>
      <x:c r="AK483" s="14" t="str">
        <x:v>https://prozorro.gov.ua/tender/UA-2026-07-29-001219-a</x:v>
      </x:c>
      <x:c r="AL483" s="19" t="n">
        <x:v>46232.284131747685</x:v>
      </x:c>
      <x:c r="AM483" s="19" t="n">
        <x:v>46387</x:v>
      </x:c>
      <x:c r="AN483" s="15" t="str">
        <x:v>Безпека / СКУД / CCTV</x:v>
      </x:c>
      <x:c r="AO483" s="15" t="str">
        <x:v>not_found_in_top_search</x:v>
      </x:c>
    </x:row>
    <x:row r="484">
      <x:c r="A484" s="14" t="str">
        <x:v>W3-212</x:v>
      </x:c>
      <x:c r="B484" s="14" t="str">
        <x:v>Prozorro winners — 24.08</x:v>
      </x:c>
      <x:c r="C484" s="14" t="str">
        <x:v>ТОВАРИСТВО З ОБМЕЖЕНОЮ ВІДПОВІДАЛЬНІСТЮ "ТВОПТИМУМ"</x:v>
      </x:c>
      <x:c r="D484" s="14" t="str">
        <x:v>Електромонтаж</x:v>
      </x:c>
      <x:c r="E484" s="14" t="str">
        <x:v>Pilot now</x:v>
      </x:c>
      <x:c r="F484" s="17" t="str">
        <x:f>IF(E484="Pilot now",IF(P484&gt;=84,"P1",IF(P484&gt;=72,"P2","P3")),IF(E484="Expansion discovery",IF(Q484&gt;=88,"D1",IF(Q484&gt;=78,"D2","D3")),IF(E484="Later / requirements","L","Legacy")))</x:f>
        <x:v>P1</x:v>
      </x:c>
      <x:c r="G484" s="14" t="str"/>
      <x:c r="H484" s="14" t="str">
        <x:v>Пілот зараз — Н.15</x:v>
      </x:c>
      <x:c r="I484" s="16" t="n">
        <x:v>5</x:v>
      </x:c>
      <x:c r="J484" s="16" t="n">
        <x:v>5</x:v>
      </x:c>
      <x:c r="K484" s="16" t="n">
        <x:v>5</x:v>
      </x:c>
      <x:c r="L484" s="16" t="n">
        <x:v>1</x:v>
      </x:c>
      <x:c r="M484" s="16" t="n">
        <x:v>5</x:v>
      </x:c>
      <x:c r="N484" s="16" t="n">
        <x:v>5</x:v>
      </x:c>
      <x:c r="O484" s="16" t="n">
        <x:v>5</x:v>
      </x:c>
      <x:c r="P484" s="16" t="n">
        <x:f>IF(COUNT(I484:O484)&lt;7,"",I484*8+J484*3+K484*2+L484*2+M484*2+N484*2+O484)</x:f>
        <x:v>92</x:v>
      </x:c>
      <x:c r="Q484" s="16" t="n">
        <x:f>IF(COUNT(J484:O484)&lt;6,"",J484*5+K484*4+M484*4+L484*3+N484*2+O484*2)</x:f>
        <x:v>88</x:v>
      </x:c>
      <x:c r="R484" s="14" t="str">
        <x:v>high</x:v>
      </x:c>
      <x:c r="S484" s="14" t="str">
        <x:v>official_prozorro_award_2025_2026</x:v>
      </x:c>
      <x:c r="T484" s="14" t="str">
        <x:v>official_prozorro_api</x:v>
      </x:c>
      <x:c r="U484" s="14" t="str">
        <x:v>Не контактували</x:v>
      </x:c>
      <x:c r="V484" s="15" t="str">
        <x:v>Персоналізований free-pilot outreach по UA-2026-08-19-012215-a; попросити 1 пакет Н.14/Н.15</x:v>
      </x:c>
      <x:c r="W484" s="15" t="str">
        <x:v>Власник / директор; керівник ПТО; відповідальний за договори</x:v>
      </x:c>
      <x:c r="X484" s="15" t="str">
        <x:v>1 підтверджених перемог/договорів у Prozorro на 24 500 грн; 1 проєктів зі строком виконання не раніше 24.08.2026.</x:v>
      </x:c>
      <x:c r="Y484" s="15" t="str">
        <x:v>Електромонтажні та пуско-налагоджувальні роботи; строк до 2026-12-31. Попросити один знеособлений пакет здачі за цим workflow.</x:v>
      </x:c>
      <x:c r="Z484" s="15" t="str">
        <x:v>https://prozorro.gov.ua/tender/UA-2026-08-19-012215-a</x:v>
      </x:c>
      <x:c r="AA484" s="14" t="str">
        <x:v>39820186</x:v>
      </x:c>
      <x:c r="AB484" s="14" t="str">
        <x:v>2026-08-24</x:v>
      </x:c>
      <x:c r="AC484" s="14" t="str"/>
      <x:c r="AD484" s="20" t="str"/>
      <x:c r="AE484" s="14" t="str"/>
      <x:c r="AF484" s="14" t="n">
        <x:v>52</x:v>
      </x:c>
      <x:c r="AG484" s="14" t="str">
        <x:v>I3</x:v>
      </x:c>
      <x:c r="AH484" s="14" t="n">
        <x:v>1</x:v>
      </x:c>
      <x:c r="AI484" s="14" t="n">
        <x:v>1</x:v>
      </x:c>
      <x:c r="AJ484" s="18" t="n">
        <x:v>24500</x:v>
      </x:c>
      <x:c r="AK484" s="14" t="str">
        <x:v>https://prozorro.gov.ua/tender/UA-2026-08-19-012215-a</x:v>
      </x:c>
      <x:c r="AL484" s="19" t="n">
        <x:v>46253.57545571759</x:v>
      </x:c>
      <x:c r="AM484" s="19" t="n">
        <x:v>46387</x:v>
      </x:c>
      <x:c r="AN484" s="15" t="str">
        <x:v>Електромонтаж</x:v>
      </x:c>
      <x:c r="AO484" s="15" t="str">
        <x:v>not_found_in_top_search</x:v>
      </x:c>
    </x:row>
    <x:row r="485">
      <x:c r="A485" s="14" t="str">
        <x:v>W3-213</x:v>
      </x:c>
      <x:c r="B485" s="14" t="str">
        <x:v>Prozorro winners — 24.08</x:v>
      </x:c>
      <x:c r="C485" s="14" t="str">
        <x:v>ТОВАРИСТВО З ОБМЕЖЕНОЮ ВІДПОВІДАЛЬНІСТЮ "СМАРТ МОДУЛЬ"</x:v>
      </x:c>
      <x:c r="D485" s="14" t="str">
        <x:v>HVAC / ОВіК</x:v>
      </x:c>
      <x:c r="E485" s="14" t="str">
        <x:v>Pilot now</x:v>
      </x:c>
      <x:c r="F485" s="17" t="str">
        <x:f>IF(E485="Pilot now",IF(P485&gt;=84,"P1",IF(P485&gt;=72,"P2","P3")),IF(E485="Expansion discovery",IF(Q485&gt;=88,"D1",IF(Q485&gt;=78,"D2","D3")),IF(E485="Later / requirements","L","Legacy")))</x:f>
        <x:v>P1</x:v>
      </x:c>
      <x:c r="G485" s="14" t="str"/>
      <x:c r="H485" s="14" t="str">
        <x:v>Пілот зараз — Н.14</x:v>
      </x:c>
      <x:c r="I485" s="16" t="n">
        <x:v>5</x:v>
      </x:c>
      <x:c r="J485" s="16" t="n">
        <x:v>5</x:v>
      </x:c>
      <x:c r="K485" s="16" t="n">
        <x:v>5</x:v>
      </x:c>
      <x:c r="L485" s="16" t="n">
        <x:v>1</x:v>
      </x:c>
      <x:c r="M485" s="16" t="n">
        <x:v>5</x:v>
      </x:c>
      <x:c r="N485" s="16" t="n">
        <x:v>5</x:v>
      </x:c>
      <x:c r="O485" s="16" t="n">
        <x:v>5</x:v>
      </x:c>
      <x:c r="P485" s="16" t="n">
        <x:f>IF(COUNT(I485:O485)&lt;7,"",I485*8+J485*3+K485*2+L485*2+M485*2+N485*2+O485)</x:f>
        <x:v>92</x:v>
      </x:c>
      <x:c r="Q485" s="16" t="n">
        <x:f>IF(COUNT(J485:O485)&lt;6,"",J485*5+K485*4+M485*4+L485*3+N485*2+O485*2)</x:f>
        <x:v>88</x:v>
      </x:c>
      <x:c r="R485" s="14" t="str">
        <x:v>high</x:v>
      </x:c>
      <x:c r="S485" s="14" t="str">
        <x:v>official_prozorro_award_2025_2026</x:v>
      </x:c>
      <x:c r="T485" s="14" t="str">
        <x:v>official_prozorro_api</x:v>
      </x:c>
      <x:c r="U485" s="14" t="str">
        <x:v>Не контактували</x:v>
      </x:c>
      <x:c r="V485" s="15" t="str">
        <x:v>Персоналізований free-pilot outreach по UA-2026-08-19-001541-a; попросити 1 пакет Н.14/Н.15</x:v>
      </x:c>
      <x:c r="W485" s="15" t="str">
        <x:v>Власник / директор; керівник ПТО; відповідальний за договори</x:v>
      </x:c>
      <x:c r="X485" s="15" t="str">
        <x:v>1 підтверджених перемог/договорів у Prozorro на 21 018 грн; 1 проєктів зі строком виконання не раніше 24.08.2026.</x:v>
      </x:c>
      <x:c r="Y485" s="15" t="str">
        <x:v>Послуги із демонтажу та монтажу теплолічильника теплової енергії в адміністративній будівлі Черкаської філії ДП «Полтавастандартметрологія» за адресою: м. Черкаси, вул. Гоголя,278, (ДК 021:2015 50720000-8 «Послуги з ремонту і технічного обслуговування систем центрального опалення»); строк до 2026-08-31. Попросити один знеособлений пакет здачі за цим workflow.</x:v>
      </x:c>
      <x:c r="Z485" s="15" t="str">
        <x:v>https://prozorro.gov.ua/tender/UA-2026-08-19-001541-a</x:v>
      </x:c>
      <x:c r="AA485" s="14" t="str">
        <x:v>42017273</x:v>
      </x:c>
      <x:c r="AB485" s="14" t="str">
        <x:v>2026-08-24</x:v>
      </x:c>
      <x:c r="AC485" s="14" t="str"/>
      <x:c r="AD485" s="20" t="str"/>
      <x:c r="AE485" s="14" t="str"/>
      <x:c r="AF485" s="14" t="n">
        <x:v>52</x:v>
      </x:c>
      <x:c r="AG485" s="14" t="str">
        <x:v>I3</x:v>
      </x:c>
      <x:c r="AH485" s="14" t="n">
        <x:v>1</x:v>
      </x:c>
      <x:c r="AI485" s="14" t="n">
        <x:v>1</x:v>
      </x:c>
      <x:c r="AJ485" s="18" t="n">
        <x:v>21018</x:v>
      </x:c>
      <x:c r="AK485" s="14" t="str">
        <x:v>https://prozorro.gov.ua/tender/UA-2026-08-19-001541-a</x:v>
      </x:c>
      <x:c r="AL485" s="19" t="n">
        <x:v>46253.29300803241</x:v>
      </x:c>
      <x:c r="AM485" s="19" t="n">
        <x:v>46265</x:v>
      </x:c>
      <x:c r="AN485" s="15" t="str">
        <x:v>HVAC / ОВіК</x:v>
      </x:c>
      <x:c r="AO485" s="15" t="str">
        <x:v>not_found_in_top_search</x:v>
      </x:c>
    </x:row>
    <x:row r="486">
      <x:c r="A486" s="14" t="str">
        <x:v>W3-214</x:v>
      </x:c>
      <x:c r="B486" s="14" t="str">
        <x:v>Prozorro winners — 24.08</x:v>
      </x:c>
      <x:c r="C486" s="14" t="str">
        <x:v>ТзОВ фірма "Аурас"</x:v>
      </x:c>
      <x:c r="D486" s="14" t="str">
        <x:v>Безпека / СКУД / CCTV</x:v>
      </x:c>
      <x:c r="E486" s="14" t="str">
        <x:v>Expansion discovery</x:v>
      </x:c>
      <x:c r="F486" s="17" t="str">
        <x:f>IF(E486="Pilot now",IF(P486&gt;=84,"P1",IF(P486&gt;=72,"P2","P3")),IF(E486="Expansion discovery",IF(Q486&gt;=88,"D1",IF(Q486&gt;=78,"D2","D3")),IF(E486="Later / requirements","L","Legacy")))</x:f>
        <x:v>D2</x:v>
      </x:c>
      <x:c r="G486" s="14" t="str"/>
      <x:c r="H486" s="14" t="str">
        <x:v>Discovery розширення — 2 тижні</x:v>
      </x:c>
      <x:c r="I486" s="16" t="n">
        <x:v>1</x:v>
      </x:c>
      <x:c r="J486" s="16" t="n">
        <x:v>5</x:v>
      </x:c>
      <x:c r="K486" s="16" t="n">
        <x:v>4</x:v>
      </x:c>
      <x:c r="L486" s="16" t="n">
        <x:v>1</x:v>
      </x:c>
      <x:c r="M486" s="16" t="n">
        <x:v>5</x:v>
      </x:c>
      <x:c r="N486" s="16" t="n">
        <x:v>5</x:v>
      </x:c>
      <x:c r="O486" s="16" t="n">
        <x:v>5</x:v>
      </x:c>
      <x:c r="P486" s="16" t="n">
        <x:f>IF(COUNT(I486:O486)&lt;7,"",I486*8+J486*3+K486*2+L486*2+M486*2+N486*2+O486)</x:f>
        <x:v>58</x:v>
      </x:c>
      <x:c r="Q486" s="16" t="n">
        <x:f>IF(COUNT(J486:O486)&lt;6,"",J486*5+K486*4+M486*4+L486*3+N486*2+O486*2)</x:f>
        <x:v>84</x:v>
      </x:c>
      <x:c r="R486" s="14" t="str">
        <x:v>high</x:v>
      </x:c>
      <x:c r="S486" s="14" t="str">
        <x:v>official_prozorro_award_2025_2026</x:v>
      </x:c>
      <x:c r="T486" s="14" t="str">
        <x:v>official_prozorro_api</x:v>
      </x:c>
      <x:c r="U486" s="14" t="str">
        <x:v>Не контактували</x:v>
      </x:c>
      <x:c r="V486" s="15" t="str">
        <x:v>Workflow-audit outreach по UA-2026-07-21-002192-a; попросити 1 пакет здачі та вимоги проєкту</x:v>
      </x:c>
      <x:c r="W486" s="15" t="str">
        <x:v>Власник / директор; керівник ПТО; відповідальний за договори</x:v>
      </x:c>
      <x:c r="X486" s="15" t="str">
        <x:v>1 підтверджених перемог/договорів у Prozorro на 19 858 грн; 1 проєктів зі строком виконання не раніше 24.08.2026.</x:v>
      </x:c>
      <x:c r="Y486" s="15" t="str">
        <x:v>Послуги з монтажу системи відеоспостереження; строк до 2026-12-31. Попросити один знеособлений пакет здачі за цим workflow.</x:v>
      </x:c>
      <x:c r="Z486" s="15" t="str">
        <x:v>https://prozorro.gov.ua/tender/UA-2026-07-21-002192-a</x:v>
      </x:c>
      <x:c r="AA486" s="14" t="str">
        <x:v>13986474</x:v>
      </x:c>
      <x:c r="AB486" s="14" t="str">
        <x:v>2026-08-24</x:v>
      </x:c>
      <x:c r="AC486" s="14" t="str"/>
      <x:c r="AD486" s="20" t="str"/>
      <x:c r="AE486" s="14" t="str"/>
      <x:c r="AF486" s="14" t="n">
        <x:v>52</x:v>
      </x:c>
      <x:c r="AG486" s="14" t="str">
        <x:v>I3</x:v>
      </x:c>
      <x:c r="AH486" s="14" t="n">
        <x:v>1</x:v>
      </x:c>
      <x:c r="AI486" s="14" t="n">
        <x:v>1</x:v>
      </x:c>
      <x:c r="AJ486" s="18" t="n">
        <x:v>19857.6</x:v>
      </x:c>
      <x:c r="AK486" s="14" t="str">
        <x:v>https://prozorro.gov.ua/tender/UA-2026-07-21-002192-a</x:v>
      </x:c>
      <x:c r="AL486" s="19" t="n">
        <x:v>46224.311575590276</x:v>
      </x:c>
      <x:c r="AM486" s="19" t="n">
        <x:v>46387</x:v>
      </x:c>
      <x:c r="AN486" s="15" t="str">
        <x:v>Безпека / СКУД / CCTV</x:v>
      </x:c>
      <x:c r="AO486" s="15" t="str">
        <x:v>not_found_in_top_search</x:v>
      </x:c>
    </x:row>
    <x:row r="487">
      <x:c r="A487" s="14" t="str">
        <x:v>W3-215</x:v>
      </x:c>
      <x:c r="B487" s="14" t="str">
        <x:v>Prozorro winners — 24.08</x:v>
      </x:c>
      <x:c r="C487" s="14" t="str">
        <x:v>ТОВ "БРІКСТОУН"</x:v>
      </x:c>
      <x:c r="D487" s="14" t="str">
        <x:v>Безпека / СКУД / CCTV</x:v>
      </x:c>
      <x:c r="E487" s="14" t="str">
        <x:v>Expansion discovery</x:v>
      </x:c>
      <x:c r="F487" s="17" t="str">
        <x:f>IF(E487="Pilot now",IF(P487&gt;=84,"P1",IF(P487&gt;=72,"P2","P3")),IF(E487="Expansion discovery",IF(Q487&gt;=88,"D1",IF(Q487&gt;=78,"D2","D3")),IF(E487="Later / requirements","L","Legacy")))</x:f>
        <x:v>D2</x:v>
      </x:c>
      <x:c r="G487" s="14" t="str"/>
      <x:c r="H487" s="14" t="str">
        <x:v>Discovery розширення — 2 тижні</x:v>
      </x:c>
      <x:c r="I487" s="16" t="n">
        <x:v>1</x:v>
      </x:c>
      <x:c r="J487" s="16" t="n">
        <x:v>5</x:v>
      </x:c>
      <x:c r="K487" s="16" t="n">
        <x:v>4</x:v>
      </x:c>
      <x:c r="L487" s="16" t="n">
        <x:v>1</x:v>
      </x:c>
      <x:c r="M487" s="16" t="n">
        <x:v>5</x:v>
      </x:c>
      <x:c r="N487" s="16" t="n">
        <x:v>5</x:v>
      </x:c>
      <x:c r="O487" s="16" t="n">
        <x:v>5</x:v>
      </x:c>
      <x:c r="P487" s="16" t="n">
        <x:f>IF(COUNT(I487:O487)&lt;7,"",I487*8+J487*3+K487*2+L487*2+M487*2+N487*2+O487)</x:f>
        <x:v>58</x:v>
      </x:c>
      <x:c r="Q487" s="16" t="n">
        <x:f>IF(COUNT(J487:O487)&lt;6,"",J487*5+K487*4+M487*4+L487*3+N487*2+O487*2)</x:f>
        <x:v>84</x:v>
      </x:c>
      <x:c r="R487" s="14" t="str">
        <x:v>high</x:v>
      </x:c>
      <x:c r="S487" s="14" t="str">
        <x:v>official_prozorro_award_2025_2026</x:v>
      </x:c>
      <x:c r="T487" s="14" t="str">
        <x:v>official_prozorro_api</x:v>
      </x:c>
      <x:c r="U487" s="14" t="str">
        <x:v>Не контактували</x:v>
      </x:c>
      <x:c r="V487" s="15" t="str">
        <x:v>Workflow-audit outreach по UA-2026-07-14-004448-a; попросити 1 пакет здачі та вимоги проєкту</x:v>
      </x:c>
      <x:c r="W487" s="15" t="str">
        <x:v>Власник / директор; керівник ПТО; відповідальний за договори</x:v>
      </x:c>
      <x:c r="X487" s="15" t="str">
        <x:v>1 підтверджених перемог/договорів у Prozorro на 19 830 грн; 1 проєктів зі строком виконання не раніше 24.08.2026.</x:v>
      </x:c>
      <x:c r="Y487" s="15" t="str">
        <x:v>Монтаж системи відеоспостереження (з матеріалів замовника); строк до 2026-12-31. Попросити один знеособлений пакет здачі за цим workflow.</x:v>
      </x:c>
      <x:c r="Z487" s="15" t="str">
        <x:v>https://prozorro.gov.ua/tender/UA-2026-07-14-004448-a</x:v>
      </x:c>
      <x:c r="AA487" s="14" t="str">
        <x:v>44263744</x:v>
      </x:c>
      <x:c r="AB487" s="14" t="str">
        <x:v>2026-08-24</x:v>
      </x:c>
      <x:c r="AC487" s="14" t="str"/>
      <x:c r="AD487" s="20" t="str"/>
      <x:c r="AE487" s="14" t="str"/>
      <x:c r="AF487" s="14" t="n">
        <x:v>52</x:v>
      </x:c>
      <x:c r="AG487" s="14" t="str">
        <x:v>I3</x:v>
      </x:c>
      <x:c r="AH487" s="14" t="n">
        <x:v>1</x:v>
      </x:c>
      <x:c r="AI487" s="14" t="n">
        <x:v>1</x:v>
      </x:c>
      <x:c r="AJ487" s="18" t="n">
        <x:v>19830</x:v>
      </x:c>
      <x:c r="AK487" s="14" t="str">
        <x:v>https://prozorro.gov.ua/tender/UA-2026-07-14-004448-a</x:v>
      </x:c>
      <x:c r="AL487" s="19" t="n">
        <x:v>46217.371219733795</x:v>
      </x:c>
      <x:c r="AM487" s="19" t="n">
        <x:v>46387</x:v>
      </x:c>
      <x:c r="AN487" s="15" t="str">
        <x:v>Безпека / СКУД / CCTV</x:v>
      </x:c>
      <x:c r="AO487" s="15" t="str">
        <x:v>not_found_in_top_search</x:v>
      </x:c>
    </x:row>
    <x:row r="488">
      <x:c r="A488" s="14" t="str">
        <x:v>W3-216</x:v>
      </x:c>
      <x:c r="B488" s="14" t="str">
        <x:v>Prozorro winners — 24.08</x:v>
      </x:c>
      <x:c r="C488" s="14" t="str">
        <x:v>ПАТ "Запоріжжяобленерго"</x:v>
      </x:c>
      <x:c r="D488" s="14" t="str">
        <x:v>Електромонтаж</x:v>
      </x:c>
      <x:c r="E488" s="14" t="str">
        <x:v>Pilot now</x:v>
      </x:c>
      <x:c r="F488" s="17" t="str">
        <x:f>IF(E488="Pilot now",IF(P488&gt;=84,"P1",IF(P488&gt;=72,"P2","P3")),IF(E488="Expansion discovery",IF(Q488&gt;=88,"D1",IF(Q488&gt;=78,"D2","D3")),IF(E488="Later / requirements","L","Legacy")))</x:f>
        <x:v>P1</x:v>
      </x:c>
      <x:c r="G488" s="14" t="str"/>
      <x:c r="H488" s="14" t="str">
        <x:v>Пілот зараз — Н.15</x:v>
      </x:c>
      <x:c r="I488" s="16" t="n">
        <x:v>5</x:v>
      </x:c>
      <x:c r="J488" s="16" t="n">
        <x:v>5</x:v>
      </x:c>
      <x:c r="K488" s="16" t="n">
        <x:v>5</x:v>
      </x:c>
      <x:c r="L488" s="16" t="n">
        <x:v>1</x:v>
      </x:c>
      <x:c r="M488" s="16" t="n">
        <x:v>5</x:v>
      </x:c>
      <x:c r="N488" s="16" t="n">
        <x:v>5</x:v>
      </x:c>
      <x:c r="O488" s="16" t="n">
        <x:v>5</x:v>
      </x:c>
      <x:c r="P488" s="16" t="n">
        <x:f>IF(COUNT(I488:O488)&lt;7,"",I488*8+J488*3+K488*2+L488*2+M488*2+N488*2+O488)</x:f>
        <x:v>92</x:v>
      </x:c>
      <x:c r="Q488" s="16" t="n">
        <x:f>IF(COUNT(J488:O488)&lt;6,"",J488*5+K488*4+M488*4+L488*3+N488*2+O488*2)</x:f>
        <x:v>88</x:v>
      </x:c>
      <x:c r="R488" s="14" t="str">
        <x:v>high</x:v>
      </x:c>
      <x:c r="S488" s="14" t="str">
        <x:v>official_prozorro_award_2025_2026</x:v>
      </x:c>
      <x:c r="T488" s="14" t="str">
        <x:v>official_prozorro_api</x:v>
      </x:c>
      <x:c r="U488" s="14" t="str">
        <x:v>Не контактували</x:v>
      </x:c>
      <x:c r="V488" s="15" t="str">
        <x:v>Персоналізований free-pilot outreach по UA-2026-08-17-007157-a; попросити 1 пакет Н.14/Н.15</x:v>
      </x:c>
      <x:c r="W488" s="15" t="str">
        <x:v>Власник / директор; керівник ПТО; відповідальний за договори</x:v>
      </x:c>
      <x:c r="X488" s="15" t="str">
        <x:v>1 підтверджених перемог/договорів у Prozorro на 19 127 грн; 1 проєктів зі строком виконання не раніше 24.08.2026.</x:v>
      </x:c>
      <x:c r="Y488" s="15" t="str">
        <x:v>Електромонтажні роботи; строк до 2026-12-31. Попросити один знеособлений пакет здачі за цим workflow.</x:v>
      </x:c>
      <x:c r="Z488" s="15" t="str">
        <x:v>https://prozorro.gov.ua/tender/UA-2026-08-17-007157-a</x:v>
      </x:c>
      <x:c r="AA488" s="14" t="str">
        <x:v>00130926</x:v>
      </x:c>
      <x:c r="AB488" s="14" t="str">
        <x:v>2026-08-24</x:v>
      </x:c>
      <x:c r="AC488" s="14" t="str"/>
      <x:c r="AD488" s="20" t="str"/>
      <x:c r="AE488" s="14" t="str"/>
      <x:c r="AF488" s="14" t="n">
        <x:v>52</x:v>
      </x:c>
      <x:c r="AG488" s="14" t="str">
        <x:v>I3</x:v>
      </x:c>
      <x:c r="AH488" s="14" t="n">
        <x:v>1</x:v>
      </x:c>
      <x:c r="AI488" s="14" t="n">
        <x:v>1</x:v>
      </x:c>
      <x:c r="AJ488" s="18" t="n">
        <x:v>19127.3</x:v>
      </x:c>
      <x:c r="AK488" s="14" t="str">
        <x:v>https://prozorro.gov.ua/tender/UA-2026-08-17-007157-a</x:v>
      </x:c>
      <x:c r="AL488" s="19" t="n">
        <x:v>46251.470688472225</x:v>
      </x:c>
      <x:c r="AM488" s="19" t="n">
        <x:v>46387</x:v>
      </x:c>
      <x:c r="AN488" s="15" t="str">
        <x:v>Електромонтаж</x:v>
      </x:c>
      <x:c r="AO488" s="15" t="str">
        <x:v>not_found_in_top_search</x:v>
      </x:c>
    </x:row>
    <x:row r="489">
      <x:c r="A489" s="14" t="str">
        <x:v>W3-217</x:v>
      </x:c>
      <x:c r="B489" s="14" t="str">
        <x:v>Prozorro winners — 24.08</x:v>
      </x:c>
      <x:c r="C489" s="14" t="str">
        <x:v>ТОВ "УКРНОЛА</x:v>
      </x:c>
      <x:c r="D489" s="14" t="str">
        <x:v>Електромонтаж</x:v>
      </x:c>
      <x:c r="E489" s="14" t="str">
        <x:v>Pilot now</x:v>
      </x:c>
      <x:c r="F489" s="17" t="str">
        <x:f>IF(E489="Pilot now",IF(P489&gt;=84,"P1",IF(P489&gt;=72,"P2","P3")),IF(E489="Expansion discovery",IF(Q489&gt;=88,"D1",IF(Q489&gt;=78,"D2","D3")),IF(E489="Later / requirements","L","Legacy")))</x:f>
        <x:v>P1</x:v>
      </x:c>
      <x:c r="G489" s="14" t="str"/>
      <x:c r="H489" s="14" t="str">
        <x:v>Пілот зараз — Н.15</x:v>
      </x:c>
      <x:c r="I489" s="16" t="n">
        <x:v>5</x:v>
      </x:c>
      <x:c r="J489" s="16" t="n">
        <x:v>5</x:v>
      </x:c>
      <x:c r="K489" s="16" t="n">
        <x:v>5</x:v>
      </x:c>
      <x:c r="L489" s="16" t="n">
        <x:v>1</x:v>
      </x:c>
      <x:c r="M489" s="16" t="n">
        <x:v>5</x:v>
      </x:c>
      <x:c r="N489" s="16" t="n">
        <x:v>5</x:v>
      </x:c>
      <x:c r="O489" s="16" t="n">
        <x:v>5</x:v>
      </x:c>
      <x:c r="P489" s="16" t="n">
        <x:f>IF(COUNT(I489:O489)&lt;7,"",I489*8+J489*3+K489*2+L489*2+M489*2+N489*2+O489)</x:f>
        <x:v>92</x:v>
      </x:c>
      <x:c r="Q489" s="16" t="n">
        <x:f>IF(COUNT(J489:O489)&lt;6,"",J489*5+K489*4+M489*4+L489*3+N489*2+O489*2)</x:f>
        <x:v>88</x:v>
      </x:c>
      <x:c r="R489" s="14" t="str">
        <x:v>high</x:v>
      </x:c>
      <x:c r="S489" s="14" t="str">
        <x:v>official_prozorro_award_2025_2026</x:v>
      </x:c>
      <x:c r="T489" s="14" t="str">
        <x:v>official_prozorro_api</x:v>
      </x:c>
      <x:c r="U489" s="14" t="str">
        <x:v>Не контактували</x:v>
      </x:c>
      <x:c r="V489" s="15" t="str">
        <x:v>Персоналізований free-pilot outreach по UA-2026-08-04-001332-a; попросити 1 пакет Н.14/Н.15</x:v>
      </x:c>
      <x:c r="W489" s="15" t="str">
        <x:v>Власник / директор; керівник ПТО; відповідальний за договори</x:v>
      </x:c>
      <x:c r="X489" s="15" t="str">
        <x:v>1 підтверджених перемог/договорів у Prozorro на 18 488 грн; 1 проєктів зі строком виконання не раніше 24.08.2026.</x:v>
      </x:c>
      <x:c r="Y489" s="15" t="str">
        <x:v>Електромонтажні роботи; строк до 2026-08-31. Попросити один знеособлений пакет здачі за цим workflow.</x:v>
      </x:c>
      <x:c r="Z489" s="15" t="str">
        <x:v>https://prozorro.gov.ua/tender/UA-2026-08-04-001332-a</x:v>
      </x:c>
      <x:c r="AA489" s="14" t="str">
        <x:v>39038953</x:v>
      </x:c>
      <x:c r="AB489" s="14" t="str">
        <x:v>2026-08-24</x:v>
      </x:c>
      <x:c r="AC489" s="14" t="str"/>
      <x:c r="AD489" s="20" t="str"/>
      <x:c r="AE489" s="14" t="str"/>
      <x:c r="AF489" s="14" t="n">
        <x:v>52</x:v>
      </x:c>
      <x:c r="AG489" s="14" t="str">
        <x:v>I3</x:v>
      </x:c>
      <x:c r="AH489" s="14" t="n">
        <x:v>1</x:v>
      </x:c>
      <x:c r="AI489" s="14" t="n">
        <x:v>1</x:v>
      </x:c>
      <x:c r="AJ489" s="18" t="n">
        <x:v>18488.44</x:v>
      </x:c>
      <x:c r="AK489" s="14" t="str">
        <x:v>https://prozorro.gov.ua/tender/UA-2026-08-04-001332-a</x:v>
      </x:c>
      <x:c r="AL489" s="19" t="n">
        <x:v>46238.28746832176</x:v>
      </x:c>
      <x:c r="AM489" s="19" t="n">
        <x:v>46265</x:v>
      </x:c>
      <x:c r="AN489" s="15" t="str">
        <x:v>Електромонтаж</x:v>
      </x:c>
      <x:c r="AO489" s="15" t="str">
        <x:v>not_found_in_top_search</x:v>
      </x:c>
    </x:row>
    <x:row r="490">
      <x:c r="A490" s="14" t="str">
        <x:v>W3-218</x:v>
      </x:c>
      <x:c r="B490" s="14" t="str">
        <x:v>Prozorro winners — 24.08</x:v>
      </x:c>
      <x:c r="C490" s="14" t="str">
        <x:v>Управління капітального будівництва Чернігівської обласної державної адміністрації</x:v>
      </x:c>
      <x:c r="D490" s="14" t="str">
        <x:v>Електромонтаж</x:v>
      </x:c>
      <x:c r="E490" s="14" t="str">
        <x:v>Pilot now</x:v>
      </x:c>
      <x:c r="F490" s="17" t="str">
        <x:f>IF(E490="Pilot now",IF(P490&gt;=84,"P1",IF(P490&gt;=72,"P2","P3")),IF(E490="Expansion discovery",IF(Q490&gt;=88,"D1",IF(Q490&gt;=78,"D2","D3")),IF(E490="Later / requirements","L","Legacy")))</x:f>
        <x:v>P1</x:v>
      </x:c>
      <x:c r="G490" s="14" t="str"/>
      <x:c r="H490" s="14" t="str">
        <x:v>Пілот зараз — Н.15</x:v>
      </x:c>
      <x:c r="I490" s="16" t="n">
        <x:v>5</x:v>
      </x:c>
      <x:c r="J490" s="16" t="n">
        <x:v>5</x:v>
      </x:c>
      <x:c r="K490" s="16" t="n">
        <x:v>5</x:v>
      </x:c>
      <x:c r="L490" s="16" t="n">
        <x:v>1</x:v>
      </x:c>
      <x:c r="M490" s="16" t="n">
        <x:v>5</x:v>
      </x:c>
      <x:c r="N490" s="16" t="n">
        <x:v>5</x:v>
      </x:c>
      <x:c r="O490" s="16" t="n">
        <x:v>5</x:v>
      </x:c>
      <x:c r="P490" s="16" t="n">
        <x:f>IF(COUNT(I490:O490)&lt;7,"",I490*8+J490*3+K490*2+L490*2+M490*2+N490*2+O490)</x:f>
        <x:v>92</x:v>
      </x:c>
      <x:c r="Q490" s="16" t="n">
        <x:f>IF(COUNT(J490:O490)&lt;6,"",J490*5+K490*4+M490*4+L490*3+N490*2+O490*2)</x:f>
        <x:v>88</x:v>
      </x:c>
      <x:c r="R490" s="14" t="str">
        <x:v>high</x:v>
      </x:c>
      <x:c r="S490" s="14" t="str">
        <x:v>official_prozorro_award_2025_2026</x:v>
      </x:c>
      <x:c r="T490" s="14" t="str">
        <x:v>official_prozorro_api</x:v>
      </x:c>
      <x:c r="U490" s="14" t="str">
        <x:v>Не контактували</x:v>
      </x:c>
      <x:c r="V490" s="15" t="str">
        <x:v>Персоналізований free-pilot outreach по UA-2026-08-05-010064-a; попросити 1 пакет Н.14/Н.15</x:v>
      </x:c>
      <x:c r="W490" s="15" t="str">
        <x:v>Власник / директор; керівник ПТО; відповідальний за договори</x:v>
      </x:c>
      <x:c r="X490" s="15" t="str">
        <x:v>1 підтверджених перемог/договорів у Prozorro на 18 284 грн; 1 проєктів зі строком виконання не раніше 24.08.2026.</x:v>
      </x:c>
      <x:c r="Y490" s="15" t="str">
        <x:v>Технічний нагляд за виконанням будівельних робіт на будівництві об’єкта: «Реконструкція електричних мереж комунального некомерційного підприємства «Чернігівська обласна дитяча лікарня» Чернігівської обласної ради шляхом монтажу електрогенеруючої установки для заміщення власного споживання електроенергії номінальною потужністю по інвертору 50 кВт, що встановлюється за адресою: м. Чернігів, вул. Пирогова, 16. Триповерхова будівля головного корпусу А1-3» (код за ДК 021:2015 71520000-9 Послуги з нагляду за виконанням будівельних робіт); строк до 2026-12-31. Попросити один знеособлений пакет здачі за цим workflow.</x:v>
      </x:c>
      <x:c r="Z490" s="15" t="str">
        <x:v>https://prozorro.gov.ua/tender/UA-2026-08-05-010064-a</x:v>
      </x:c>
      <x:c r="AA490" s="14" t="str">
        <x:v>04014246</x:v>
      </x:c>
      <x:c r="AB490" s="14" t="str">
        <x:v>2026-08-24</x:v>
      </x:c>
      <x:c r="AC490" s="14" t="str"/>
      <x:c r="AD490" s="20" t="str"/>
      <x:c r="AE490" s="14" t="str"/>
      <x:c r="AF490" s="14" t="n">
        <x:v>52</x:v>
      </x:c>
      <x:c r="AG490" s="14" t="str">
        <x:v>I3</x:v>
      </x:c>
      <x:c r="AH490" s="14" t="n">
        <x:v>1</x:v>
      </x:c>
      <x:c r="AI490" s="14" t="n">
        <x:v>1</x:v>
      </x:c>
      <x:c r="AJ490" s="18" t="n">
        <x:v>18283.8</x:v>
      </x:c>
      <x:c r="AK490" s="14" t="str">
        <x:v>https://prozorro.gov.ua/tender/UA-2026-08-05-010064-a</x:v>
      </x:c>
      <x:c r="AL490" s="19" t="n">
        <x:v>46239.532290717594</x:v>
      </x:c>
      <x:c r="AM490" s="19" t="n">
        <x:v>46387.57611111111</x:v>
      </x:c>
      <x:c r="AN490" s="15" t="str">
        <x:v>Електромонтаж</x:v>
      </x:c>
      <x:c r="AO490" s="15" t="str">
        <x:v>not_found_in_top_search</x:v>
      </x:c>
    </x:row>
    <x:row r="491">
      <x:c r="A491" s="14" t="str">
        <x:v>W3-219</x:v>
      </x:c>
      <x:c r="B491" s="14" t="str">
        <x:v>Prozorro winners — 24.08</x:v>
      </x:c>
      <x:c r="C491" s="14" t="str">
        <x:v>Товариство з бмеженою відповідальністю  "ГАРАНТ-ПРОЕКТ"</x:v>
      </x:c>
      <x:c r="D491" s="14" t="str">
        <x:v>Водоочищення / очисні споруди</x:v>
      </x:c>
      <x:c r="E491" s="14" t="str">
        <x:v>Expansion discovery</x:v>
      </x:c>
      <x:c r="F491" s="17" t="str">
        <x:f>IF(E491="Pilot now",IF(P491&gt;=84,"P1",IF(P491&gt;=72,"P2","P3")),IF(E491="Expansion discovery",IF(Q491&gt;=88,"D1",IF(Q491&gt;=78,"D2","D3")),IF(E491="Later / requirements","L","Legacy")))</x:f>
        <x:v>D2</x:v>
      </x:c>
      <x:c r="G491" s="14" t="str"/>
      <x:c r="H491" s="14" t="str">
        <x:v>Discovery розширення — 2 тижні</x:v>
      </x:c>
      <x:c r="I491" s="16" t="n">
        <x:v>1</x:v>
      </x:c>
      <x:c r="J491" s="16" t="n">
        <x:v>5</x:v>
      </x:c>
      <x:c r="K491" s="16" t="n">
        <x:v>4</x:v>
      </x:c>
      <x:c r="L491" s="16" t="n">
        <x:v>1</x:v>
      </x:c>
      <x:c r="M491" s="16" t="n">
        <x:v>5</x:v>
      </x:c>
      <x:c r="N491" s="16" t="n">
        <x:v>5</x:v>
      </x:c>
      <x:c r="O491" s="16" t="n">
        <x:v>5</x:v>
      </x:c>
      <x:c r="P491" s="16" t="n">
        <x:f>IF(COUNT(I491:O491)&lt;7,"",I491*8+J491*3+K491*2+L491*2+M491*2+N491*2+O491)</x:f>
        <x:v>58</x:v>
      </x:c>
      <x:c r="Q491" s="16" t="n">
        <x:f>IF(COUNT(J491:O491)&lt;6,"",J491*5+K491*4+M491*4+L491*3+N491*2+O491*2)</x:f>
        <x:v>84</x:v>
      </x:c>
      <x:c r="R491" s="14" t="str">
        <x:v>high</x:v>
      </x:c>
      <x:c r="S491" s="14" t="str">
        <x:v>official_prozorro_award_2025_2026</x:v>
      </x:c>
      <x:c r="T491" s="14" t="str">
        <x:v>official_prozorro_api</x:v>
      </x:c>
      <x:c r="U491" s="14" t="str">
        <x:v>Не контактували</x:v>
      </x:c>
      <x:c r="V491" s="15" t="str">
        <x:v>Workflow-audit outreach по UA-2026-07-22-007284-a; попросити 1 пакет здачі та вимоги проєкту</x:v>
      </x:c>
      <x:c r="W491" s="15" t="str">
        <x:v>Власник / директор; керівник ПТО; відповідальний за договори</x:v>
      </x:c>
      <x:c r="X491" s="15" t="str">
        <x:v>1 підтверджених перемог/договорів у Prozorro на 17 800 грн; 1 проєктів зі строком виконання не раніше 24.08.2026.</x:v>
      </x:c>
      <x:c r="Y491" s="15" t="str">
        <x:v>Авторський нагляд  по обєкту "Реконструкція системи електропостачання (встановлення джерела резервного живлення сонячної електростанції) на будівлі очисних споруд за адресою: вул. Яворницького, 106 м. Сокаль Львівська область"; строк до 2026-12-31. Попросити один знеособлений пакет здачі за цим workflow.</x:v>
      </x:c>
      <x:c r="Z491" s="15" t="str">
        <x:v>https://prozorro.gov.ua/tender/UA-2026-07-22-007284-a</x:v>
      </x:c>
      <x:c r="AA491" s="14" t="str">
        <x:v>40371313</x:v>
      </x:c>
      <x:c r="AB491" s="14" t="str">
        <x:v>2026-08-24</x:v>
      </x:c>
      <x:c r="AC491" s="14" t="str"/>
      <x:c r="AD491" s="20" t="str"/>
      <x:c r="AE491" s="14" t="str"/>
      <x:c r="AF491" s="14" t="n">
        <x:v>52</x:v>
      </x:c>
      <x:c r="AG491" s="14" t="str">
        <x:v>I3</x:v>
      </x:c>
      <x:c r="AH491" s="14" t="n">
        <x:v>1</x:v>
      </x:c>
      <x:c r="AI491" s="14" t="n">
        <x:v>1</x:v>
      </x:c>
      <x:c r="AJ491" s="18" t="n">
        <x:v>17800</x:v>
      </x:c>
      <x:c r="AK491" s="14" t="str">
        <x:v>https://prozorro.gov.ua/tender/UA-2026-07-22-007284-a</x:v>
      </x:c>
      <x:c r="AL491" s="19" t="n">
        <x:v>46225.48594824074</x:v>
      </x:c>
      <x:c r="AM491" s="19" t="n">
        <x:v>46387</x:v>
      </x:c>
      <x:c r="AN491" s="15" t="str">
        <x:v>Водоочищення / очисні споруди</x:v>
      </x:c>
      <x:c r="AO491" s="15" t="str">
        <x:v>not_found_in_top_search</x:v>
      </x:c>
    </x:row>
    <x:row r="492">
      <x:c r="A492" s="14" t="str">
        <x:v>W3-220</x:v>
      </x:c>
      <x:c r="B492" s="14" t="str">
        <x:v>Prozorro winners — 24.08</x:v>
      </x:c>
      <x:c r="C492" s="14" t="str">
        <x:v>ТОВАРИСТВО З ОБМЕЖЕНОЮ ВІДПОВІДАЛЬНІСТЮ "СУЧАСНІ ВИМІРИ ОПОРУ ІЗОЛЯЦІЇ"</x:v>
      </x:c>
      <x:c r="D492" s="14" t="str">
        <x:v>Електромонтаж</x:v>
      </x:c>
      <x:c r="E492" s="14" t="str">
        <x:v>Pilot now</x:v>
      </x:c>
      <x:c r="F492" s="17" t="str">
        <x:f>IF(E492="Pilot now",IF(P492&gt;=84,"P1",IF(P492&gt;=72,"P2","P3")),IF(E492="Expansion discovery",IF(Q492&gt;=88,"D1",IF(Q492&gt;=78,"D2","D3")),IF(E492="Later / requirements","L","Legacy")))</x:f>
        <x:v>P1</x:v>
      </x:c>
      <x:c r="G492" s="14" t="str"/>
      <x:c r="H492" s="14" t="str">
        <x:v>Пілот зараз — Н.15</x:v>
      </x:c>
      <x:c r="I492" s="16" t="n">
        <x:v>5</x:v>
      </x:c>
      <x:c r="J492" s="16" t="n">
        <x:v>5</x:v>
      </x:c>
      <x:c r="K492" s="16" t="n">
        <x:v>5</x:v>
      </x:c>
      <x:c r="L492" s="16" t="n">
        <x:v>1</x:v>
      </x:c>
      <x:c r="M492" s="16" t="n">
        <x:v>5</x:v>
      </x:c>
      <x:c r="N492" s="16" t="n">
        <x:v>5</x:v>
      </x:c>
      <x:c r="O492" s="16" t="n">
        <x:v>5</x:v>
      </x:c>
      <x:c r="P492" s="16" t="n">
        <x:f>IF(COUNT(I492:O492)&lt;7,"",I492*8+J492*3+K492*2+L492*2+M492*2+N492*2+O492)</x:f>
        <x:v>92</x:v>
      </x:c>
      <x:c r="Q492" s="16" t="n">
        <x:f>IF(COUNT(J492:O492)&lt;6,"",J492*5+K492*4+M492*4+L492*3+N492*2+O492*2)</x:f>
        <x:v>88</x:v>
      </x:c>
      <x:c r="R492" s="14" t="str">
        <x:v>high</x:v>
      </x:c>
      <x:c r="S492" s="14" t="str">
        <x:v>official_prozorro_award_2025_2026</x:v>
      </x:c>
      <x:c r="T492" s="14" t="str">
        <x:v>official_prozorro_api</x:v>
      </x:c>
      <x:c r="U492" s="14" t="str">
        <x:v>Не контактували</x:v>
      </x:c>
      <x:c r="V492" s="15" t="str">
        <x:v>Персоналізований free-pilot outreach по UA-2026-07-17-010021-a; попросити 1 пакет Н.14/Н.15</x:v>
      </x:c>
      <x:c r="W492" s="15" t="str">
        <x:v>Власник / директор; керівник ПТО; відповідальний за договори</x:v>
      </x:c>
      <x:c r="X492" s="15" t="str">
        <x:v>1 підтверджених перемог/договорів у Prozorro на 17 000 грн; 1 проєктів зі строком виконання не раніше 24.08.2026.</x:v>
      </x:c>
      <x:c r="Y492" s="15" t="str">
        <x:v>ДК 021:2015: 71630000-3 Послуги з технічного огляду та випробовувань (Комплекс електровимірювальних робіт по заміру опору розтікання на основних заземлювачах, заземленнях магістралей і устаткування, опору ізоляції, перевірки повного опору петлі фаза-нуль за адресою: м. Київ, провулок Куренівський, 4); строк до 2026-12-31. Попросити один знеособлений пакет здачі за цим workflow.</x:v>
      </x:c>
      <x:c r="Z492" s="15" t="str">
        <x:v>https://prozorro.gov.ua/tender/UA-2026-07-17-010021-a</x:v>
      </x:c>
      <x:c r="AA492" s="14" t="str">
        <x:v>40813004</x:v>
      </x:c>
      <x:c r="AB492" s="14" t="str">
        <x:v>2026-08-24</x:v>
      </x:c>
      <x:c r="AC492" s="14" t="str"/>
      <x:c r="AD492" s="20" t="str"/>
      <x:c r="AE492" s="14" t="str"/>
      <x:c r="AF492" s="14" t="n">
        <x:v>52</x:v>
      </x:c>
      <x:c r="AG492" s="14" t="str">
        <x:v>I3</x:v>
      </x:c>
      <x:c r="AH492" s="14" t="n">
        <x:v>1</x:v>
      </x:c>
      <x:c r="AI492" s="14" t="n">
        <x:v>1</x:v>
      </x:c>
      <x:c r="AJ492" s="18" t="n">
        <x:v>17000</x:v>
      </x:c>
      <x:c r="AK492" s="14" t="str">
        <x:v>https://prozorro.gov.ua/tender/UA-2026-07-17-010021-a</x:v>
      </x:c>
      <x:c r="AL492" s="19" t="n">
        <x:v>46220.56454997685</x:v>
      </x:c>
      <x:c r="AM492" s="19" t="n">
        <x:v>46387</x:v>
      </x:c>
      <x:c r="AN492" s="15" t="str">
        <x:v>Електромонтаж</x:v>
      </x:c>
      <x:c r="AO492" s="15" t="str">
        <x:v>not_found_in_top_search</x:v>
      </x:c>
    </x:row>
    <x:row r="493">
      <x:c r="A493" s="14" t="str">
        <x:v>W3-221</x:v>
      </x:c>
      <x:c r="B493" s="14" t="str">
        <x:v>Prozorro winners — 24.08</x:v>
      </x:c>
      <x:c r="C493" s="14" t="str">
        <x:v>АКЦІОНЕРНЕ ТОВАРИСТВО "СУМИОБЛЕНЕРГО"</x:v>
      </x:c>
      <x:c r="D493" s="14" t="str">
        <x:v>Електромонтаж</x:v>
      </x:c>
      <x:c r="E493" s="14" t="str">
        <x:v>Pilot now</x:v>
      </x:c>
      <x:c r="F493" s="17" t="str">
        <x:f>IF(E493="Pilot now",IF(P493&gt;=84,"P1",IF(P493&gt;=72,"P2","P3")),IF(E493="Expansion discovery",IF(Q493&gt;=88,"D1",IF(Q493&gt;=78,"D2","D3")),IF(E493="Later / requirements","L","Legacy")))</x:f>
        <x:v>P1</x:v>
      </x:c>
      <x:c r="G493" s="14" t="str"/>
      <x:c r="H493" s="14" t="str">
        <x:v>Пілот зараз — Н.15</x:v>
      </x:c>
      <x:c r="I493" s="16" t="n">
        <x:v>5</x:v>
      </x:c>
      <x:c r="J493" s="16" t="n">
        <x:v>5</x:v>
      </x:c>
      <x:c r="K493" s="16" t="n">
        <x:v>5</x:v>
      </x:c>
      <x:c r="L493" s="16" t="n">
        <x:v>1</x:v>
      </x:c>
      <x:c r="M493" s="16" t="n">
        <x:v>5</x:v>
      </x:c>
      <x:c r="N493" s="16" t="n">
        <x:v>5</x:v>
      </x:c>
      <x:c r="O493" s="16" t="n">
        <x:v>5</x:v>
      </x:c>
      <x:c r="P493" s="16" t="n">
        <x:f>IF(COUNT(I493:O493)&lt;7,"",I493*8+J493*3+K493*2+L493*2+M493*2+N493*2+O493)</x:f>
        <x:v>92</x:v>
      </x:c>
      <x:c r="Q493" s="16" t="n">
        <x:f>IF(COUNT(J493:O493)&lt;6,"",J493*5+K493*4+M493*4+L493*3+N493*2+O493*2)</x:f>
        <x:v>88</x:v>
      </x:c>
      <x:c r="R493" s="14" t="str">
        <x:v>high</x:v>
      </x:c>
      <x:c r="S493" s="14" t="str">
        <x:v>official_prozorro_award_2025_2026</x:v>
      </x:c>
      <x:c r="T493" s="14" t="str">
        <x:v>official_prozorro_api</x:v>
      </x:c>
      <x:c r="U493" s="14" t="str">
        <x:v>Не контактували</x:v>
      </x:c>
      <x:c r="V493" s="15" t="str">
        <x:v>Персоналізований free-pilot outreach по UA-2026-08-14-000973-a; попросити 1 пакет Н.14/Н.15</x:v>
      </x:c>
      <x:c r="W493" s="15" t="str">
        <x:v>Власник / директор; керівник ПТО; відповідальний за договори</x:v>
      </x:c>
      <x:c r="X493" s="15" t="str">
        <x:v>1 підтверджених перемог/договорів у Prozorro на 16 796 грн; 1 проєктів зі строком виконання не раніше 24.08.2026.</x:v>
      </x:c>
      <x:c r="Y493" s="15" t="str">
        <x:v>Електромонтажні роботи; строк до 2026-12-31. Попросити один знеособлений пакет здачі за цим workflow.</x:v>
      </x:c>
      <x:c r="Z493" s="15" t="str">
        <x:v>https://prozorro.gov.ua/tender/UA-2026-08-14-000973-a</x:v>
      </x:c>
      <x:c r="AA493" s="14" t="str">
        <x:v>23293513</x:v>
      </x:c>
      <x:c r="AB493" s="14" t="str">
        <x:v>2026-08-24</x:v>
      </x:c>
      <x:c r="AC493" s="14" t="str"/>
      <x:c r="AD493" s="20" t="str"/>
      <x:c r="AE493" s="14" t="str"/>
      <x:c r="AF493" s="14" t="n">
        <x:v>52</x:v>
      </x:c>
      <x:c r="AG493" s="14" t="str">
        <x:v>I3</x:v>
      </x:c>
      <x:c r="AH493" s="14" t="n">
        <x:v>1</x:v>
      </x:c>
      <x:c r="AI493" s="14" t="n">
        <x:v>1</x:v>
      </x:c>
      <x:c r="AJ493" s="18" t="n">
        <x:v>16796.16</x:v>
      </x:c>
      <x:c r="AK493" s="14" t="str">
        <x:v>https://prozorro.gov.ua/tender/UA-2026-08-14-000973-a</x:v>
      </x:c>
      <x:c r="AL493" s="19" t="n">
        <x:v>46248.270068287035</x:v>
      </x:c>
      <x:c r="AM493" s="19" t="n">
        <x:v>46387</x:v>
      </x:c>
      <x:c r="AN493" s="15" t="str">
        <x:v>Електромонтаж</x:v>
      </x:c>
      <x:c r="AO493" s="15" t="str">
        <x:v>not_found_in_top_search</x:v>
      </x:c>
    </x:row>
    <x:row r="494">
      <x:c r="A494" s="14" t="str">
        <x:v>W3-222</x:v>
      </x:c>
      <x:c r="B494" s="14" t="str">
        <x:v>Prozorro winners — 24.08</x:v>
      </x:c>
      <x:c r="C494" s="14" t="str">
        <x:v>ТОВАРИСТВО З ОБМЕЖЕНОЮ ВІДПОВІДАЛЬНІСТЮ "Сервіс-Енерго ГП"</x:v>
      </x:c>
      <x:c r="D494" s="14" t="str">
        <x:v>Резервне живлення</x:v>
      </x:c>
      <x:c r="E494" s="14" t="str">
        <x:v>Expansion discovery</x:v>
      </x:c>
      <x:c r="F494" s="17" t="str">
        <x:f>IF(E494="Pilot now",IF(P494&gt;=84,"P1",IF(P494&gt;=72,"P2","P3")),IF(E494="Expansion discovery",IF(Q494&gt;=88,"D1",IF(Q494&gt;=78,"D2","D3")),IF(E494="Later / requirements","L","Legacy")))</x:f>
        <x:v>D2</x:v>
      </x:c>
      <x:c r="G494" s="14" t="str"/>
      <x:c r="H494" s="14" t="str">
        <x:v>Discovery розширення — 2 тижні</x:v>
      </x:c>
      <x:c r="I494" s="16" t="n">
        <x:v>1</x:v>
      </x:c>
      <x:c r="J494" s="16" t="n">
        <x:v>5</x:v>
      </x:c>
      <x:c r="K494" s="16" t="n">
        <x:v>4</x:v>
      </x:c>
      <x:c r="L494" s="16" t="n">
        <x:v>1</x:v>
      </x:c>
      <x:c r="M494" s="16" t="n">
        <x:v>5</x:v>
      </x:c>
      <x:c r="N494" s="16" t="n">
        <x:v>5</x:v>
      </x:c>
      <x:c r="O494" s="16" t="n">
        <x:v>5</x:v>
      </x:c>
      <x:c r="P494" s="16" t="n">
        <x:f>IF(COUNT(I494:O494)&lt;7,"",I494*8+J494*3+K494*2+L494*2+M494*2+N494*2+O494)</x:f>
        <x:v>58</x:v>
      </x:c>
      <x:c r="Q494" s="16" t="n">
        <x:f>IF(COUNT(J494:O494)&lt;6,"",J494*5+K494*4+M494*4+L494*3+N494*2+O494*2)</x:f>
        <x:v>84</x:v>
      </x:c>
      <x:c r="R494" s="14" t="str">
        <x:v>high</x:v>
      </x:c>
      <x:c r="S494" s="14" t="str">
        <x:v>official_prozorro_award_2025_2026</x:v>
      </x:c>
      <x:c r="T494" s="14" t="str">
        <x:v>official_prozorro_api</x:v>
      </x:c>
      <x:c r="U494" s="14" t="str">
        <x:v>Не контактували</x:v>
      </x:c>
      <x:c r="V494" s="15" t="str">
        <x:v>Workflow-audit outreach по UA-2026-08-12-008128-a; попросити 1 пакет здачі та вимоги проєкту</x:v>
      </x:c>
      <x:c r="W494" s="15" t="str">
        <x:v>Власник / директор; керівник ПТО; відповідальний за договори</x:v>
      </x:c>
      <x:c r="X494" s="15" t="str">
        <x:v>1 підтверджених перемог/договорів у Prozorro на 15 000 грн; 1 проєктів зі строком виконання не раніше 24.08.2026.</x:v>
      </x:c>
      <x:c r="Y494" s="15" t="str">
        <x:v>Послуги з монтажу системи безперебійного живлення ; строк до 2026-12-31. Попросити один знеособлений пакет здачі за цим workflow.</x:v>
      </x:c>
      <x:c r="Z494" s="15" t="str">
        <x:v>https://prozorro.gov.ua/tender/UA-2026-08-12-008128-a</x:v>
      </x:c>
      <x:c r="AA494" s="14" t="str">
        <x:v>45230840</x:v>
      </x:c>
      <x:c r="AB494" s="14" t="str">
        <x:v>2026-08-24</x:v>
      </x:c>
      <x:c r="AC494" s="14" t="str"/>
      <x:c r="AD494" s="20" t="str"/>
      <x:c r="AE494" s="14" t="str"/>
      <x:c r="AF494" s="14" t="n">
        <x:v>52</x:v>
      </x:c>
      <x:c r="AG494" s="14" t="str">
        <x:v>I3</x:v>
      </x:c>
      <x:c r="AH494" s="14" t="n">
        <x:v>1</x:v>
      </x:c>
      <x:c r="AI494" s="14" t="n">
        <x:v>1</x:v>
      </x:c>
      <x:c r="AJ494" s="18" t="n">
        <x:v>15000</x:v>
      </x:c>
      <x:c r="AK494" s="14" t="str">
        <x:v>https://prozorro.gov.ua/tender/UA-2026-08-12-008128-a</x:v>
      </x:c>
      <x:c r="AL494" s="19" t="n">
        <x:v>46246.497839027776</x:v>
      </x:c>
      <x:c r="AM494" s="19" t="n">
        <x:v>46387</x:v>
      </x:c>
      <x:c r="AN494" s="15" t="str">
        <x:v>Резервне живлення</x:v>
      </x:c>
      <x:c r="AO494" s="15" t="str">
        <x:v>not_found_in_top_search</x:v>
      </x:c>
    </x:row>
    <x:row r="495">
      <x:c r="A495" s="14" t="str">
        <x:v>W3-223</x:v>
      </x:c>
      <x:c r="B495" s="14" t="str">
        <x:v>Prozorro winners — 24.08</x:v>
      </x:c>
      <x:c r="C495" s="14" t="str">
        <x:v>ТОВАРИСТВО З ОБМЕЖЕНОЮ ВІДПОВІДАЛЬНІСТЮ "АКРО ІНЖИНІРИНГ"</x:v>
      </x:c>
      <x:c r="D495" s="14" t="str">
        <x:v>Пожежогасіння</x:v>
      </x:c>
      <x:c r="E495" s="14" t="str">
        <x:v>Expansion discovery</x:v>
      </x:c>
      <x:c r="F495" s="17" t="str">
        <x:f>IF(E495="Pilot now",IF(P495&gt;=84,"P1",IF(P495&gt;=72,"P2","P3")),IF(E495="Expansion discovery",IF(Q495&gt;=88,"D1",IF(Q495&gt;=78,"D2","D3")),IF(E495="Later / requirements","L","Legacy")))</x:f>
        <x:v>D2</x:v>
      </x:c>
      <x:c r="G495" s="14" t="str"/>
      <x:c r="H495" s="14" t="str">
        <x:v>Discovery розширення — 2 тижні</x:v>
      </x:c>
      <x:c r="I495" s="16" t="n">
        <x:v>1</x:v>
      </x:c>
      <x:c r="J495" s="16" t="n">
        <x:v>5</x:v>
      </x:c>
      <x:c r="K495" s="16" t="n">
        <x:v>4</x:v>
      </x:c>
      <x:c r="L495" s="16" t="n">
        <x:v>1</x:v>
      </x:c>
      <x:c r="M495" s="16" t="n">
        <x:v>5</x:v>
      </x:c>
      <x:c r="N495" s="16" t="n">
        <x:v>5</x:v>
      </x:c>
      <x:c r="O495" s="16" t="n">
        <x:v>5</x:v>
      </x:c>
      <x:c r="P495" s="16" t="n">
        <x:f>IF(COUNT(I495:O495)&lt;7,"",I495*8+J495*3+K495*2+L495*2+M495*2+N495*2+O495)</x:f>
        <x:v>58</x:v>
      </x:c>
      <x:c r="Q495" s="16" t="n">
        <x:f>IF(COUNT(J495:O495)&lt;6,"",J495*5+K495*4+M495*4+L495*3+N495*2+O495*2)</x:f>
        <x:v>84</x:v>
      </x:c>
      <x:c r="R495" s="14" t="str">
        <x:v>high</x:v>
      </x:c>
      <x:c r="S495" s="14" t="str">
        <x:v>official_prozorro_award_2025_2026</x:v>
      </x:c>
      <x:c r="T495" s="14" t="str">
        <x:v>official_prozorro_api</x:v>
      </x:c>
      <x:c r="U495" s="14" t="str">
        <x:v>Не контактували</x:v>
      </x:c>
      <x:c r="V495" s="15" t="str">
        <x:v>Workflow-audit outreach по UA-2026-08-12-005434-a; попросити 1 пакет здачі та вимоги проєкту</x:v>
      </x:c>
      <x:c r="W495" s="15" t="str">
        <x:v>Власник / директор; керівник ПТО; відповідальний за договори</x:v>
      </x:c>
      <x:c r="X495" s="15" t="str">
        <x:v>1 підтверджених перемог/договорів у Prozorro на 12 450 грн; 1 проєктів зі строком виконання не раніше 24.08.2026.</x:v>
      </x:c>
      <x:c r="Y495" s="15" t="str">
        <x:v>Послуги з виготовлення проектно – кошторисної документації монтажу системи пожежної сигналізації та керування евакуюванням будівлі №17/53; строк до 2026-09-25. Попросити один знеособлений пакет здачі за цим workflow.</x:v>
      </x:c>
      <x:c r="Z495" s="15" t="str">
        <x:v>https://prozorro.gov.ua/tender/UA-2026-08-12-005434-a</x:v>
      </x:c>
      <x:c r="AA495" s="14" t="str">
        <x:v>42590106</x:v>
      </x:c>
      <x:c r="AB495" s="14" t="str">
        <x:v>2026-08-24</x:v>
      </x:c>
      <x:c r="AC495" s="14" t="str"/>
      <x:c r="AD495" s="20" t="str"/>
      <x:c r="AE495" s="14" t="str"/>
      <x:c r="AF495" s="14" t="n">
        <x:v>52</x:v>
      </x:c>
      <x:c r="AG495" s="14" t="str">
        <x:v>I3</x:v>
      </x:c>
      <x:c r="AH495" s="14" t="n">
        <x:v>1</x:v>
      </x:c>
      <x:c r="AI495" s="14" t="n">
        <x:v>1</x:v>
      </x:c>
      <x:c r="AJ495" s="18" t="n">
        <x:v>12450</x:v>
      </x:c>
      <x:c r="AK495" s="14" t="str">
        <x:v>https://prozorro.gov.ua/tender/UA-2026-08-12-005434-a</x:v>
      </x:c>
      <x:c r="AL495" s="19" t="n">
        <x:v>46255.494910104164</x:v>
      </x:c>
      <x:c r="AM495" s="19" t="n">
        <x:v>46290</x:v>
      </x:c>
      <x:c r="AN495" s="15" t="str">
        <x:v>Пожежогасіння</x:v>
      </x:c>
      <x:c r="AO495" s="15" t="str">
        <x:v>not_found_in_top_search</x:v>
      </x:c>
    </x:row>
    <x:row r="496">
      <x:c r="A496" s="14" t="str">
        <x:v>W3-224</x:v>
      </x:c>
      <x:c r="B496" s="14" t="str">
        <x:v>Prozorro winners — 24.08</x:v>
      </x:c>
      <x:c r="C496" s="14" t="str">
        <x:v>ТОВ "КСК ІНЖИНІРИНГ"</x:v>
      </x:c>
      <x:c r="D496" s="14" t="str">
        <x:v>Електромонтаж</x:v>
      </x:c>
      <x:c r="E496" s="14" t="str">
        <x:v>Pilot now</x:v>
      </x:c>
      <x:c r="F496" s="17" t="str">
        <x:f>IF(E496="Pilot now",IF(P496&gt;=84,"P1",IF(P496&gt;=72,"P2","P3")),IF(E496="Expansion discovery",IF(Q496&gt;=88,"D1",IF(Q496&gt;=78,"D2","D3")),IF(E496="Later / requirements","L","Legacy")))</x:f>
        <x:v>P1</x:v>
      </x:c>
      <x:c r="G496" s="14" t="str"/>
      <x:c r="H496" s="14" t="str">
        <x:v>Пілот зараз — Н.15</x:v>
      </x:c>
      <x:c r="I496" s="16" t="n">
        <x:v>5</x:v>
      </x:c>
      <x:c r="J496" s="16" t="n">
        <x:v>5</x:v>
      </x:c>
      <x:c r="K496" s="16" t="n">
        <x:v>5</x:v>
      </x:c>
      <x:c r="L496" s="16" t="n">
        <x:v>1</x:v>
      </x:c>
      <x:c r="M496" s="16" t="n">
        <x:v>5</x:v>
      </x:c>
      <x:c r="N496" s="16" t="n">
        <x:v>5</x:v>
      </x:c>
      <x:c r="O496" s="16" t="n">
        <x:v>5</x:v>
      </x:c>
      <x:c r="P496" s="16" t="n">
        <x:f>IF(COUNT(I496:O496)&lt;7,"",I496*8+J496*3+K496*2+L496*2+M496*2+N496*2+O496)</x:f>
        <x:v>92</x:v>
      </x:c>
      <x:c r="Q496" s="16" t="n">
        <x:f>IF(COUNT(J496:O496)&lt;6,"",J496*5+K496*4+M496*4+L496*3+N496*2+O496*2)</x:f>
        <x:v>88</x:v>
      </x:c>
      <x:c r="R496" s="14" t="str">
        <x:v>high</x:v>
      </x:c>
      <x:c r="S496" s="14" t="str">
        <x:v>official_prozorro_award_2025_2026</x:v>
      </x:c>
      <x:c r="T496" s="14" t="str">
        <x:v>official_prozorro_api</x:v>
      </x:c>
      <x:c r="U496" s="14" t="str">
        <x:v>Не контактували</x:v>
      </x:c>
      <x:c r="V496" s="15" t="str">
        <x:v>Персоналізований free-pilot outreach по UA-2026-07-22-004999-a; попросити 1 пакет Н.14/Н.15</x:v>
      </x:c>
      <x:c r="W496" s="15" t="str">
        <x:v>Власник / директор; керівник ПТО; відповідальний за договори</x:v>
      </x:c>
      <x:c r="X496" s="15" t="str">
        <x:v>1 підтверджених перемог/договорів у Prozorro на 9 185 грн; 1 проєктів зі строком виконання не раніше 24.08.2026.</x:v>
      </x:c>
      <x:c r="Y496" s="15" t="str">
        <x:v>Електромонтажні роботи; строк до 2026-12-31. Попросити один знеособлений пакет здачі за цим workflow.</x:v>
      </x:c>
      <x:c r="Z496" s="15" t="str">
        <x:v>https://prozorro.gov.ua/tender/UA-2026-07-22-004999-a</x:v>
      </x:c>
      <x:c r="AA496" s="14" t="str">
        <x:v>43984787</x:v>
      </x:c>
      <x:c r="AB496" s="14" t="str">
        <x:v>2026-08-24</x:v>
      </x:c>
      <x:c r="AC496" s="14" t="str"/>
      <x:c r="AD496" s="20" t="str"/>
      <x:c r="AE496" s="14" t="str"/>
      <x:c r="AF496" s="14" t="n">
        <x:v>52</x:v>
      </x:c>
      <x:c r="AG496" s="14" t="str">
        <x:v>I3</x:v>
      </x:c>
      <x:c r="AH496" s="14" t="n">
        <x:v>1</x:v>
      </x:c>
      <x:c r="AI496" s="14" t="n">
        <x:v>1</x:v>
      </x:c>
      <x:c r="AJ496" s="18" t="n">
        <x:v>9185</x:v>
      </x:c>
      <x:c r="AK496" s="14" t="str">
        <x:v>https://prozorro.gov.ua/tender/UA-2026-07-22-004999-a</x:v>
      </x:c>
      <x:c r="AL496" s="19" t="n">
        <x:v>46225.40387611111</x:v>
      </x:c>
      <x:c r="AM496" s="19" t="n">
        <x:v>46387.447118055556</x:v>
      </x:c>
      <x:c r="AN496" s="15" t="str">
        <x:v>Електромонтаж</x:v>
      </x:c>
      <x:c r="AO496" s="15" t="str">
        <x:v>not_found_in_top_search</x:v>
      </x:c>
    </x:row>
    <x:row r="497">
      <x:c r="A497" s="14" t="str">
        <x:v>W3-225</x:v>
      </x:c>
      <x:c r="B497" s="14" t="str">
        <x:v>Prozorro winners — 24.08</x:v>
      </x:c>
      <x:c r="C497" s="14" t="str">
        <x:v>ТОВАРИСТВО З ОБМЕЖЕНОЮ ВІДПОВІДАЛЬНІСТЮ "АРХБІТР"</x:v>
      </x:c>
      <x:c r="D497" s="14" t="str">
        <x:v>Водоочищення / очисні споруди</x:v>
      </x:c>
      <x:c r="E497" s="14" t="str">
        <x:v>Expansion discovery</x:v>
      </x:c>
      <x:c r="F497" s="17" t="str">
        <x:f>IF(E497="Pilot now",IF(P497&gt;=84,"P1",IF(P497&gt;=72,"P2","P3")),IF(E497="Expansion discovery",IF(Q497&gt;=88,"D1",IF(Q497&gt;=78,"D2","D3")),IF(E497="Later / requirements","L","Legacy")))</x:f>
        <x:v>D2</x:v>
      </x:c>
      <x:c r="G497" s="14" t="str"/>
      <x:c r="H497" s="14" t="str">
        <x:v>Discovery розширення — 2 тижні</x:v>
      </x:c>
      <x:c r="I497" s="16" t="n">
        <x:v>1</x:v>
      </x:c>
      <x:c r="J497" s="16" t="n">
        <x:v>5</x:v>
      </x:c>
      <x:c r="K497" s="16" t="n">
        <x:v>4</x:v>
      </x:c>
      <x:c r="L497" s="16" t="n">
        <x:v>1</x:v>
      </x:c>
      <x:c r="M497" s="16" t="n">
        <x:v>5</x:v>
      </x:c>
      <x:c r="N497" s="16" t="n">
        <x:v>5</x:v>
      </x:c>
      <x:c r="O497" s="16" t="n">
        <x:v>5</x:v>
      </x:c>
      <x:c r="P497" s="16" t="n">
        <x:f>IF(COUNT(I497:O497)&lt;7,"",I497*8+J497*3+K497*2+L497*2+M497*2+N497*2+O497)</x:f>
        <x:v>58</x:v>
      </x:c>
      <x:c r="Q497" s="16" t="n">
        <x:f>IF(COUNT(J497:O497)&lt;6,"",J497*5+K497*4+M497*4+L497*3+N497*2+O497*2)</x:f>
        <x:v>84</x:v>
      </x:c>
      <x:c r="R497" s="14" t="str">
        <x:v>high</x:v>
      </x:c>
      <x:c r="S497" s="14" t="str">
        <x:v>official_prozorro_award_2025_2026</x:v>
      </x:c>
      <x:c r="T497" s="14" t="str">
        <x:v>official_prozorro_api</x:v>
      </x:c>
      <x:c r="U497" s="14" t="str">
        <x:v>Не контактували</x:v>
      </x:c>
      <x:c r="V497" s="15" t="str">
        <x:v>Workflow-audit outreach по UA-2026-08-18-002041-a; попросити 1 пакет здачі та вимоги проєкту</x:v>
      </x:c>
      <x:c r="W497" s="15" t="str">
        <x:v>Власник / директор; керівник ПТО; відповідальний за договори</x:v>
      </x:c>
      <x:c r="X497" s="15" t="str">
        <x:v>1 підтверджених перемог/договорів у Prozorro на 9 000 грн; 1 проєктів зі строком виконання не раніше 24.08.2026.</x:v>
      </x:c>
      <x:c r="Y497" s="15" t="str">
        <x:v>Проведення експертної оцінки кошторисної частини по об'єкту "Реконструкція будівлі матеріального складу цеху очисних споруд КП ДОР "Аульський водовід" (інв. №14) за адресою: Комплекс будівель та споруд №2, селище Аули, Кам'янський район, Дніпропетровська область, в частині влаштування сонячної електростанції з піковою потужністю 78,74 кВт-пік на даху будівлі" (ДК 021:2015 – 71319000-7 - Експертні послуги); строк до 2026-12-31. Попросити один знеособлений пакет здачі за цим workflow.</x:v>
      </x:c>
      <x:c r="Z497" s="15" t="str">
        <x:v>https://prozorro.gov.ua/tender/UA-2026-08-18-002041-a</x:v>
      </x:c>
      <x:c r="AA497" s="14" t="str">
        <x:v>46058837</x:v>
      </x:c>
      <x:c r="AB497" s="14" t="str">
        <x:v>2026-08-24</x:v>
      </x:c>
      <x:c r="AC497" s="14" t="str"/>
      <x:c r="AD497" s="20" t="str"/>
      <x:c r="AE497" s="14" t="str"/>
      <x:c r="AF497" s="14" t="n">
        <x:v>52</x:v>
      </x:c>
      <x:c r="AG497" s="14" t="str">
        <x:v>I3</x:v>
      </x:c>
      <x:c r="AH497" s="14" t="n">
        <x:v>1</x:v>
      </x:c>
      <x:c r="AI497" s="14" t="n">
        <x:v>1</x:v>
      </x:c>
      <x:c r="AJ497" s="18" t="n">
        <x:v>9000</x:v>
      </x:c>
      <x:c r="AK497" s="14" t="str">
        <x:v>https://prozorro.gov.ua/tender/UA-2026-08-18-002041-a</x:v>
      </x:c>
      <x:c r="AL497" s="19" t="n">
        <x:v>46252.30834361111</x:v>
      </x:c>
      <x:c r="AM497" s="19" t="n">
        <x:v>46387</x:v>
      </x:c>
      <x:c r="AN497" s="15" t="str">
        <x:v>Водоочищення / очисні споруди</x:v>
      </x:c>
      <x:c r="AO497" s="15" t="str">
        <x:v>not_found_in_top_search</x:v>
      </x:c>
    </x:row>
    <x:row r="498">
      <x:c r="A498" s="14" t="str">
        <x:v>W3-226</x:v>
      </x:c>
      <x:c r="B498" s="14" t="str">
        <x:v>Prozorro winners — 24.08</x:v>
      </x:c>
      <x:c r="C498" s="14" t="str">
        <x:v>Рівненська філія Державного підприємства Український державний науково-дослідний інститут проектування міст "ДІПРОМІСТО" імені Ю.М.Білоконя</x:v>
      </x:c>
      <x:c r="D498" s="14" t="str">
        <x:v>Мости / інфраструктура</x:v>
      </x:c>
      <x:c r="E498" s="14" t="str">
        <x:v>Expansion discovery</x:v>
      </x:c>
      <x:c r="F498" s="17" t="str">
        <x:f>IF(E498="Pilot now",IF(P498&gt;=84,"P1",IF(P498&gt;=72,"P2","P3")),IF(E498="Expansion discovery",IF(Q498&gt;=88,"D1",IF(Q498&gt;=78,"D2","D3")),IF(E498="Later / requirements","L","Legacy")))</x:f>
        <x:v>D2</x:v>
      </x:c>
      <x:c r="G498" s="14" t="str"/>
      <x:c r="H498" s="14" t="str">
        <x:v>Discovery розширення — 2 тижні</x:v>
      </x:c>
      <x:c r="I498" s="16" t="n">
        <x:v>1</x:v>
      </x:c>
      <x:c r="J498" s="16" t="n">
        <x:v>5</x:v>
      </x:c>
      <x:c r="K498" s="16" t="n">
        <x:v>4</x:v>
      </x:c>
      <x:c r="L498" s="16" t="n">
        <x:v>1</x:v>
      </x:c>
      <x:c r="M498" s="16" t="n">
        <x:v>5</x:v>
      </x:c>
      <x:c r="N498" s="16" t="n">
        <x:v>5</x:v>
      </x:c>
      <x:c r="O498" s="16" t="n">
        <x:v>5</x:v>
      </x:c>
      <x:c r="P498" s="16" t="n">
        <x:f>IF(COUNT(I498:O498)&lt;7,"",I498*8+J498*3+K498*2+L498*2+M498*2+N498*2+O498)</x:f>
        <x:v>58</x:v>
      </x:c>
      <x:c r="Q498" s="16" t="n">
        <x:f>IF(COUNT(J498:O498)&lt;6,"",J498*5+K498*4+M498*4+L498*3+N498*2+O498*2)</x:f>
        <x:v>84</x:v>
      </x:c>
      <x:c r="R498" s="14" t="str">
        <x:v>high</x:v>
      </x:c>
      <x:c r="S498" s="14" t="str">
        <x:v>official_prozorro_award_2025_2026</x:v>
      </x:c>
      <x:c r="T498" s="14" t="str">
        <x:v>official_prozorro_api</x:v>
      </x:c>
      <x:c r="U498" s="14" t="str">
        <x:v>Не контактували</x:v>
      </x:c>
      <x:c r="V498" s="15" t="str">
        <x:v>Workflow-audit outreach по UA-2026-08-21-004480-a; попросити 1 пакет здачі та вимоги проєкту</x:v>
      </x:c>
      <x:c r="W498" s="15" t="str">
        <x:v>Власник / директор; керівник ПТО; відповідальний за договори</x:v>
      </x:c>
      <x:c r="X498" s="15" t="str">
        <x:v>1 підтверджених перемог/договорів у Prozorro на 8 280 грн; 1 проєктів зі строком виконання не раніше 24.08.2026.</x:v>
      </x:c>
      <x:c r="Y498" s="15" t="str">
        <x:v>Авторський нагляд по об’єкту: «Капітальний ремонт пішохідного мосту через річку Устя в районі стадіону «Авангард» у місті Рівному»; строк до 2027-12-31. Попросити один знеособлений пакет здачі за цим workflow.</x:v>
      </x:c>
      <x:c r="Z498" s="15" t="str">
        <x:v>https://prozorro.gov.ua/tender/UA-2026-08-21-004480-a</x:v>
      </x:c>
      <x:c r="AA498" s="14" t="str">
        <x:v>02498085</x:v>
      </x:c>
      <x:c r="AB498" s="14" t="str">
        <x:v>2026-08-24</x:v>
      </x:c>
      <x:c r="AC498" s="14" t="str"/>
      <x:c r="AD498" s="20" t="str"/>
      <x:c r="AE498" s="14" t="str"/>
      <x:c r="AF498" s="14" t="n">
        <x:v>52</x:v>
      </x:c>
      <x:c r="AG498" s="14" t="str">
        <x:v>I3</x:v>
      </x:c>
      <x:c r="AH498" s="14" t="n">
        <x:v>1</x:v>
      </x:c>
      <x:c r="AI498" s="14" t="n">
        <x:v>1</x:v>
      </x:c>
      <x:c r="AJ498" s="18" t="n">
        <x:v>8280</x:v>
      </x:c>
      <x:c r="AK498" s="14" t="str">
        <x:v>https://prozorro.gov.ua/tender/UA-2026-08-21-004480-a</x:v>
      </x:c>
      <x:c r="AL498" s="19" t="n">
        <x:v>46255.358828206015</x:v>
      </x:c>
      <x:c r="AM498" s="19" t="n">
        <x:v>46752</x:v>
      </x:c>
      <x:c r="AN498" s="15" t="str">
        <x:v>Мости / інфраструктура</x:v>
      </x:c>
      <x:c r="AO498" s="15" t="str">
        <x:v>not_found_in_top_search</x:v>
      </x:c>
    </x:row>
    <x:row r="499">
      <x:c r="A499" s="14" t="str">
        <x:v>W3-227</x:v>
      </x:c>
      <x:c r="B499" s="14" t="str">
        <x:v>Prozorro winners — 24.08</x:v>
      </x:c>
      <x:c r="C499" s="14" t="str">
        <x:v>ТОВАРИСТВО З ОБМЕЖЕНОЮ ВІДПОВІДАЛЬНІСТЮ "ПОЖЗАБЕСПЕЧЕННЯ"</x:v>
      </x:c>
      <x:c r="D499" s="14" t="str">
        <x:v>Електромонтаж</x:v>
      </x:c>
      <x:c r="E499" s="14" t="str">
        <x:v>Pilot now</x:v>
      </x:c>
      <x:c r="F499" s="17" t="str">
        <x:f>IF(E499="Pilot now",IF(P499&gt;=84,"P1",IF(P499&gt;=72,"P2","P3")),IF(E499="Expansion discovery",IF(Q499&gt;=88,"D1",IF(Q499&gt;=78,"D2","D3")),IF(E499="Later / requirements","L","Legacy")))</x:f>
        <x:v>P1</x:v>
      </x:c>
      <x:c r="G499" s="14" t="str"/>
      <x:c r="H499" s="14" t="str">
        <x:v>Пілот зараз — Н.15</x:v>
      </x:c>
      <x:c r="I499" s="16" t="n">
        <x:v>5</x:v>
      </x:c>
      <x:c r="J499" s="16" t="n">
        <x:v>5</x:v>
      </x:c>
      <x:c r="K499" s="16" t="n">
        <x:v>5</x:v>
      </x:c>
      <x:c r="L499" s="16" t="n">
        <x:v>1</x:v>
      </x:c>
      <x:c r="M499" s="16" t="n">
        <x:v>5</x:v>
      </x:c>
      <x:c r="N499" s="16" t="n">
        <x:v>5</x:v>
      </x:c>
      <x:c r="O499" s="16" t="n">
        <x:v>5</x:v>
      </x:c>
      <x:c r="P499" s="16" t="n">
        <x:f>IF(COUNT(I499:O499)&lt;7,"",I499*8+J499*3+K499*2+L499*2+M499*2+N499*2+O499)</x:f>
        <x:v>92</x:v>
      </x:c>
      <x:c r="Q499" s="16" t="n">
        <x:f>IF(COUNT(J499:O499)&lt;6,"",J499*5+K499*4+M499*4+L499*3+N499*2+O499*2)</x:f>
        <x:v>88</x:v>
      </x:c>
      <x:c r="R499" s="14" t="str">
        <x:v>high</x:v>
      </x:c>
      <x:c r="S499" s="14" t="str">
        <x:v>official_prozorro_award_2025_2026</x:v>
      </x:c>
      <x:c r="T499" s="14" t="str">
        <x:v>official_prozorro_api</x:v>
      </x:c>
      <x:c r="U499" s="14" t="str">
        <x:v>Не контактували</x:v>
      </x:c>
      <x:c r="V499" s="15" t="str">
        <x:v>Персоналізований free-pilot outreach по UA-2026-08-06-005253-a; попросити 1 пакет Н.14/Н.15</x:v>
      </x:c>
      <x:c r="W499" s="15" t="str">
        <x:v>Власник / директор; керівник ПТО; відповідальний за договори</x:v>
      </x:c>
      <x:c r="X499" s="15" t="str">
        <x:v>1 підтверджених перемог/договорів у Prozorro на 7 805 грн; 1 проєктів зі строком виконання не раніше 24.08.2026.</x:v>
      </x:c>
      <x:c r="Y499" s="15" t="str">
        <x:v>Електромонтажні роботи; строк до 2026-08-31. Попросити один знеособлений пакет здачі за цим workflow.</x:v>
      </x:c>
      <x:c r="Z499" s="15" t="str">
        <x:v>https://prozorro.gov.ua/tender/UA-2026-08-06-005253-a</x:v>
      </x:c>
      <x:c r="AA499" s="14" t="str">
        <x:v>31946570</x:v>
      </x:c>
      <x:c r="AB499" s="14" t="str">
        <x:v>2026-08-24</x:v>
      </x:c>
      <x:c r="AC499" s="14" t="str"/>
      <x:c r="AD499" s="20" t="str"/>
      <x:c r="AE499" s="14" t="str"/>
      <x:c r="AF499" s="14" t="n">
        <x:v>52</x:v>
      </x:c>
      <x:c r="AG499" s="14" t="str">
        <x:v>I3</x:v>
      </x:c>
      <x:c r="AH499" s="14" t="n">
        <x:v>1</x:v>
      </x:c>
      <x:c r="AI499" s="14" t="n">
        <x:v>1</x:v>
      </x:c>
      <x:c r="AJ499" s="18" t="n">
        <x:v>7805.28</x:v>
      </x:c>
      <x:c r="AK499" s="14" t="str">
        <x:v>https://prozorro.gov.ua/tender/UA-2026-08-06-005253-a</x:v>
      </x:c>
      <x:c r="AL499" s="19" t="n">
        <x:v>46240.4004334375</x:v>
      </x:c>
      <x:c r="AM499" s="19" t="n">
        <x:v>46265</x:v>
      </x:c>
      <x:c r="AN499" s="15" t="str">
        <x:v>Електромонтаж</x:v>
      </x:c>
      <x:c r="AO499" s="15" t="str">
        <x:v>not_found_in_top_search</x:v>
      </x:c>
    </x:row>
    <x:row r="500">
      <x:c r="A500" s="14" t="str">
        <x:v>W3-228</x:v>
      </x:c>
      <x:c r="B500" s="14" t="str">
        <x:v>Prozorro winners — 24.08</x:v>
      </x:c>
      <x:c r="C500" s="14" t="str">
        <x:v>АКЦІОНЕРНЕ ТОВАРИСТВО "ХМЕЛЬНИЦЬКОБЛЕНЕРГО"</x:v>
      </x:c>
      <x:c r="D500" s="14" t="str">
        <x:v>Електромонтаж</x:v>
      </x:c>
      <x:c r="E500" s="14" t="str">
        <x:v>Pilot now</x:v>
      </x:c>
      <x:c r="F500" s="17" t="str">
        <x:f>IF(E500="Pilot now",IF(P500&gt;=84,"P1",IF(P500&gt;=72,"P2","P3")),IF(E500="Expansion discovery",IF(Q500&gt;=88,"D1",IF(Q500&gt;=78,"D2","D3")),IF(E500="Later / requirements","L","Legacy")))</x:f>
        <x:v>P1</x:v>
      </x:c>
      <x:c r="G500" s="14" t="str"/>
      <x:c r="H500" s="14" t="str">
        <x:v>Пілот зараз — Н.15</x:v>
      </x:c>
      <x:c r="I500" s="16" t="n">
        <x:v>5</x:v>
      </x:c>
      <x:c r="J500" s="16" t="n">
        <x:v>5</x:v>
      </x:c>
      <x:c r="K500" s="16" t="n">
        <x:v>5</x:v>
      </x:c>
      <x:c r="L500" s="16" t="n">
        <x:v>1</x:v>
      </x:c>
      <x:c r="M500" s="16" t="n">
        <x:v>5</x:v>
      </x:c>
      <x:c r="N500" s="16" t="n">
        <x:v>5</x:v>
      </x:c>
      <x:c r="O500" s="16" t="n">
        <x:v>5</x:v>
      </x:c>
      <x:c r="P500" s="16" t="n">
        <x:f>IF(COUNT(I500:O500)&lt;7,"",I500*8+J500*3+K500*2+L500*2+M500*2+N500*2+O500)</x:f>
        <x:v>92</x:v>
      </x:c>
      <x:c r="Q500" s="16" t="n">
        <x:f>IF(COUNT(J500:O500)&lt;6,"",J500*5+K500*4+M500*4+L500*3+N500*2+O500*2)</x:f>
        <x:v>88</x:v>
      </x:c>
      <x:c r="R500" s="14" t="str">
        <x:v>high</x:v>
      </x:c>
      <x:c r="S500" s="14" t="str">
        <x:v>official_prozorro_award_2025_2026</x:v>
      </x:c>
      <x:c r="T500" s="14" t="str">
        <x:v>official_prozorro_api</x:v>
      </x:c>
      <x:c r="U500" s="14" t="str">
        <x:v>Не контактували</x:v>
      </x:c>
      <x:c r="V500" s="15" t="str">
        <x:v>Персоналізований free-pilot outreach по UA-2026-07-28-001942-a; попросити 1 пакет Н.14/Н.15</x:v>
      </x:c>
      <x:c r="W500" s="15" t="str">
        <x:v>Власник / директор; керівник ПТО; відповідальний за договори</x:v>
      </x:c>
      <x:c r="X500" s="15" t="str">
        <x:v>1 підтверджених перемог/договорів у Prozorro на 6 572 грн; 1 проєктів зі строком виконання не раніше 24.08.2026.</x:v>
      </x:c>
      <x:c r="Y500" s="15" t="str">
        <x:v>Електромонтажні роботи; строк до 2026-12-31. Попросити один знеособлений пакет здачі за цим workflow.</x:v>
      </x:c>
      <x:c r="Z500" s="15" t="str">
        <x:v>https://prozorro.gov.ua/tender/UA-2026-07-28-001942-a</x:v>
      </x:c>
      <x:c r="AA500" s="14" t="str">
        <x:v>22767506</x:v>
      </x:c>
      <x:c r="AB500" s="14" t="str">
        <x:v>2026-08-24</x:v>
      </x:c>
      <x:c r="AC500" s="14" t="str"/>
      <x:c r="AD500" s="20" t="str"/>
      <x:c r="AE500" s="14" t="str"/>
      <x:c r="AF500" s="14" t="n">
        <x:v>52</x:v>
      </x:c>
      <x:c r="AG500" s="14" t="str">
        <x:v>I3</x:v>
      </x:c>
      <x:c r="AH500" s="14" t="n">
        <x:v>1</x:v>
      </x:c>
      <x:c r="AI500" s="14" t="n">
        <x:v>1</x:v>
      </x:c>
      <x:c r="AJ500" s="18" t="n">
        <x:v>6571.51</x:v>
      </x:c>
      <x:c r="AK500" s="14" t="str">
        <x:v>https://prozorro.gov.ua/tender/UA-2026-07-28-001942-a</x:v>
      </x:c>
      <x:c r="AL500" s="19" t="n">
        <x:v>46231.310942233795</x:v>
      </x:c>
      <x:c r="AM500" s="19" t="n">
        <x:v>46387.352430555555</x:v>
      </x:c>
      <x:c r="AN500" s="15" t="str">
        <x:v>Електромонтаж</x:v>
      </x:c>
      <x:c r="AO500" s="15" t="str">
        <x:v>not_found_in_top_search</x:v>
      </x:c>
    </x:row>
    <x:row r="501">
      <x:c r="A501" s="14" t="str">
        <x:v>W3-229</x:v>
      </x:c>
      <x:c r="B501" s="14" t="str">
        <x:v>Prozorro winners — 24.08</x:v>
      </x:c>
      <x:c r="C501" s="14" t="str">
        <x:v>УПРАВЛІННЯ ПОЛІЦІЇ ОХОРОНИ В ПОЛТАВСЬКІЙ ОБЛАСТІ</x:v>
      </x:c>
      <x:c r="D501" s="14" t="str">
        <x:v>Електромонтаж</x:v>
      </x:c>
      <x:c r="E501" s="14" t="str">
        <x:v>Pilot now</x:v>
      </x:c>
      <x:c r="F501" s="17" t="str">
        <x:f>IF(E501="Pilot now",IF(P501&gt;=84,"P1",IF(P501&gt;=72,"P2","P3")),IF(E501="Expansion discovery",IF(Q501&gt;=88,"D1",IF(Q501&gt;=78,"D2","D3")),IF(E501="Later / requirements","L","Legacy")))</x:f>
        <x:v>P1</x:v>
      </x:c>
      <x:c r="G501" s="14" t="str"/>
      <x:c r="H501" s="14" t="str">
        <x:v>Пілот зараз — Н.15</x:v>
      </x:c>
      <x:c r="I501" s="16" t="n">
        <x:v>5</x:v>
      </x:c>
      <x:c r="J501" s="16" t="n">
        <x:v>5</x:v>
      </x:c>
      <x:c r="K501" s="16" t="n">
        <x:v>5</x:v>
      </x:c>
      <x:c r="L501" s="16" t="n">
        <x:v>1</x:v>
      </x:c>
      <x:c r="M501" s="16" t="n">
        <x:v>5</x:v>
      </x:c>
      <x:c r="N501" s="16" t="n">
        <x:v>5</x:v>
      </x:c>
      <x:c r="O501" s="16" t="n">
        <x:v>5</x:v>
      </x:c>
      <x:c r="P501" s="16" t="n">
        <x:f>IF(COUNT(I501:O501)&lt;7,"",I501*8+J501*3+K501*2+L501*2+M501*2+N501*2+O501)</x:f>
        <x:v>92</x:v>
      </x:c>
      <x:c r="Q501" s="16" t="n">
        <x:f>IF(COUNT(J501:O501)&lt;6,"",J501*5+K501*4+M501*4+L501*3+N501*2+O501*2)</x:f>
        <x:v>88</x:v>
      </x:c>
      <x:c r="R501" s="14" t="str">
        <x:v>high</x:v>
      </x:c>
      <x:c r="S501" s="14" t="str">
        <x:v>official_prozorro_award_2025_2026</x:v>
      </x:c>
      <x:c r="T501" s="14" t="str">
        <x:v>official_prozorro_api</x:v>
      </x:c>
      <x:c r="U501" s="14" t="str">
        <x:v>Не контактували</x:v>
      </x:c>
      <x:c r="V501" s="15" t="str">
        <x:v>Персоналізований free-pilot outreach по UA-2026-08-04-003667-a; попросити 1 пакет Н.14/Н.15</x:v>
      </x:c>
      <x:c r="W501" s="15" t="str">
        <x:v>Власник / директор; керівник ПТО; відповідальний за договори</x:v>
      </x:c>
      <x:c r="X501" s="15" t="str">
        <x:v>1 підтверджених перемог/договорів у Prozorro на 6 508 грн; 1 проєктів зі строком виконання не раніше 24.08.2026.</x:v>
      </x:c>
      <x:c r="Y501" s="15" t="str">
        <x:v>Електромонтажні роботи; строк до 2026-12-31. Попросити один знеособлений пакет здачі за цим workflow.</x:v>
      </x:c>
      <x:c r="Z501" s="15" t="str">
        <x:v>https://prozorro.gov.ua/tender/UA-2026-08-04-003667-a</x:v>
      </x:c>
      <x:c r="AA501" s="14" t="str">
        <x:v>40109042</x:v>
      </x:c>
      <x:c r="AB501" s="14" t="str">
        <x:v>2026-08-24</x:v>
      </x:c>
      <x:c r="AC501" s="14" t="str"/>
      <x:c r="AD501" s="20" t="str"/>
      <x:c r="AE501" s="14" t="str"/>
      <x:c r="AF501" s="14" t="n">
        <x:v>52</x:v>
      </x:c>
      <x:c r="AG501" s="14" t="str">
        <x:v>I3</x:v>
      </x:c>
      <x:c r="AH501" s="14" t="n">
        <x:v>1</x:v>
      </x:c>
      <x:c r="AI501" s="14" t="n">
        <x:v>1</x:v>
      </x:c>
      <x:c r="AJ501" s="18" t="n">
        <x:v>6508.32</x:v>
      </x:c>
      <x:c r="AK501" s="14" t="str">
        <x:v>https://prozorro.gov.ua/tender/UA-2026-08-04-003667-a</x:v>
      </x:c>
      <x:c r="AL501" s="19" t="n">
        <x:v>46238.351603414354</x:v>
      </x:c>
      <x:c r="AM501" s="19" t="n">
        <x:v>46387</x:v>
      </x:c>
      <x:c r="AN501" s="15" t="str">
        <x:v>Електромонтаж</x:v>
      </x:c>
      <x:c r="AO501" s="15" t="str">
        <x:v>not_found_in_top_search</x:v>
      </x:c>
    </x:row>
    <x:row r="502">
      <x:c r="A502" s="14" t="str">
        <x:v>W3-230</x:v>
      </x:c>
      <x:c r="B502" s="14" t="str">
        <x:v>Prozorro winners — 24.08</x:v>
      </x:c>
      <x:c r="C502" s="14" t="str">
        <x:v>КП "Ічнянське ВУ ЖКГ"</x:v>
      </x:c>
      <x:c r="D502" s="14" t="str">
        <x:v>Електромонтаж</x:v>
      </x:c>
      <x:c r="E502" s="14" t="str">
        <x:v>Pilot now</x:v>
      </x:c>
      <x:c r="F502" s="17" t="str">
        <x:f>IF(E502="Pilot now",IF(P502&gt;=84,"P1",IF(P502&gt;=72,"P2","P3")),IF(E502="Expansion discovery",IF(Q502&gt;=88,"D1",IF(Q502&gt;=78,"D2","D3")),IF(E502="Later / requirements","L","Legacy")))</x:f>
        <x:v>P1</x:v>
      </x:c>
      <x:c r="G502" s="14" t="str"/>
      <x:c r="H502" s="14" t="str">
        <x:v>Пілот зараз — Н.15</x:v>
      </x:c>
      <x:c r="I502" s="16" t="n">
        <x:v>5</x:v>
      </x:c>
      <x:c r="J502" s="16" t="n">
        <x:v>5</x:v>
      </x:c>
      <x:c r="K502" s="16" t="n">
        <x:v>5</x:v>
      </x:c>
      <x:c r="L502" s="16" t="n">
        <x:v>1</x:v>
      </x:c>
      <x:c r="M502" s="16" t="n">
        <x:v>5</x:v>
      </x:c>
      <x:c r="N502" s="16" t="n">
        <x:v>5</x:v>
      </x:c>
      <x:c r="O502" s="16" t="n">
        <x:v>5</x:v>
      </x:c>
      <x:c r="P502" s="16" t="n">
        <x:f>IF(COUNT(I502:O502)&lt;7,"",I502*8+J502*3+K502*2+L502*2+M502*2+N502*2+O502)</x:f>
        <x:v>92</x:v>
      </x:c>
      <x:c r="Q502" s="16" t="n">
        <x:f>IF(COUNT(J502:O502)&lt;6,"",J502*5+K502*4+M502*4+L502*3+N502*2+O502*2)</x:f>
        <x:v>88</x:v>
      </x:c>
      <x:c r="R502" s="14" t="str">
        <x:v>high</x:v>
      </x:c>
      <x:c r="S502" s="14" t="str">
        <x:v>official_prozorro_award_2025_2026</x:v>
      </x:c>
      <x:c r="T502" s="14" t="str">
        <x:v>official_prozorro_api</x:v>
      </x:c>
      <x:c r="U502" s="14" t="str">
        <x:v>Не контактували</x:v>
      </x:c>
      <x:c r="V502" s="15" t="str">
        <x:v>Персоналізований free-pilot outreach по UA-2026-08-18-011647-a; попросити 1 пакет Н.14/Н.15</x:v>
      </x:c>
      <x:c r="W502" s="15" t="str">
        <x:v>Власник / директор; керівник ПТО; відповідальний за договори</x:v>
      </x:c>
      <x:c r="X502" s="15" t="str">
        <x:v>1 підтверджених перемог/договорів у Prozorro на 4 165 грн; 1 проєктів зі строком виконання не раніше 24.08.2026.</x:v>
      </x:c>
      <x:c r="Y502" s="15" t="str">
        <x:v>електромонтажні роботи; строк до 2026-12-31. Попросити один знеособлений пакет здачі за цим workflow.</x:v>
      </x:c>
      <x:c r="Z502" s="15" t="str">
        <x:v>https://prozorro.gov.ua/tender/UA-2026-08-18-011647-a</x:v>
      </x:c>
      <x:c r="AA502" s="14" t="str">
        <x:v>03357895</x:v>
      </x:c>
      <x:c r="AB502" s="14" t="str">
        <x:v>2026-08-24</x:v>
      </x:c>
      <x:c r="AC502" s="14" t="str"/>
      <x:c r="AD502" s="20" t="str"/>
      <x:c r="AE502" s="14" t="str"/>
      <x:c r="AF502" s="14" t="n">
        <x:v>52</x:v>
      </x:c>
      <x:c r="AG502" s="14" t="str">
        <x:v>I3</x:v>
      </x:c>
      <x:c r="AH502" s="14" t="n">
        <x:v>1</x:v>
      </x:c>
      <x:c r="AI502" s="14" t="n">
        <x:v>1</x:v>
      </x:c>
      <x:c r="AJ502" s="18" t="n">
        <x:v>4164.97</x:v>
      </x:c>
      <x:c r="AK502" s="14" t="str">
        <x:v>https://prozorro.gov.ua/tender/UA-2026-08-18-011647-a</x:v>
      </x:c>
      <x:c r="AL502" s="19" t="n">
        <x:v>46252.56156364583</x:v>
      </x:c>
      <x:c r="AM502" s="19" t="n">
        <x:v>46387</x:v>
      </x:c>
      <x:c r="AN502" s="15" t="str">
        <x:v>Електромонтаж</x:v>
      </x:c>
      <x:c r="AO502" s="15" t="str">
        <x:v>not_found_in_top_search</x:v>
      </x:c>
    </x:row>
    <x:row r="503">
      <x:c r="A503" s="14" t="str">
        <x:v>W3-231</x:v>
      </x:c>
      <x:c r="B503" s="14" t="str">
        <x:v>Prozorro winners — 24.08</x:v>
      </x:c>
      <x:c r="C503" s="14" t="str">
        <x:v>АКЦІОНЕРНЕ ТОВАРИСТВО "МИКОЛАЇВОБЛЕНЕРГО"</x:v>
      </x:c>
      <x:c r="D503" s="14" t="str">
        <x:v>Електромонтаж</x:v>
      </x:c>
      <x:c r="E503" s="14" t="str">
        <x:v>Pilot now</x:v>
      </x:c>
      <x:c r="F503" s="17" t="str">
        <x:f>IF(E503="Pilot now",IF(P503&gt;=84,"P1",IF(P503&gt;=72,"P2","P3")),IF(E503="Expansion discovery",IF(Q503&gt;=88,"D1",IF(Q503&gt;=78,"D2","D3")),IF(E503="Later / requirements","L","Legacy")))</x:f>
        <x:v>P1</x:v>
      </x:c>
      <x:c r="G503" s="14" t="str"/>
      <x:c r="H503" s="14" t="str">
        <x:v>Пілот зараз — Н.15</x:v>
      </x:c>
      <x:c r="I503" s="16" t="n">
        <x:v>5</x:v>
      </x:c>
      <x:c r="J503" s="16" t="n">
        <x:v>5</x:v>
      </x:c>
      <x:c r="K503" s="16" t="n">
        <x:v>5</x:v>
      </x:c>
      <x:c r="L503" s="16" t="n">
        <x:v>1</x:v>
      </x:c>
      <x:c r="M503" s="16" t="n">
        <x:v>5</x:v>
      </x:c>
      <x:c r="N503" s="16" t="n">
        <x:v>5</x:v>
      </x:c>
      <x:c r="O503" s="16" t="n">
        <x:v>5</x:v>
      </x:c>
      <x:c r="P503" s="16" t="n">
        <x:f>IF(COUNT(I503:O503)&lt;7,"",I503*8+J503*3+K503*2+L503*2+M503*2+N503*2+O503)</x:f>
        <x:v>92</x:v>
      </x:c>
      <x:c r="Q503" s="16" t="n">
        <x:f>IF(COUNT(J503:O503)&lt;6,"",J503*5+K503*4+M503*4+L503*3+N503*2+O503*2)</x:f>
        <x:v>88</x:v>
      </x:c>
      <x:c r="R503" s="14" t="str">
        <x:v>high</x:v>
      </x:c>
      <x:c r="S503" s="14" t="str">
        <x:v>official_prozorro_award_2025_2026</x:v>
      </x:c>
      <x:c r="T503" s="14" t="str">
        <x:v>official_prozorro_api</x:v>
      </x:c>
      <x:c r="U503" s="14" t="str">
        <x:v>Не контактували</x:v>
      </x:c>
      <x:c r="V503" s="15" t="str">
        <x:v>Персоналізований free-pilot outreach по UA-2026-08-05-007246-a; попросити 1 пакет Н.14/Н.15</x:v>
      </x:c>
      <x:c r="W503" s="15" t="str">
        <x:v>Власник / директор; керівник ПТО; відповідальний за договори</x:v>
      </x:c>
      <x:c r="X503" s="15" t="str">
        <x:v>1 підтверджених перемог/договорів у Prozorro на 536 грн; 1 проєктів зі строком виконання не раніше 24.08.2026.</x:v>
      </x:c>
      <x:c r="Y503" s="15" t="str">
        <x:v>Електромонтажні роботи ; строк до 2026-12-31. Попросити один знеособлений пакет здачі за цим workflow.</x:v>
      </x:c>
      <x:c r="Z503" s="15" t="str">
        <x:v>https://prozorro.gov.ua/tender/UA-2026-08-05-007246-a</x:v>
      </x:c>
      <x:c r="AA503" s="14" t="str">
        <x:v>23399393</x:v>
      </x:c>
      <x:c r="AB503" s="14" t="str">
        <x:v>2026-08-24</x:v>
      </x:c>
      <x:c r="AC503" s="14" t="str"/>
      <x:c r="AD503" s="20" t="str"/>
      <x:c r="AE503" s="14" t="str"/>
      <x:c r="AF503" s="14" t="n">
        <x:v>52</x:v>
      </x:c>
      <x:c r="AG503" s="14" t="str">
        <x:v>I3</x:v>
      </x:c>
      <x:c r="AH503" s="14" t="n">
        <x:v>1</x:v>
      </x:c>
      <x:c r="AI503" s="14" t="n">
        <x:v>1</x:v>
      </x:c>
      <x:c r="AJ503" s="18" t="n">
        <x:v>535.88</x:v>
      </x:c>
      <x:c r="AK503" s="14" t="str">
        <x:v>https://prozorro.gov.ua/tender/UA-2026-08-05-007246-a</x:v>
      </x:c>
      <x:c r="AL503" s="19" t="n">
        <x:v>46239.46062644676</x:v>
      </x:c>
      <x:c r="AM503" s="19" t="n">
        <x:v>46387</x:v>
      </x:c>
      <x:c r="AN503" s="15" t="str">
        <x:v>Електромонтаж</x:v>
      </x:c>
      <x:c r="AO503" s="15" t="str">
        <x:v>not_found_in_top_search</x:v>
      </x:c>
    </x:row>
    <x:row r="504">
      <x:c r="A504" s="14" t="str">
        <x:v>W3-232</x:v>
      </x:c>
      <x:c r="B504" s="14" t="str">
        <x:v>Prozorro winners — 24.08</x:v>
      </x:c>
      <x:c r="C504" s="14" t="str">
        <x:v>ФОП Сіора Ю.А.</x:v>
      </x:c>
      <x:c r="D504" s="14" t="str">
        <x:v>HVAC / ОВіК</x:v>
      </x:c>
      <x:c r="E504" s="14" t="str">
        <x:v>Pilot now</x:v>
      </x:c>
      <x:c r="F504" s="17" t="str">
        <x:f>IF(E504="Pilot now",IF(P504&gt;=84,"P1",IF(P504&gt;=72,"P2","P3")),IF(E504="Expansion discovery",IF(Q504&gt;=88,"D1",IF(Q504&gt;=78,"D2","D3")),IF(E504="Later / requirements","L","Legacy")))</x:f>
        <x:v>P1</x:v>
      </x:c>
      <x:c r="G504" s="14" t="str"/>
      <x:c r="H504" s="14" t="str">
        <x:v>Пілот зараз — Н.14</x:v>
      </x:c>
      <x:c r="I504" s="16" t="n">
        <x:v>5</x:v>
      </x:c>
      <x:c r="J504" s="16" t="n">
        <x:v>5</x:v>
      </x:c>
      <x:c r="K504" s="16" t="n">
        <x:v>5</x:v>
      </x:c>
      <x:c r="L504" s="16" t="n">
        <x:v>3</x:v>
      </x:c>
      <x:c r="M504" s="16" t="n">
        <x:v>5</x:v>
      </x:c>
      <x:c r="N504" s="16" t="n">
        <x:v>3</x:v>
      </x:c>
      <x:c r="O504" s="16" t="n">
        <x:v>5</x:v>
      </x:c>
      <x:c r="P504" s="16" t="n">
        <x:f>IF(COUNT(I504:O504)&lt;7,"",I504*8+J504*3+K504*2+L504*2+M504*2+N504*2+O504)</x:f>
        <x:v>92</x:v>
      </x:c>
      <x:c r="Q504" s="16" t="n">
        <x:f>IF(COUNT(J504:O504)&lt;6,"",J504*5+K504*4+M504*4+L504*3+N504*2+O504*2)</x:f>
        <x:v>90</x:v>
      </x:c>
      <x:c r="R504" s="14" t="str">
        <x:v>high</x:v>
      </x:c>
      <x:c r="S504" s="14" t="str">
        <x:v>official_prozorro_award_2025_2026</x:v>
      </x:c>
      <x:c r="T504" s="14" t="str">
        <x:v>official_prozorro_api</x:v>
      </x:c>
      <x:c r="U504" s="14" t="str">
        <x:v>Не контактували</x:v>
      </x:c>
      <x:c r="V504" s="15" t="str">
        <x:v>Персоналізований free-pilot outreach по UA-2026-06-02-012733-a; попросити 1 пакет Н.14/Н.15</x:v>
      </x:c>
      <x:c r="W504" s="15" t="str">
        <x:v>Власник / виконавець; відповідальний за договір</x:v>
      </x:c>
      <x:c r="X504" s="15" t="str">
        <x:v>1 підтверджених перемог/договорів у Prozorro на 1 447 410 грн; 1 проєктів зі строком виконання не раніше 24.08.2026.</x:v>
      </x:c>
      <x:c r="Y504" s="15" t="str">
        <x:v>Послуги з монтажу системи опалення в протирадіаційному укритті обліковий № 54633 закладу дошкільної освіти (ясла-садок) № 3 "Сонечко" Очаківської міської ради; строк до 2026-08-31. Попросити один знеособлений пакет здачі за цим workflow.</x:v>
      </x:c>
      <x:c r="Z504" s="15" t="str">
        <x:v>https://prozorro.gov.ua/tender/UA-2026-06-02-012733-a</x:v>
      </x:c>
      <x:c r="AA504" s="14" t="str">
        <x:v>2691100315</x:v>
      </x:c>
      <x:c r="AB504" s="14" t="str">
        <x:v>2026-08-24</x:v>
      </x:c>
      <x:c r="AC504" s="14" t="str"/>
      <x:c r="AD504" s="20" t="str"/>
      <x:c r="AE504" s="14" t="str"/>
      <x:c r="AF504" s="14" t="n">
        <x:v>51</x:v>
      </x:c>
      <x:c r="AG504" s="14" t="str">
        <x:v>I3</x:v>
      </x:c>
      <x:c r="AH504" s="14" t="n">
        <x:v>1</x:v>
      </x:c>
      <x:c r="AI504" s="14" t="n">
        <x:v>1</x:v>
      </x:c>
      <x:c r="AJ504" s="18" t="n">
        <x:v>1447410</x:v>
      </x:c>
      <x:c r="AK504" s="14" t="str">
        <x:v>https://prozorro.gov.ua/tender/UA-2026-06-02-012733-a</x:v>
      </x:c>
      <x:c r="AL504" s="19" t="n">
        <x:v>46176.348150543985</x:v>
      </x:c>
      <x:c r="AM504" s="19" t="n">
        <x:v>46265.5799537037</x:v>
      </x:c>
      <x:c r="AN504" s="15" t="str">
        <x:v>HVAC / ОВіК</x:v>
      </x:c>
      <x:c r="AO504" s="15" t="str">
        <x:v>not_found_in_top_search</x:v>
      </x:c>
    </x:row>
    <x:row r="505">
      <x:c r="A505" s="14" t="str">
        <x:v>W3-233</x:v>
      </x:c>
      <x:c r="B505" s="14" t="str">
        <x:v>Prozorro winners — 24.08</x:v>
      </x:c>
      <x:c r="C505" s="14" t="str">
        <x:v>ФОП "ЛУТ ОЛЕГ ІГОРОВИЧ "</x:v>
      </x:c>
      <x:c r="D505" s="14" t="str">
        <x:v>Внутрішні сантехнічні системи</x:v>
      </x:c>
      <x:c r="E505" s="14" t="str">
        <x:v>Pilot now</x:v>
      </x:c>
      <x:c r="F505" s="17" t="str">
        <x:f>IF(E505="Pilot now",IF(P505&gt;=84,"P1",IF(P505&gt;=72,"P2","P3")),IF(E505="Expansion discovery",IF(Q505&gt;=88,"D1",IF(Q505&gt;=78,"D2","D3")),IF(E505="Later / requirements","L","Legacy")))</x:f>
        <x:v>P1</x:v>
      </x:c>
      <x:c r="G505" s="14" t="str"/>
      <x:c r="H505" s="14" t="str">
        <x:v>Пілот зараз — Н.14</x:v>
      </x:c>
      <x:c r="I505" s="16" t="n">
        <x:v>5</x:v>
      </x:c>
      <x:c r="J505" s="16" t="n">
        <x:v>5</x:v>
      </x:c>
      <x:c r="K505" s="16" t="n">
        <x:v>5</x:v>
      </x:c>
      <x:c r="L505" s="16" t="n">
        <x:v>3</x:v>
      </x:c>
      <x:c r="M505" s="16" t="n">
        <x:v>5</x:v>
      </x:c>
      <x:c r="N505" s="16" t="n">
        <x:v>3</x:v>
      </x:c>
      <x:c r="O505" s="16" t="n">
        <x:v>5</x:v>
      </x:c>
      <x:c r="P505" s="16" t="n">
        <x:f>IF(COUNT(I505:O505)&lt;7,"",I505*8+J505*3+K505*2+L505*2+M505*2+N505*2+O505)</x:f>
        <x:v>92</x:v>
      </x:c>
      <x:c r="Q505" s="16" t="n">
        <x:f>IF(COUNT(J505:O505)&lt;6,"",J505*5+K505*4+M505*4+L505*3+N505*2+O505*2)</x:f>
        <x:v>90</x:v>
      </x:c>
      <x:c r="R505" s="14" t="str">
        <x:v>high</x:v>
      </x:c>
      <x:c r="S505" s="14" t="str">
        <x:v>official_prozorro_award_2025_2026</x:v>
      </x:c>
      <x:c r="T505" s="14" t="str">
        <x:v>official_prozorro_api</x:v>
      </x:c>
      <x:c r="U505" s="14" t="str">
        <x:v>Не контактували</x:v>
      </x:c>
      <x:c r="V505" s="15" t="str">
        <x:v>Персоналізований free-pilot outreach по UA-2026-06-11-012067-a; попросити 1 пакет Н.14/Н.15</x:v>
      </x:c>
      <x:c r="W505" s="15" t="str">
        <x:v>Власник / виконавець; відповідальний за договір</x:v>
      </x:c>
      <x:c r="X505" s="15" t="str">
        <x:v>2 підтверджених перемог/договорів у Prozorro на 1 156 806 грн; 0 проєктів зі строком виконання не раніше 24.08.2026.</x:v>
      </x:c>
      <x:c r="Y505" s="15" t="str">
        <x:v>Послуги з поточного ремонту кабінету фізики (заміна дверей, улаштування покриття з лінолеуму, улаштування підвісних стель, монтаж світильників led, прокладання трубопроводів опалення, водопостачання та каналізації, установлення опалювальних радіаторів) Роменської загальноосвітньої школи l- ll ступенів № 6 Роменської міської ради Сумської області, за адресою: вул. Всіхсвятська, 5, м. Ромни, Сумська область; строк до 2026-08-01. Попросити один знеособлений пакет здачі за цим workflow.</x:v>
      </x:c>
      <x:c r="Z505" s="15" t="str">
        <x:v>https://prozorro.gov.ua/tender/UA-2026-06-11-012067-a</x:v>
      </x:c>
      <x:c r="AA505" s="14" t="str">
        <x:v>3445311131</x:v>
      </x:c>
      <x:c r="AB505" s="14" t="str">
        <x:v>2026-08-24</x:v>
      </x:c>
      <x:c r="AC505" s="14" t="str"/>
      <x:c r="AD505" s="20" t="str"/>
      <x:c r="AE505" s="14" t="str"/>
      <x:c r="AF505" s="14" t="n">
        <x:v>51</x:v>
      </x:c>
      <x:c r="AG505" s="14" t="str">
        <x:v>I3</x:v>
      </x:c>
      <x:c r="AH505" s="14" t="n">
        <x:v>2</x:v>
      </x:c>
      <x:c r="AI505" s="14" t="n">
        <x:v>0</x:v>
      </x:c>
      <x:c r="AJ505" s="18" t="n">
        <x:v>1156806</x:v>
      </x:c>
      <x:c r="AK505" s="14" t="str">
        <x:v>https://prozorro.gov.ua/tender/UA-2026-06-11-012067-a</x:v>
      </x:c>
      <x:c r="AL505" s="19" t="n">
        <x:v>46192.492963854165</x:v>
      </x:c>
      <x:c r="AM505" s="19" t="n">
        <x:v>46235</x:v>
      </x:c>
      <x:c r="AN505" s="15" t="str">
        <x:v>Внутрішні сантехнічні системи</x:v>
      </x:c>
      <x:c r="AO505" s="15" t="str">
        <x:v>not_found_in_top_search</x:v>
      </x:c>
    </x:row>
    <x:row r="506">
      <x:c r="A506" s="14" t="str">
        <x:v>W3-234</x:v>
      </x:c>
      <x:c r="B506" s="14" t="str">
        <x:v>Prozorro winners — 24.08</x:v>
      </x:c>
      <x:c r="C506" s="14" t="str">
        <x:v>Фізична особа-підприємець БИХНО Валерій Олександрович</x:v>
      </x:c>
      <x:c r="D506" s="14" t="str">
        <x:v>Зовнішні мережі</x:v>
      </x:c>
      <x:c r="E506" s="14" t="str">
        <x:v>Expansion discovery</x:v>
      </x:c>
      <x:c r="F506" s="17" t="str">
        <x:f>IF(E506="Pilot now",IF(P506&gt;=84,"P1",IF(P506&gt;=72,"P2","P3")),IF(E506="Expansion discovery",IF(Q506&gt;=88,"D1",IF(Q506&gt;=78,"D2","D3")),IF(E506="Later / requirements","L","Legacy")))</x:f>
        <x:v>D2</x:v>
      </x:c>
      <x:c r="G506" s="14" t="str"/>
      <x:c r="H506" s="14" t="str">
        <x:v>Discovery розширення — 2 тижні</x:v>
      </x:c>
      <x:c r="I506" s="16" t="n">
        <x:v>1</x:v>
      </x:c>
      <x:c r="J506" s="16" t="n">
        <x:v>5</x:v>
      </x:c>
      <x:c r="K506" s="16" t="n">
        <x:v>4</x:v>
      </x:c>
      <x:c r="L506" s="16" t="n">
        <x:v>3</x:v>
      </x:c>
      <x:c r="M506" s="16" t="n">
        <x:v>5</x:v>
      </x:c>
      <x:c r="N506" s="16" t="n">
        <x:v>3</x:v>
      </x:c>
      <x:c r="O506" s="16" t="n">
        <x:v>5</x:v>
      </x:c>
      <x:c r="P506" s="16" t="n">
        <x:f>IF(COUNT(I506:O506)&lt;7,"",I506*8+J506*3+K506*2+L506*2+M506*2+N506*2+O506)</x:f>
        <x:v>58</x:v>
      </x:c>
      <x:c r="Q506" s="16" t="n">
        <x:f>IF(COUNT(J506:O506)&lt;6,"",J506*5+K506*4+M506*4+L506*3+N506*2+O506*2)</x:f>
        <x:v>86</x:v>
      </x:c>
      <x:c r="R506" s="14" t="str">
        <x:v>high</x:v>
      </x:c>
      <x:c r="S506" s="14" t="str">
        <x:v>official_prozorro_award_2025_2026</x:v>
      </x:c>
      <x:c r="T506" s="14" t="str">
        <x:v>official_prozorro_api</x:v>
      </x:c>
      <x:c r="U506" s="14" t="str">
        <x:v>Не контактували</x:v>
      </x:c>
      <x:c r="V506" s="15" t="str">
        <x:v>Workflow-audit outreach по UA-2026-05-26-012254-a; попросити 1 пакет здачі та вимоги проєкту</x:v>
      </x:c>
      <x:c r="W506" s="15" t="str">
        <x:v>Власник / виконавець; відповідальний за договір</x:v>
      </x:c>
      <x:c r="X506" s="15" t="str">
        <x:v>1 підтверджених перемог/договорів у Prozorro на 725 332 грн; 1 проєктів зі строком виконання не раніше 24.08.2026.</x:v>
      </x:c>
      <x:c r="Y506" s="15" t="str">
        <x:v>Послуги інженера консультанта під час будівництва об'єкту "Нове будівництво зовнішніх інженерних мереж індустріального парку "Кривбас" на вул. Фабричній у м. Кривому Розі, Дніпропетровської області" 1 черга; строк до 2026-12-31. Попросити один знеособлений пакет здачі за цим workflow.</x:v>
      </x:c>
      <x:c r="Z506" s="15" t="str">
        <x:v>https://prozorro.gov.ua/tender/UA-2026-05-26-012254-a</x:v>
      </x:c>
      <x:c r="AA506" s="14" t="str">
        <x:v>3120918596</x:v>
      </x:c>
      <x:c r="AB506" s="14" t="str">
        <x:v>2026-08-24</x:v>
      </x:c>
      <x:c r="AC506" s="14" t="str"/>
      <x:c r="AD506" s="20" t="str"/>
      <x:c r="AE506" s="14" t="str"/>
      <x:c r="AF506" s="14" t="n">
        <x:v>51</x:v>
      </x:c>
      <x:c r="AG506" s="14" t="str">
        <x:v>I3</x:v>
      </x:c>
      <x:c r="AH506" s="14" t="n">
        <x:v>1</x:v>
      </x:c>
      <x:c r="AI506" s="14" t="n">
        <x:v>1</x:v>
      </x:c>
      <x:c r="AJ506" s="18" t="n">
        <x:v>725332.24</x:v>
      </x:c>
      <x:c r="AK506" s="14" t="str">
        <x:v>https://prozorro.gov.ua/tender/UA-2026-05-26-012254-a</x:v>
      </x:c>
      <x:c r="AL506" s="19" t="n">
        <x:v>46168.540660659724</x:v>
      </x:c>
      <x:c r="AM506" s="19" t="n">
        <x:v>46387</x:v>
      </x:c>
      <x:c r="AN506" s="15" t="str">
        <x:v>Зовнішні мережі</x:v>
      </x:c>
      <x:c r="AO506" s="15" t="str">
        <x:v>not_found_in_top_search</x:v>
      </x:c>
    </x:row>
    <x:row r="507">
      <x:c r="A507" s="14" t="str">
        <x:v>W3-235</x:v>
      </x:c>
      <x:c r="B507" s="14" t="str">
        <x:v>Prozorro winners — 24.08</x:v>
      </x:c>
      <x:c r="C507" s="14" t="str">
        <x:v>ПЕЛЕХ РУСЛАН МИРОСЛАВОВИЧ</x:v>
      </x:c>
      <x:c r="D507" s="14" t="str">
        <x:v>HVAC / ОВіК</x:v>
      </x:c>
      <x:c r="E507" s="14" t="str">
        <x:v>Pilot now</x:v>
      </x:c>
      <x:c r="F507" s="17" t="str">
        <x:f>IF(E507="Pilot now",IF(P507&gt;=84,"P1",IF(P507&gt;=72,"P2","P3")),IF(E507="Expansion discovery",IF(Q507&gt;=88,"D1",IF(Q507&gt;=78,"D2","D3")),IF(E507="Later / requirements","L","Legacy")))</x:f>
        <x:v>P1</x:v>
      </x:c>
      <x:c r="G507" s="14" t="str"/>
      <x:c r="H507" s="14" t="str">
        <x:v>Пілот зараз — Н.14</x:v>
      </x:c>
      <x:c r="I507" s="16" t="n">
        <x:v>5</x:v>
      </x:c>
      <x:c r="J507" s="16" t="n">
        <x:v>5</x:v>
      </x:c>
      <x:c r="K507" s="16" t="n">
        <x:v>5</x:v>
      </x:c>
      <x:c r="L507" s="16" t="n">
        <x:v>3</x:v>
      </x:c>
      <x:c r="M507" s="16" t="n">
        <x:v>5</x:v>
      </x:c>
      <x:c r="N507" s="16" t="n">
        <x:v>3</x:v>
      </x:c>
      <x:c r="O507" s="16" t="n">
        <x:v>5</x:v>
      </x:c>
      <x:c r="P507" s="16" t="n">
        <x:f>IF(COUNT(I507:O507)&lt;7,"",I507*8+J507*3+K507*2+L507*2+M507*2+N507*2+O507)</x:f>
        <x:v>92</x:v>
      </x:c>
      <x:c r="Q507" s="16" t="n">
        <x:f>IF(COUNT(J507:O507)&lt;6,"",J507*5+K507*4+M507*4+L507*3+N507*2+O507*2)</x:f>
        <x:v>90</x:v>
      </x:c>
      <x:c r="R507" s="14" t="str">
        <x:v>high</x:v>
      </x:c>
      <x:c r="S507" s="14" t="str">
        <x:v>official_prozorro_award_2025_2026</x:v>
      </x:c>
      <x:c r="T507" s="14" t="str">
        <x:v>official_prozorro_api</x:v>
      </x:c>
      <x:c r="U507" s="14" t="str">
        <x:v>Не контактували</x:v>
      </x:c>
      <x:c r="V507" s="15" t="str">
        <x:v>Персоналізований free-pilot outreach по UA-2026-05-07-013060-a; попросити 1 пакет Н.14/Н.15</x:v>
      </x:c>
      <x:c r="W507" s="15" t="str">
        <x:v>Власник / виконавець; відповідальний за договір</x:v>
      </x:c>
      <x:c r="X507" s="15" t="str">
        <x:v>1 підтверджених перемог/договорів у Prozorro на 550 074 грн; 1 проєктів зі строком виконання не раніше 24.08.2026.</x:v>
      </x:c>
      <x:c r="Y507" s="15" t="str">
        <x:v>Монтаж системи примусової приточно - витяжної вентиляції у будівлі Поліклініки, КНП «Чортківська ЦМЛ», розташованого за адресою, м.Чортків, вул. Д.Пігута, 31 Б згідно код ДК 021 :2015 45331200-8 Встановлення вентиляційних систем і систем кондиціонування повітря; строк до 2026-09-10. Попросити один знеособлений пакет здачі за цим workflow.</x:v>
      </x:c>
      <x:c r="Z507" s="15" t="str">
        <x:v>https://prozorro.gov.ua/tender/UA-2026-05-07-013060-a</x:v>
      </x:c>
      <x:c r="AA507" s="14" t="str">
        <x:v>2870704977</x:v>
      </x:c>
      <x:c r="AB507" s="14" t="str">
        <x:v>2026-08-24</x:v>
      </x:c>
      <x:c r="AC507" s="14" t="str"/>
      <x:c r="AD507" s="20" t="str"/>
      <x:c r="AE507" s="14" t="str"/>
      <x:c r="AF507" s="14" t="n">
        <x:v>51</x:v>
      </x:c>
      <x:c r="AG507" s="14" t="str">
        <x:v>I3</x:v>
      </x:c>
      <x:c r="AH507" s="14" t="n">
        <x:v>1</x:v>
      </x:c>
      <x:c r="AI507" s="14" t="n">
        <x:v>1</x:v>
      </x:c>
      <x:c r="AJ507" s="18" t="n">
        <x:v>550074</x:v>
      </x:c>
      <x:c r="AK507" s="14" t="str">
        <x:v>https://prozorro.gov.ua/tender/UA-2026-05-07-013060-a</x:v>
      </x:c>
      <x:c r="AL507" s="19" t="n">
        <x:v>46149.558380092596</x:v>
      </x:c>
      <x:c r="AM507" s="19" t="n">
        <x:v>46275</x:v>
      </x:c>
      <x:c r="AN507" s="15" t="str">
        <x:v>HVAC / ОВіК</x:v>
      </x:c>
      <x:c r="AO507" s="15" t="str">
        <x:v>not_found_in_top_search</x:v>
      </x:c>
    </x:row>
    <x:row r="508">
      <x:c r="A508" s="14" t="str">
        <x:v>W3-236</x:v>
      </x:c>
      <x:c r="B508" s="14" t="str">
        <x:v>Prozorro winners — 24.08</x:v>
      </x:c>
      <x:c r="C508" s="14" t="str">
        <x:v>ТОВАРИСТВО З ОБМЕЖЕНОЮ ВІДПОВІДАЛЬНІСТЮ "ТЕХНОЕЛІТСЕРВІС"</x:v>
      </x:c>
      <x:c r="D508" s="14" t="str">
        <x:v>Пожежогасіння</x:v>
      </x:c>
      <x:c r="E508" s="14" t="str">
        <x:v>Expansion discovery</x:v>
      </x:c>
      <x:c r="F508" s="17" t="str">
        <x:f>IF(E508="Pilot now",IF(P508&gt;=84,"P1",IF(P508&gt;=72,"P2","P3")),IF(E508="Expansion discovery",IF(Q508&gt;=88,"D1",IF(Q508&gt;=78,"D2","D3")),IF(E508="Later / requirements","L","Legacy")))</x:f>
        <x:v>D2</x:v>
      </x:c>
      <x:c r="G508" s="14" t="str"/>
      <x:c r="H508" s="14" t="str">
        <x:v>Discovery розширення — 2 тижні</x:v>
      </x:c>
      <x:c r="I508" s="16" t="n">
        <x:v>1</x:v>
      </x:c>
      <x:c r="J508" s="16" t="n">
        <x:v>5</x:v>
      </x:c>
      <x:c r="K508" s="16" t="n">
        <x:v>4</x:v>
      </x:c>
      <x:c r="L508" s="16" t="n">
        <x:v>2</x:v>
      </x:c>
      <x:c r="M508" s="16" t="n">
        <x:v>5</x:v>
      </x:c>
      <x:c r="N508" s="16" t="n">
        <x:v>5</x:v>
      </x:c>
      <x:c r="O508" s="16" t="n">
        <x:v>5</x:v>
      </x:c>
      <x:c r="P508" s="16" t="n">
        <x:f>IF(COUNT(I508:O508)&lt;7,"",I508*8+J508*3+K508*2+L508*2+M508*2+N508*2+O508)</x:f>
        <x:v>60</x:v>
      </x:c>
      <x:c r="Q508" s="16" t="n">
        <x:f>IF(COUNT(J508:O508)&lt;6,"",J508*5+K508*4+M508*4+L508*3+N508*2+O508*2)</x:f>
        <x:v>87</x:v>
      </x:c>
      <x:c r="R508" s="14" t="str">
        <x:v>high</x:v>
      </x:c>
      <x:c r="S508" s="14" t="str">
        <x:v>official_prozorro_award_2025_2026</x:v>
      </x:c>
      <x:c r="T508" s="14" t="str">
        <x:v>official_prozorro_api</x:v>
      </x:c>
      <x:c r="U508" s="14" t="str">
        <x:v>Не контактували</x:v>
      </x:c>
      <x:c r="V508" s="15" t="str">
        <x:v>Workflow-audit outreach по UA-2026-07-06-004840-a; попросити 1 пакет здачі та вимоги проєкту</x:v>
      </x:c>
      <x:c r="W508" s="15" t="str">
        <x:v>Власник / директор; керівник ПТО; відповідальний за договори</x:v>
      </x:c>
      <x:c r="X508" s="15" t="str">
        <x:v>1 підтверджених перемог/договорів у Prozorro на 331 883 грн; 0 проєктів зі строком виконання не раніше 24.08.2026.</x:v>
      </x:c>
      <x:c r="Y508" s="15" t="str">
        <x:v>ДК 021:2015 45310000-3 Електромонтажні роботи    (Встановлення систем пожежної сигналізації (монтаж системи автоматичної пожежної сигналізації, системи оповіщення про пожежу та управління евакуацією людей, пусконалагоджувальні роботи); строк до 2026-08-10. Попросити один знеособлений пакет здачі за цим workflow.</x:v>
      </x:c>
      <x:c r="Z508" s="15" t="str">
        <x:v>https://prozorro.gov.ua/tender/UA-2026-07-06-004840-a</x:v>
      </x:c>
      <x:c r="AA508" s="14" t="str">
        <x:v>46150714</x:v>
      </x:c>
      <x:c r="AB508" s="14" t="str">
        <x:v>2026-08-24</x:v>
      </x:c>
      <x:c r="AC508" s="14" t="str"/>
      <x:c r="AD508" s="20" t="str"/>
      <x:c r="AE508" s="14" t="str"/>
      <x:c r="AF508" s="14" t="n">
        <x:v>51</x:v>
      </x:c>
      <x:c r="AG508" s="14" t="str">
        <x:v>I3</x:v>
      </x:c>
      <x:c r="AH508" s="14" t="n">
        <x:v>1</x:v>
      </x:c>
      <x:c r="AI508" s="14" t="n">
        <x:v>0</x:v>
      </x:c>
      <x:c r="AJ508" s="18" t="n">
        <x:v>331882.94</x:v>
      </x:c>
      <x:c r="AK508" s="14" t="str">
        <x:v>https://prozorro.gov.ua/tender/UA-2026-07-06-004840-a</x:v>
      </x:c>
      <x:c r="AL508" s="19" t="n">
        <x:v>46217.301470659724</x:v>
      </x:c>
      <x:c r="AM508" s="19" t="n">
        <x:v>46244</x:v>
      </x:c>
      <x:c r="AN508" s="15" t="str">
        <x:v>Пожежогасіння</x:v>
      </x:c>
      <x:c r="AO508" s="15" t="str">
        <x:v>not_found_in_top_search</x:v>
      </x:c>
    </x:row>
    <x:row r="509">
      <x:c r="A509" s="14" t="str">
        <x:v>W3-237</x:v>
      </x:c>
      <x:c r="B509" s="14" t="str">
        <x:v>Prozorro winners — 24.08</x:v>
      </x:c>
      <x:c r="C509" s="14" t="str">
        <x:v>Приватне виробничо-комерційне підприємство "Авангард-Н"</x:v>
      </x:c>
      <x:c r="D509" s="14" t="str">
        <x:v>Насосні станції</x:v>
      </x:c>
      <x:c r="E509" s="14" t="str">
        <x:v>Expansion discovery</x:v>
      </x:c>
      <x:c r="F509" s="17" t="str">
        <x:f>IF(E509="Pilot now",IF(P509&gt;=84,"P1",IF(P509&gt;=72,"P2","P3")),IF(E509="Expansion discovery",IF(Q509&gt;=88,"D1",IF(Q509&gt;=78,"D2","D3")),IF(E509="Later / requirements","L","Legacy")))</x:f>
        <x:v>D1</x:v>
      </x:c>
      <x:c r="G509" s="14" t="str"/>
      <x:c r="H509" s="14" t="str">
        <x:v>Discovery розширення — 2 тижні</x:v>
      </x:c>
      <x:c r="I509" s="16" t="n">
        <x:v>1</x:v>
      </x:c>
      <x:c r="J509" s="16" t="n">
        <x:v>5</x:v>
      </x:c>
      <x:c r="K509" s="16" t="n">
        <x:v>4</x:v>
      </x:c>
      <x:c r="L509" s="16" t="n">
        <x:v>4</x:v>
      </x:c>
      <x:c r="M509" s="16" t="n">
        <x:v>5</x:v>
      </x:c>
      <x:c r="N509" s="16" t="n">
        <x:v>5</x:v>
      </x:c>
      <x:c r="O509" s="16" t="n">
        <x:v>5</x:v>
      </x:c>
      <x:c r="P509" s="16" t="n">
        <x:f>IF(COUNT(I509:O509)&lt;7,"",I509*8+J509*3+K509*2+L509*2+M509*2+N509*2+O509)</x:f>
        <x:v>64</x:v>
      </x:c>
      <x:c r="Q509" s="16" t="n">
        <x:f>IF(COUNT(J509:O509)&lt;6,"",J509*5+K509*4+M509*4+L509*3+N509*2+O509*2)</x:f>
        <x:v>93</x:v>
      </x:c>
      <x:c r="R509" s="14" t="str">
        <x:v>high</x:v>
      </x:c>
      <x:c r="S509" s="14" t="str">
        <x:v>official_prozorro_award_2025_2026</x:v>
      </x:c>
      <x:c r="T509" s="14" t="str">
        <x:v>official_prozorro_api</x:v>
      </x:c>
      <x:c r="U509" s="14" t="str">
        <x:v>Не контактували</x:v>
      </x:c>
      <x:c r="V509" s="15" t="str">
        <x:v>Workflow-audit outreach по UA-2026-02-24-008821-a; попросити 1 пакет здачі та вимоги проєкту</x:v>
      </x:c>
      <x:c r="W509" s="15" t="str">
        <x:v>Власник / директор; керівник ПТО; відповідальний за договори</x:v>
      </x:c>
      <x:c r="X509" s="15" t="str">
        <x:v>1 підтверджених перемог/договорів у Prozorro на 7 771 584 грн; 1 проєктів зі строком виконання не раніше 24.08.2026.</x:v>
      </x:c>
      <x:c r="Y509" s="15" t="str">
        <x:v>Реконструкція каналізаційної насосної станції з встановленням станції очистки стічних вод в с. Старе Село Сумського району, 45454000-4 «Реконструкція» за ДК 021:2015 Єдиного закупівельного словника; строк до 2026-12-31. Попросити один знеособлений пакет здачі за цим workflow.</x:v>
      </x:c>
      <x:c r="Z509" s="15" t="str">
        <x:v>https://prozorro.gov.ua/tender/UA-2026-02-24-008821-a</x:v>
      </x:c>
      <x:c r="AA509" s="14" t="str">
        <x:v>30759920</x:v>
      </x:c>
      <x:c r="AB509" s="14" t="str">
        <x:v>2026-08-24</x:v>
      </x:c>
      <x:c r="AC509" s="14" t="str"/>
      <x:c r="AD509" s="20" t="str"/>
      <x:c r="AE509" s="14" t="str"/>
      <x:c r="AF509" s="14" t="n">
        <x:v>50</x:v>
      </x:c>
      <x:c r="AG509" s="14" t="str">
        <x:v>I3</x:v>
      </x:c>
      <x:c r="AH509" s="14" t="n">
        <x:v>1</x:v>
      </x:c>
      <x:c r="AI509" s="14" t="n">
        <x:v>1</x:v>
      </x:c>
      <x:c r="AJ509" s="18" t="n">
        <x:v>7771583.88</x:v>
      </x:c>
      <x:c r="AK509" s="14" t="str">
        <x:v>https://prozorro.gov.ua/tender/UA-2026-02-24-008821-a</x:v>
      </x:c>
      <x:c r="AL509" s="19" t="n">
        <x:v>46104.59340543982</x:v>
      </x:c>
      <x:c r="AM509" s="19" t="n">
        <x:v>46387.51422453704</x:v>
      </x:c>
      <x:c r="AN509" s="15" t="str">
        <x:v>Насосні станції</x:v>
      </x:c>
      <x:c r="AO509" s="15" t="str">
        <x:v>not_found_in_top_search</x:v>
      </x:c>
    </x:row>
    <x:row r="510">
      <x:c r="A510" s="14" t="str">
        <x:v>W3-238</x:v>
      </x:c>
      <x:c r="B510" s="14" t="str">
        <x:v>Prozorro winners — 24.08</x:v>
      </x:c>
      <x:c r="C510" s="14" t="str">
        <x:v>ТОВ МКМ СЕРВІС ЛТД</x:v>
      </x:c>
      <x:c r="D510" s="14" t="str">
        <x:v>ВОЛЗ / телеком</x:v>
      </x:c>
      <x:c r="E510" s="14" t="str">
        <x:v>Expansion discovery</x:v>
      </x:c>
      <x:c r="F510" s="17" t="str">
        <x:f>IF(E510="Pilot now",IF(P510&gt;=84,"P1",IF(P510&gt;=72,"P2","P3")),IF(E510="Expansion discovery",IF(Q510&gt;=88,"D1",IF(Q510&gt;=78,"D2","D3")),IF(E510="Later / requirements","L","Legacy")))</x:f>
        <x:v>D1</x:v>
      </x:c>
      <x:c r="G510" s="14" t="str">
        <x:v>mkm.ua</x:v>
      </x:c>
      <x:c r="H510" s="14" t="str">
        <x:v>Discovery розширення — 2 тижні</x:v>
      </x:c>
      <x:c r="I510" s="16" t="n">
        <x:v>1</x:v>
      </x:c>
      <x:c r="J510" s="16" t="n">
        <x:v>5</x:v>
      </x:c>
      <x:c r="K510" s="16" t="n">
        <x:v>4</x:v>
      </x:c>
      <x:c r="L510" s="16" t="n">
        <x:v>4</x:v>
      </x:c>
      <x:c r="M510" s="16" t="n">
        <x:v>5</x:v>
      </x:c>
      <x:c r="N510" s="16" t="n">
        <x:v>5</x:v>
      </x:c>
      <x:c r="O510" s="16" t="n">
        <x:v>5</x:v>
      </x:c>
      <x:c r="P510" s="16" t="n">
        <x:f>IF(COUNT(I510:O510)&lt;7,"",I510*8+J510*3+K510*2+L510*2+M510*2+N510*2+O510)</x:f>
        <x:v>64</x:v>
      </x:c>
      <x:c r="Q510" s="16" t="n">
        <x:f>IF(COUNT(J510:O510)&lt;6,"",J510*5+K510*4+M510*4+L510*3+N510*2+O510*2)</x:f>
        <x:v>93</x:v>
      </x:c>
      <x:c r="R510" s="14" t="str">
        <x:v>high</x:v>
      </x:c>
      <x:c r="S510" s="14" t="str">
        <x:v>official_prozorro_award_2025_2026</x:v>
      </x:c>
      <x:c r="T510" s="14" t="str">
        <x:v>official_prozorro_api</x:v>
      </x:c>
      <x:c r="U510" s="14" t="str">
        <x:v>Не контактували</x:v>
      </x:c>
      <x:c r="V510" s="15" t="str">
        <x:v>Workflow-audit outreach по UA-2025-12-15-005738-a; попросити 1 пакет здачі та вимоги проєкту</x:v>
      </x:c>
      <x:c r="W510" s="15" t="str">
        <x:v>Власник / директор; керівник ПТО; відповідальний за договори</x:v>
      </x:c>
      <x:c r="X510" s="15" t="str">
        <x:v>1 підтверджених перемог/договорів у Prozorro на 6 828 498 грн; 1 проєктів зі строком виконання не раніше 24.08.2026.</x:v>
      </x:c>
      <x:c r="Y510" s="15" t="str">
        <x:v>Реконструкція зв’язку шляхом побудови ВОЛЗ від адмінбудівлі НЕК «Укренерго» до ПС 330 кВ «Північна» (інв. № новий). м. Київ та Київська область. І черга будівництва 45454000-4 Реконструкція; строк до 2026-08-31. Попросити один знеособлений пакет здачі за цим workflow.</x:v>
      </x:c>
      <x:c r="Z510" s="15" t="str">
        <x:v>https://prozorro.gov.ua/tender/UA-2025-12-15-005738-a</x:v>
      </x:c>
      <x:c r="AA510" s="14" t="str">
        <x:v>36444694</x:v>
      </x:c>
      <x:c r="AB510" s="14" t="str">
        <x:v>2026-08-24</x:v>
      </x:c>
      <x:c r="AC510" s="14" t="str"/>
      <x:c r="AD510" s="20" t="str"/>
      <x:c r="AE510" s="14" t="str"/>
      <x:c r="AF510" s="14" t="n">
        <x:v>50</x:v>
      </x:c>
      <x:c r="AG510" s="14" t="str">
        <x:v>I3</x:v>
      </x:c>
      <x:c r="AH510" s="14" t="n">
        <x:v>1</x:v>
      </x:c>
      <x:c r="AI510" s="14" t="n">
        <x:v>1</x:v>
      </x:c>
      <x:c r="AJ510" s="18" t="n">
        <x:v>6828497.65</x:v>
      </x:c>
      <x:c r="AK510" s="14" t="str">
        <x:v>https://prozorro.gov.ua/tender/UA-2025-12-15-005738-a</x:v>
      </x:c>
      <x:c r="AL510" s="19" t="n">
        <x:v>46036.33356778935</x:v>
      </x:c>
      <x:c r="AM510" s="19" t="n">
        <x:v>46265</x:v>
      </x:c>
      <x:c r="AN510" s="15" t="str">
        <x:v>ВОЛЗ / телеком</x:v>
      </x:c>
      <x:c r="AO510" s="15" t="str">
        <x:v>supplier_provided_url</x:v>
      </x:c>
    </x:row>
    <x:row r="511">
      <x:c r="A511" s="14" t="str">
        <x:v>W3-239</x:v>
      </x:c>
      <x:c r="B511" s="14" t="str">
        <x:v>Prozorro winners — 24.08</x:v>
      </x:c>
      <x:c r="C511" s="14" t="str">
        <x:v>ТОВАРИСТВО З ОБМЕЖЕНОЮ ВІДПОВІДАЛЬНІСТЮ "ГЕНПРОЕКТ"</x:v>
      </x:c>
      <x:c r="D511" s="14" t="str">
        <x:v>Насосні станції</x:v>
      </x:c>
      <x:c r="E511" s="14" t="str">
        <x:v>Expansion discovery</x:v>
      </x:c>
      <x:c r="F511" s="17" t="str">
        <x:f>IF(E511="Pilot now",IF(P511&gt;=84,"P1",IF(P511&gt;=72,"P2","P3")),IF(E511="Expansion discovery",IF(Q511&gt;=88,"D1",IF(Q511&gt;=78,"D2","D3")),IF(E511="Later / requirements","L","Legacy")))</x:f>
        <x:v>D2</x:v>
      </x:c>
      <x:c r="G511" s="14" t="str"/>
      <x:c r="H511" s="14" t="str">
        <x:v>Discovery розширення — 2 тижні</x:v>
      </x:c>
      <x:c r="I511" s="16" t="n">
        <x:v>1</x:v>
      </x:c>
      <x:c r="J511" s="16" t="n">
        <x:v>5</x:v>
      </x:c>
      <x:c r="K511" s="16" t="n">
        <x:v>4</x:v>
      </x:c>
      <x:c r="L511" s="16" t="n">
        <x:v>2</x:v>
      </x:c>
      <x:c r="M511" s="16" t="n">
        <x:v>5</x:v>
      </x:c>
      <x:c r="N511" s="16" t="n">
        <x:v>5</x:v>
      </x:c>
      <x:c r="O511" s="16" t="n">
        <x:v>5</x:v>
      </x:c>
      <x:c r="P511" s="16" t="n">
        <x:f>IF(COUNT(I511:O511)&lt;7,"",I511*8+J511*3+K511*2+L511*2+M511*2+N511*2+O511)</x:f>
        <x:v>60</x:v>
      </x:c>
      <x:c r="Q511" s="16" t="n">
        <x:f>IF(COUNT(J511:O511)&lt;6,"",J511*5+K511*4+M511*4+L511*3+N511*2+O511*2)</x:f>
        <x:v>87</x:v>
      </x:c>
      <x:c r="R511" s="14" t="str">
        <x:v>high</x:v>
      </x:c>
      <x:c r="S511" s="14" t="str">
        <x:v>official_prozorro_award_2025_2026</x:v>
      </x:c>
      <x:c r="T511" s="14" t="str">
        <x:v>official_prozorro_api</x:v>
      </x:c>
      <x:c r="U511" s="14" t="str">
        <x:v>Не контактували</x:v>
      </x:c>
      <x:c r="V511" s="15" t="str">
        <x:v>Workflow-audit outreach по UA-2026-07-08-005569-a; попросити 1 пакет здачі та вимоги проєкту</x:v>
      </x:c>
      <x:c r="W511" s="15" t="str">
        <x:v>Власник / директор; керівник ПТО; відповідальний за договори</x:v>
      </x:c>
      <x:c r="X511" s="15" t="str">
        <x:v>1 підтверджених перемог/договорів у Prozorro на 419 604 грн; 1 проєктів зі строком виконання не раніше 24.08.2026.</x:v>
      </x:c>
      <x:c r="Y511" s="15" t="str">
        <x:v>Коригування робочого проекту «Реконструкція систем водопостачання і водовідведення м. Дніпро. Насосна станція водовідведення №69. Коригування» (Код ДК 021:2015 71320000-7 Послуги з інженерного проектування); строк до 2026-10-31. Попросити один знеособлений пакет здачі за цим workflow.</x:v>
      </x:c>
      <x:c r="Z511" s="15" t="str">
        <x:v>https://prozorro.gov.ua/tender/UA-2026-07-08-005569-a</x:v>
      </x:c>
      <x:c r="AA511" s="14" t="str">
        <x:v>40446598</x:v>
      </x:c>
      <x:c r="AB511" s="14" t="str">
        <x:v>2026-08-24</x:v>
      </x:c>
      <x:c r="AC511" s="14" t="str"/>
      <x:c r="AD511" s="20" t="str"/>
      <x:c r="AE511" s="14" t="str"/>
      <x:c r="AF511" s="14" t="n">
        <x:v>50</x:v>
      </x:c>
      <x:c r="AG511" s="14" t="str">
        <x:v>I3</x:v>
      </x:c>
      <x:c r="AH511" s="14" t="n">
        <x:v>1</x:v>
      </x:c>
      <x:c r="AI511" s="14" t="n">
        <x:v>1</x:v>
      </x:c>
      <x:c r="AJ511" s="18" t="n">
        <x:v>419604</x:v>
      </x:c>
      <x:c r="AK511" s="14" t="str">
        <x:v>https://prozorro.gov.ua/tender/UA-2026-07-08-005569-a</x:v>
      </x:c>
      <x:c r="AL511" s="19" t="n">
        <x:v>46211.424239050924</x:v>
      </x:c>
      <x:c r="AM511" s="19" t="n">
        <x:v>46326</x:v>
      </x:c>
      <x:c r="AN511" s="15" t="str">
        <x:v>Насосні станції</x:v>
      </x:c>
      <x:c r="AO511" s="15" t="str">
        <x:v>not_found_in_top_search</x:v>
      </x:c>
    </x:row>
    <x:row r="512">
      <x:c r="A512" s="14" t="str">
        <x:v>W3-240</x:v>
      </x:c>
      <x:c r="B512" s="14" t="str">
        <x:v>Prozorro winners — 24.08</x:v>
      </x:c>
      <x:c r="C512" s="14" t="str">
        <x:v>ТОВАРИСТВО З ОБМЕЖЕНОЮ ВІД­ПО­ВІД­АЛЬ­НІ­СТЮ «КРАТОС ПОЖЕЖНА ОХОРОНА»</x:v>
      </x:c>
      <x:c r="D512" s="14" t="str">
        <x:v>Пожежогасіння</x:v>
      </x:c>
      <x:c r="E512" s="14" t="str">
        <x:v>Expansion discovery</x:v>
      </x:c>
      <x:c r="F512" s="17" t="str">
        <x:f>IF(E512="Pilot now",IF(P512&gt;=84,"P1",IF(P512&gt;=72,"P2","P3")),IF(E512="Expansion discovery",IF(Q512&gt;=88,"D1",IF(Q512&gt;=78,"D2","D3")),IF(E512="Later / requirements","L","Legacy")))</x:f>
        <x:v>D2</x:v>
      </x:c>
      <x:c r="G512" s="14" t="str"/>
      <x:c r="H512" s="14" t="str">
        <x:v>Discovery розширення — 2 тижні</x:v>
      </x:c>
      <x:c r="I512" s="16" t="n">
        <x:v>1</x:v>
      </x:c>
      <x:c r="J512" s="16" t="n">
        <x:v>5</x:v>
      </x:c>
      <x:c r="K512" s="16" t="n">
        <x:v>4</x:v>
      </x:c>
      <x:c r="L512" s="16" t="n">
        <x:v>2</x:v>
      </x:c>
      <x:c r="M512" s="16" t="n">
        <x:v>5</x:v>
      </x:c>
      <x:c r="N512" s="16" t="n">
        <x:v>5</x:v>
      </x:c>
      <x:c r="O512" s="16" t="n">
        <x:v>5</x:v>
      </x:c>
      <x:c r="P512" s="16" t="n">
        <x:f>IF(COUNT(I512:O512)&lt;7,"",I512*8+J512*3+K512*2+L512*2+M512*2+N512*2+O512)</x:f>
        <x:v>60</x:v>
      </x:c>
      <x:c r="Q512" s="16" t="n">
        <x:f>IF(COUNT(J512:O512)&lt;6,"",J512*5+K512*4+M512*4+L512*3+N512*2+O512*2)</x:f>
        <x:v>87</x:v>
      </x:c>
      <x:c r="R512" s="14" t="str">
        <x:v>high</x:v>
      </x:c>
      <x:c r="S512" s="14" t="str">
        <x:v>official_prozorro_award_2025_2026</x:v>
      </x:c>
      <x:c r="T512" s="14" t="str">
        <x:v>official_prozorro_api</x:v>
      </x:c>
      <x:c r="U512" s="14" t="str">
        <x:v>Не контактували</x:v>
      </x:c>
      <x:c r="V512" s="15" t="str">
        <x:v>Workflow-audit outreach по UA-2026-07-02-007340-a; попросити 1 пакет здачі та вимоги проєкту</x:v>
      </x:c>
      <x:c r="W512" s="15" t="str">
        <x:v>Власник / директор; керівник ПТО; відповідальний за договори</x:v>
      </x:c>
      <x:c r="X512" s="15" t="str">
        <x:v>1 підтверджених перемог/договорів у Prozorro на 179 394 грн; 1 проєктів зі строком виконання не раніше 24.08.2026.</x:v>
      </x:c>
      <x:c r="Y512" s="15" t="str">
        <x:v>Монтаж системи пожежної сигналізації внутрішніх приміщень будинку за адресою: вул. Помірки, 27 в місті Харкові; строк до 2026-08-31. Попросити один знеособлений пакет здачі за цим workflow.</x:v>
      </x:c>
      <x:c r="Z512" s="15" t="str">
        <x:v>https://prozorro.gov.ua/tender/UA-2026-07-02-007340-a</x:v>
      </x:c>
      <x:c r="AA512" s="14" t="str">
        <x:v>44229483</x:v>
      </x:c>
      <x:c r="AB512" s="14" t="str">
        <x:v>2026-08-24</x:v>
      </x:c>
      <x:c r="AC512" s="14" t="str"/>
      <x:c r="AD512" s="20" t="str"/>
      <x:c r="AE512" s="14" t="str"/>
      <x:c r="AF512" s="14" t="n">
        <x:v>50</x:v>
      </x:c>
      <x:c r="AG512" s="14" t="str">
        <x:v>I3</x:v>
      </x:c>
      <x:c r="AH512" s="14" t="n">
        <x:v>1</x:v>
      </x:c>
      <x:c r="AI512" s="14" t="n">
        <x:v>1</x:v>
      </x:c>
      <x:c r="AJ512" s="18" t="n">
        <x:v>179394.48</x:v>
      </x:c>
      <x:c r="AK512" s="14" t="str">
        <x:v>https://prozorro.gov.ua/tender/UA-2026-07-02-007340-a</x:v>
      </x:c>
      <x:c r="AL512" s="19" t="n">
        <x:v>46205.501769236114</x:v>
      </x:c>
      <x:c r="AM512" s="19" t="n">
        <x:v>46265</x:v>
      </x:c>
      <x:c r="AN512" s="15" t="str">
        <x:v>Пожежогасіння</x:v>
      </x:c>
      <x:c r="AO512" s="15" t="str">
        <x:v>not_found_in_top_search</x:v>
      </x:c>
    </x:row>
    <x:row r="513">
      <x:c r="A513" s="14" t="str">
        <x:v>W3-241</x:v>
      </x:c>
      <x:c r="B513" s="14" t="str">
        <x:v>Prozorro winners — 24.08</x:v>
      </x:c>
      <x:c r="C513" s="14" t="str">
        <x:v>Товариство з обмеженою відповідальністю «Будбетон Сервіс»</x:v>
      </x:c>
      <x:c r="D513" s="14" t="str">
        <x:v>HVAC / ОВіК</x:v>
      </x:c>
      <x:c r="E513" s="14" t="str">
        <x:v>Pilot now</x:v>
      </x:c>
      <x:c r="F513" s="17" t="str">
        <x:f>IF(E513="Pilot now",IF(P513&gt;=84,"P1",IF(P513&gt;=72,"P2","P3")),IF(E513="Expansion discovery",IF(Q513&gt;=88,"D1",IF(Q513&gt;=78,"D2","D3")),IF(E513="Later / requirements","L","Legacy")))</x:f>
        <x:v>P1</x:v>
      </x:c>
      <x:c r="G513" s="14" t="str"/>
      <x:c r="H513" s="14" t="str">
        <x:v>Пілот зараз — Н.14</x:v>
      </x:c>
      <x:c r="I513" s="16" t="n">
        <x:v>5</x:v>
      </x:c>
      <x:c r="J513" s="16" t="n">
        <x:v>5</x:v>
      </x:c>
      <x:c r="K513" s="16" t="n">
        <x:v>5</x:v>
      </x:c>
      <x:c r="L513" s="16" t="n">
        <x:v>2</x:v>
      </x:c>
      <x:c r="M513" s="16" t="n">
        <x:v>5</x:v>
      </x:c>
      <x:c r="N513" s="16" t="n">
        <x:v>5</x:v>
      </x:c>
      <x:c r="O513" s="16" t="n">
        <x:v>5</x:v>
      </x:c>
      <x:c r="P513" s="16" t="n">
        <x:f>IF(COUNT(I513:O513)&lt;7,"",I513*8+J513*3+K513*2+L513*2+M513*2+N513*2+O513)</x:f>
        <x:v>94</x:v>
      </x:c>
      <x:c r="Q513" s="16" t="n">
        <x:f>IF(COUNT(J513:O513)&lt;6,"",J513*5+K513*4+M513*4+L513*3+N513*2+O513*2)</x:f>
        <x:v>91</x:v>
      </x:c>
      <x:c r="R513" s="14" t="str">
        <x:v>high</x:v>
      </x:c>
      <x:c r="S513" s="14" t="str">
        <x:v>official_prozorro_award_2025_2026</x:v>
      </x:c>
      <x:c r="T513" s="14" t="str">
        <x:v>official_prozorro_api</x:v>
      </x:c>
      <x:c r="U513" s="14" t="str">
        <x:v>Не контактували</x:v>
      </x:c>
      <x:c r="V513" s="15" t="str">
        <x:v>Персоналізований free-pilot outreach по UA-2026-06-05-009222-a; попросити 1 пакет Н.14/Н.15</x:v>
      </x:c>
      <x:c r="W513" s="15" t="str">
        <x:v>Власник / директор; керівник ПТО; відповідальний за договори</x:v>
      </x:c>
      <x:c r="X513" s="15" t="str">
        <x:v>1 підтверджених перемог/договорів у Prozorro на 150 881 грн; 1 проєктів зі строком виконання не раніше 24.08.2026.</x:v>
      </x:c>
      <x:c r="Y513" s="15" t="str">
        <x:v>Поточний ремонт приміщення харчоблоку (монтаж системи вентиляції-) ОЗО "ЗАГАЛЬЦІВСЬКИЙ ЛІЦЕЙ” БСР КИЇВСЬКОЇ ОБЛАСТІ за адресою: вул. НЕЗАЛЕЖНОСТІ, 140А, село Загальці, Київської області; строк до 2026-12-31. Попросити один знеособлений пакет здачі за цим workflow.</x:v>
      </x:c>
      <x:c r="Z513" s="15" t="str">
        <x:v>https://prozorro.gov.ua/tender/UA-2026-06-05-009222-a</x:v>
      </x:c>
      <x:c r="AA513" s="14" t="str">
        <x:v>39067062</x:v>
      </x:c>
      <x:c r="AB513" s="14" t="str">
        <x:v>2026-08-24</x:v>
      </x:c>
      <x:c r="AC513" s="14" t="str"/>
      <x:c r="AD513" s="20" t="str"/>
      <x:c r="AE513" s="14" t="str"/>
      <x:c r="AF513" s="14" t="n">
        <x:v>50</x:v>
      </x:c>
      <x:c r="AG513" s="14" t="str">
        <x:v>I3</x:v>
      </x:c>
      <x:c r="AH513" s="14" t="n">
        <x:v>1</x:v>
      </x:c>
      <x:c r="AI513" s="14" t="n">
        <x:v>1</x:v>
      </x:c>
      <x:c r="AJ513" s="18" t="n">
        <x:v>150881</x:v>
      </x:c>
      <x:c r="AK513" s="14" t="str">
        <x:v>https://prozorro.gov.ua/tender/UA-2026-06-05-009222-a</x:v>
      </x:c>
      <x:c r="AL513" s="19" t="n">
        <x:v>46178.49249604167</x:v>
      </x:c>
      <x:c r="AM513" s="19" t="n">
        <x:v>46387.53518518519</x:v>
      </x:c>
      <x:c r="AN513" s="15" t="str">
        <x:v>HVAC / ОВіК</x:v>
      </x:c>
      <x:c r="AO513" s="15" t="str">
        <x:v>not_found_in_top_search</x:v>
      </x:c>
    </x:row>
    <x:row r="514">
      <x:c r="A514" s="14" t="str">
        <x:v>W3-242</x:v>
      </x:c>
      <x:c r="B514" s="14" t="str">
        <x:v>Prozorro winners — 24.08</x:v>
      </x:c>
      <x:c r="C514" s="14" t="str">
        <x:v>Товариство з обмеженою відповідальністю "ОМЕГА ВЕСТ ТРЕЙД"</x:v>
      </x:c>
      <x:c r="D514" s="14" t="str">
        <x:v>Водоочищення / очисні споруди</x:v>
      </x:c>
      <x:c r="E514" s="14" t="str">
        <x:v>Expansion discovery</x:v>
      </x:c>
      <x:c r="F514" s="17" t="str">
        <x:f>IF(E514="Pilot now",IF(P514&gt;=84,"P1",IF(P514&gt;=72,"P2","P3")),IF(E514="Expansion discovery",IF(Q514&gt;=88,"D1",IF(Q514&gt;=78,"D2","D3")),IF(E514="Later / requirements","L","Legacy")))</x:f>
        <x:v>D2</x:v>
      </x:c>
      <x:c r="G514" s="14" t="str"/>
      <x:c r="H514" s="14" t="str">
        <x:v>Discovery розширення — 2 тижні</x:v>
      </x:c>
      <x:c r="I514" s="16" t="n">
        <x:v>1</x:v>
      </x:c>
      <x:c r="J514" s="16" t="n">
        <x:v>5</x:v>
      </x:c>
      <x:c r="K514" s="16" t="n">
        <x:v>4</x:v>
      </x:c>
      <x:c r="L514" s="16" t="n">
        <x:v>2</x:v>
      </x:c>
      <x:c r="M514" s="16" t="n">
        <x:v>5</x:v>
      </x:c>
      <x:c r="N514" s="16" t="n">
        <x:v>5</x:v>
      </x:c>
      <x:c r="O514" s="16" t="n">
        <x:v>5</x:v>
      </x:c>
      <x:c r="P514" s="16" t="n">
        <x:f>IF(COUNT(I514:O514)&lt;7,"",I514*8+J514*3+K514*2+L514*2+M514*2+N514*2+O514)</x:f>
        <x:v>60</x:v>
      </x:c>
      <x:c r="Q514" s="16" t="n">
        <x:f>IF(COUNT(J514:O514)&lt;6,"",J514*5+K514*4+M514*4+L514*3+N514*2+O514*2)</x:f>
        <x:v>87</x:v>
      </x:c>
      <x:c r="R514" s="14" t="str">
        <x:v>high</x:v>
      </x:c>
      <x:c r="S514" s="14" t="str">
        <x:v>official_prozorro_award_2025_2026</x:v>
      </x:c>
      <x:c r="T514" s="14" t="str">
        <x:v>official_prozorro_api</x:v>
      </x:c>
      <x:c r="U514" s="14" t="str">
        <x:v>Не контактували</x:v>
      </x:c>
      <x:c r="V514" s="15" t="str">
        <x:v>Workflow-audit outreach по UA-2026-06-26-003479-a; попросити 1 пакет здачі та вимоги проєкту</x:v>
      </x:c>
      <x:c r="W514" s="15" t="str">
        <x:v>Власник / директор; керівник ПТО; відповідальний за договори</x:v>
      </x:c>
      <x:c r="X514" s="15" t="str">
        <x:v>1 підтверджених перемог/договорів у Prozorro на 149 520 грн; 1 проєктів зі строком виконання не раніше 24.08.2026.</x:v>
      </x:c>
      <x:c r="Y514" s="15" t="str">
        <x:v>Авторський нагляд (надалі-"Роботи") по об'єкту: "Реконструкція очисних споруд каналізації по вул. Конюшківська, 66 в м.Броди Бродівської територіальної громади Золочівського району Львівської області" " ІІ черга будівництва (коригування); строк до 2026-12-31. Попросити один знеособлений пакет здачі за цим workflow.</x:v>
      </x:c>
      <x:c r="Z514" s="15" t="str">
        <x:v>https://prozorro.gov.ua/tender/UA-2026-06-26-003479-a</x:v>
      </x:c>
      <x:c r="AA514" s="14" t="str">
        <x:v>42418604</x:v>
      </x:c>
      <x:c r="AB514" s="14" t="str">
        <x:v>2026-08-24</x:v>
      </x:c>
      <x:c r="AC514" s="14" t="str"/>
      <x:c r="AD514" s="20" t="str"/>
      <x:c r="AE514" s="14" t="str"/>
      <x:c r="AF514" s="14" t="n">
        <x:v>50</x:v>
      </x:c>
      <x:c r="AG514" s="14" t="str">
        <x:v>I3</x:v>
      </x:c>
      <x:c r="AH514" s="14" t="n">
        <x:v>1</x:v>
      </x:c>
      <x:c r="AI514" s="14" t="n">
        <x:v>1</x:v>
      </x:c>
      <x:c r="AJ514" s="18" t="n">
        <x:v>149520</x:v>
      </x:c>
      <x:c r="AK514" s="14" t="str">
        <x:v>https://prozorro.gov.ua/tender/UA-2026-06-26-003479-a</x:v>
      </x:c>
      <x:c r="AL514" s="19" t="n">
        <x:v>46199.34114405092</x:v>
      </x:c>
      <x:c r="AM514" s="19" t="n">
        <x:v>46387.3846412037</x:v>
      </x:c>
      <x:c r="AN514" s="15" t="str">
        <x:v>Водоочищення / очисні споруди</x:v>
      </x:c>
      <x:c r="AO514" s="15" t="str">
        <x:v>not_found_in_top_search</x:v>
      </x:c>
    </x:row>
    <x:row r="515">
      <x:c r="A515" s="14" t="str">
        <x:v>W3-243</x:v>
      </x:c>
      <x:c r="B515" s="14" t="str">
        <x:v>Prozorro winners — 24.08</x:v>
      </x:c>
      <x:c r="C515" s="14" t="str">
        <x:v>ДНІПРОВСЬКА ФІЛІЯ ДЕРЖАВНОГО ПІДПРИЄМСТВА "ДЕРЖАВНИЙ НАУКОВО-ДОСЛІДНИЙ ТА ПРОЕКТНО-ВИШУКУВАЛЬНИЙ ІНСТИТУТ "НДІПРОЕКТРЕКОНСТРУКЦІЯ"</x:v>
      </x:c>
      <x:c r="D515" s="14" t="str">
        <x:v>Зовнішні мережі</x:v>
      </x:c>
      <x:c r="E515" s="14" t="str">
        <x:v>Expansion discovery</x:v>
      </x:c>
      <x:c r="F515" s="17" t="str">
        <x:f>IF(E515="Pilot now",IF(P515&gt;=84,"P1",IF(P515&gt;=72,"P2","P3")),IF(E515="Expansion discovery",IF(Q515&gt;=88,"D1",IF(Q515&gt;=78,"D2","D3")),IF(E515="Later / requirements","L","Legacy")))</x:f>
        <x:v>D2</x:v>
      </x:c>
      <x:c r="G515" s="14" t="str"/>
      <x:c r="H515" s="14" t="str">
        <x:v>Discovery розширення — 2 тижні</x:v>
      </x:c>
      <x:c r="I515" s="16" t="n">
        <x:v>1</x:v>
      </x:c>
      <x:c r="J515" s="16" t="n">
        <x:v>5</x:v>
      </x:c>
      <x:c r="K515" s="16" t="n">
        <x:v>4</x:v>
      </x:c>
      <x:c r="L515" s="16" t="n">
        <x:v>2</x:v>
      </x:c>
      <x:c r="M515" s="16" t="n">
        <x:v>5</x:v>
      </x:c>
      <x:c r="N515" s="16" t="n">
        <x:v>5</x:v>
      </x:c>
      <x:c r="O515" s="16" t="n">
        <x:v>5</x:v>
      </x:c>
      <x:c r="P515" s="16" t="n">
        <x:f>IF(COUNT(I515:O515)&lt;7,"",I515*8+J515*3+K515*2+L515*2+M515*2+N515*2+O515)</x:f>
        <x:v>60</x:v>
      </x:c>
      <x:c r="Q515" s="16" t="n">
        <x:f>IF(COUNT(J515:O515)&lt;6,"",J515*5+K515*4+M515*4+L515*3+N515*2+O515*2)</x:f>
        <x:v>87</x:v>
      </x:c>
      <x:c r="R515" s="14" t="str">
        <x:v>high</x:v>
      </x:c>
      <x:c r="S515" s="14" t="str">
        <x:v>official_prozorro_award_2025_2026</x:v>
      </x:c>
      <x:c r="T515" s="14" t="str">
        <x:v>official_prozorro_api</x:v>
      </x:c>
      <x:c r="U515" s="14" t="str">
        <x:v>Не контактували</x:v>
      </x:c>
      <x:c r="V515" s="15" t="str">
        <x:v>Workflow-audit outreach по UA-2026-05-13-012248-a; попросити 1 пакет здачі та вимоги проєкту</x:v>
      </x:c>
      <x:c r="W515" s="15" t="str">
        <x:v>Власник / директор; керівник ПТО; відповідальний за договори</x:v>
      </x:c>
      <x:c r="X515" s="15" t="str">
        <x:v>2 підтверджених перемог/договорів у Prozorro на 138 689 грн; 0 проєктів зі строком виконання не раніше 24.08.2026.</x:v>
      </x:c>
      <x:c r="Y515" s="15" t="str">
        <x:v>Роботи на виконання експертизи проєктно-кошторисної документації: “Нове будівництво зовнішніх інженерних мереж електропостачання, військове містечко № 25, с. Старичі, Львівська обл.”; строк до 2026-06-12. Попросити один знеособлений пакет здачі за цим workflow.</x:v>
      </x:c>
      <x:c r="Z515" s="15" t="str">
        <x:v>https://prozorro.gov.ua/tender/UA-2026-05-13-012248-a</x:v>
      </x:c>
      <x:c r="AA515" s="14" t="str">
        <x:v>03328965</x:v>
      </x:c>
      <x:c r="AB515" s="14" t="str">
        <x:v>2026-08-24</x:v>
      </x:c>
      <x:c r="AC515" s="14" t="str"/>
      <x:c r="AD515" s="20" t="str"/>
      <x:c r="AE515" s="14" t="str"/>
      <x:c r="AF515" s="14" t="n">
        <x:v>50</x:v>
      </x:c>
      <x:c r="AG515" s="14" t="str">
        <x:v>I3</x:v>
      </x:c>
      <x:c r="AH515" s="14" t="n">
        <x:v>2</x:v>
      </x:c>
      <x:c r="AI515" s="14" t="n">
        <x:v>0</x:v>
      </x:c>
      <x:c r="AJ515" s="18" t="n">
        <x:v>138688.69</x:v>
      </x:c>
      <x:c r="AK515" s="14" t="str">
        <x:v>https://prozorro.gov.ua/tender/UA-2026-05-13-012248-a</x:v>
      </x:c>
      <x:c r="AL515" s="19" t="n">
        <x:v>46155.56610253472</x:v>
      </x:c>
      <x:c r="AM515" s="19" t="n">
        <x:v>46185</x:v>
      </x:c>
      <x:c r="AN515" s="15" t="str">
        <x:v>Зовнішні мережі</x:v>
      </x:c>
      <x:c r="AO515" s="15" t="str">
        <x:v>not_found_in_top_search</x:v>
      </x:c>
    </x:row>
    <x:row r="516">
      <x:c r="A516" s="14" t="str">
        <x:v>W3-244</x:v>
      </x:c>
      <x:c r="B516" s="14" t="str">
        <x:v>Prozorro winners — 24.08</x:v>
      </x:c>
      <x:c r="C516" s="14" t="str">
        <x:v>Державний регіональний проектно-вишукувальний інститут «УКРПІВДЕНДІПРО-ВОДГОСП»</x:v>
      </x:c>
      <x:c r="D516" s="14" t="str">
        <x:v>Водоочищення / очисні споруди</x:v>
      </x:c>
      <x:c r="E516" s="14" t="str">
        <x:v>Expansion discovery</x:v>
      </x:c>
      <x:c r="F516" s="17" t="str">
        <x:f>IF(E516="Pilot now",IF(P516&gt;=84,"P1",IF(P516&gt;=72,"P2","P3")),IF(E516="Expansion discovery",IF(Q516&gt;=88,"D1",IF(Q516&gt;=78,"D2","D3")),IF(E516="Later / requirements","L","Legacy")))</x:f>
        <x:v>D2</x:v>
      </x:c>
      <x:c r="G516" s="14" t="str"/>
      <x:c r="H516" s="14" t="str">
        <x:v>Discovery розширення — 2 тижні</x:v>
      </x:c>
      <x:c r="I516" s="16" t="n">
        <x:v>1</x:v>
      </x:c>
      <x:c r="J516" s="16" t="n">
        <x:v>5</x:v>
      </x:c>
      <x:c r="K516" s="16" t="n">
        <x:v>4</x:v>
      </x:c>
      <x:c r="L516" s="16" t="n">
        <x:v>2</x:v>
      </x:c>
      <x:c r="M516" s="16" t="n">
        <x:v>5</x:v>
      </x:c>
      <x:c r="N516" s="16" t="n">
        <x:v>5</x:v>
      </x:c>
      <x:c r="O516" s="16" t="n">
        <x:v>5</x:v>
      </x:c>
      <x:c r="P516" s="16" t="n">
        <x:f>IF(COUNT(I516:O516)&lt;7,"",I516*8+J516*3+K516*2+L516*2+M516*2+N516*2+O516)</x:f>
        <x:v>60</x:v>
      </x:c>
      <x:c r="Q516" s="16" t="n">
        <x:f>IF(COUNT(J516:O516)&lt;6,"",J516*5+K516*4+M516*4+L516*3+N516*2+O516*2)</x:f>
        <x:v>87</x:v>
      </x:c>
      <x:c r="R516" s="14" t="str">
        <x:v>high</x:v>
      </x:c>
      <x:c r="S516" s="14" t="str">
        <x:v>official_prozorro_award_2025_2026</x:v>
      </x:c>
      <x:c r="T516" s="14" t="str">
        <x:v>official_prozorro_api</x:v>
      </x:c>
      <x:c r="U516" s="14" t="str">
        <x:v>Не контактували</x:v>
      </x:c>
      <x:c r="V516" s="15" t="str">
        <x:v>Workflow-audit outreach по UA-2026-05-19-002841-a; попросити 1 пакет здачі та вимоги проєкту</x:v>
      </x:c>
      <x:c r="W516" s="15" t="str">
        <x:v>Власник / директор; керівник ПТО; відповідальний за договори</x:v>
      </x:c>
      <x:c r="X516" s="15" t="str">
        <x:v>1 підтверджених перемог/договорів у Prozorro на 130 853 грн; 1 проєктів зі строком виконання не раніше 24.08.2026.</x:v>
      </x:c>
      <x:c r="Y516" s="15" t="str">
        <x:v>Проектні роботи з коригування проектно-кошторисної документації : «Реконструкція споруд фізико-механічної очистки стічних вод на очисних спорудах господарсько-побутової каналізації у м. Білгород - Дністровський Одеської області. Коригування»; строк до 2026-12-31. Попросити один знеособлений пакет здачі за цим workflow.</x:v>
      </x:c>
      <x:c r="Z516" s="15" t="str">
        <x:v>https://prozorro.gov.ua/tender/UA-2026-05-19-002841-a</x:v>
      </x:c>
      <x:c r="AA516" s="14" t="str">
        <x:v>01037904</x:v>
      </x:c>
      <x:c r="AB516" s="14" t="str">
        <x:v>2026-08-24</x:v>
      </x:c>
      <x:c r="AC516" s="14" t="str"/>
      <x:c r="AD516" s="20" t="str"/>
      <x:c r="AE516" s="14" t="str"/>
      <x:c r="AF516" s="14" t="n">
        <x:v>50</x:v>
      </x:c>
      <x:c r="AG516" s="14" t="str">
        <x:v>I3</x:v>
      </x:c>
      <x:c r="AH516" s="14" t="n">
        <x:v>1</x:v>
      </x:c>
      <x:c r="AI516" s="14" t="n">
        <x:v>1</x:v>
      </x:c>
      <x:c r="AJ516" s="18" t="n">
        <x:v>130852.88</x:v>
      </x:c>
      <x:c r="AK516" s="14" t="str">
        <x:v>https://prozorro.gov.ua/tender/UA-2026-05-19-002841-a</x:v>
      </x:c>
      <x:c r="AL516" s="19" t="n">
        <x:v>46161.321657291664</x:v>
      </x:c>
      <x:c r="AM516" s="19" t="n">
        <x:v>46387.360763888886</x:v>
      </x:c>
      <x:c r="AN516" s="15" t="str">
        <x:v>Водоочищення / очисні споруди</x:v>
      </x:c>
      <x:c r="AO516" s="15" t="str">
        <x:v>not_found_in_top_search</x:v>
      </x:c>
    </x:row>
    <x:row r="517">
      <x:c r="A517" s="14" t="str">
        <x:v>W3-245</x:v>
      </x:c>
      <x:c r="B517" s="14" t="str">
        <x:v>Prozorro winners — 24.08</x:v>
      </x:c>
      <x:c r="C517" s="14" t="str">
        <x:v>ТОВАРИСТВО З ОБМЕЖЕНОЮ ВІДПОВІДАЛЬНІСТЮ "ВЕКТОР ЛТД"</x:v>
      </x:c>
      <x:c r="D517" s="14" t="str">
        <x:v>Безпека / СКУД / CCTV</x:v>
      </x:c>
      <x:c r="E517" s="14" t="str">
        <x:v>Expansion discovery</x:v>
      </x:c>
      <x:c r="F517" s="17" t="str">
        <x:f>IF(E517="Pilot now",IF(P517&gt;=84,"P1",IF(P517&gt;=72,"P2","P3")),IF(E517="Expansion discovery",IF(Q517&gt;=88,"D1",IF(Q517&gt;=78,"D2","D3")),IF(E517="Later / requirements","L","Legacy")))</x:f>
        <x:v>D2</x:v>
      </x:c>
      <x:c r="G517" s="14" t="str"/>
      <x:c r="H517" s="14" t="str">
        <x:v>Discovery розширення — 2 тижні</x:v>
      </x:c>
      <x:c r="I517" s="16" t="n">
        <x:v>1</x:v>
      </x:c>
      <x:c r="J517" s="16" t="n">
        <x:v>5</x:v>
      </x:c>
      <x:c r="K517" s="16" t="n">
        <x:v>4</x:v>
      </x:c>
      <x:c r="L517" s="16" t="n">
        <x:v>2</x:v>
      </x:c>
      <x:c r="M517" s="16" t="n">
        <x:v>5</x:v>
      </x:c>
      <x:c r="N517" s="16" t="n">
        <x:v>5</x:v>
      </x:c>
      <x:c r="O517" s="16" t="n">
        <x:v>5</x:v>
      </x:c>
      <x:c r="P517" s="16" t="n">
        <x:f>IF(COUNT(I517:O517)&lt;7,"",I517*8+J517*3+K517*2+L517*2+M517*2+N517*2+O517)</x:f>
        <x:v>60</x:v>
      </x:c>
      <x:c r="Q517" s="16" t="n">
        <x:f>IF(COUNT(J517:O517)&lt;6,"",J517*5+K517*4+M517*4+L517*3+N517*2+O517*2)</x:f>
        <x:v>87</x:v>
      </x:c>
      <x:c r="R517" s="14" t="str">
        <x:v>high</x:v>
      </x:c>
      <x:c r="S517" s="14" t="str">
        <x:v>official_prozorro_award_2025_2026</x:v>
      </x:c>
      <x:c r="T517" s="14" t="str">
        <x:v>official_prozorro_api</x:v>
      </x:c>
      <x:c r="U517" s="14" t="str">
        <x:v>Не контактували</x:v>
      </x:c>
      <x:c r="V517" s="15" t="str">
        <x:v>Workflow-audit outreach по UA-2026-05-14-007547-a; попросити 1 пакет здачі та вимоги проєкту</x:v>
      </x:c>
      <x:c r="W517" s="15" t="str">
        <x:v>Власник / директор; керівник ПТО; відповідальний за договори</x:v>
      </x:c>
      <x:c r="X517" s="15" t="str">
        <x:v>1 підтверджених перемог/договорів у Prozorro на 117 567 грн; 1 проєктів зі строком виконання не раніше 24.08.2026.</x:v>
      </x:c>
      <x:c r="Y517" s="15" t="str">
        <x:v>Роботи з монтажу та пусконалагоджувальних робіт системи контролю доступом до адмін будівлі; строк до 2026-12-31. Попросити один знеособлений пакет здачі за цим workflow.</x:v>
      </x:c>
      <x:c r="Z517" s="15" t="str">
        <x:v>https://prozorro.gov.ua/tender/UA-2026-05-14-007547-a</x:v>
      </x:c>
      <x:c r="AA517" s="14" t="str">
        <x:v>16401209</x:v>
      </x:c>
      <x:c r="AB517" s="14" t="str">
        <x:v>2026-08-24</x:v>
      </x:c>
      <x:c r="AC517" s="14" t="str"/>
      <x:c r="AD517" s="20" t="str"/>
      <x:c r="AE517" s="14" t="str"/>
      <x:c r="AF517" s="14" t="n">
        <x:v>50</x:v>
      </x:c>
      <x:c r="AG517" s="14" t="str">
        <x:v>I3</x:v>
      </x:c>
      <x:c r="AH517" s="14" t="n">
        <x:v>1</x:v>
      </x:c>
      <x:c r="AI517" s="14" t="n">
        <x:v>1</x:v>
      </x:c>
      <x:c r="AJ517" s="18" t="n">
        <x:v>117567</x:v>
      </x:c>
      <x:c r="AK517" s="14" t="str">
        <x:v>https://prozorro.gov.ua/tender/UA-2026-05-14-007547-a</x:v>
      </x:c>
      <x:c r="AL517" s="19" t="n">
        <x:v>46156.44319990741</x:v>
      </x:c>
      <x:c r="AM517" s="19" t="n">
        <x:v>46387</x:v>
      </x:c>
      <x:c r="AN517" s="15" t="str">
        <x:v>Безпека / СКУД / CCTV</x:v>
      </x:c>
      <x:c r="AO517" s="15" t="str">
        <x:v>not_found_in_top_search</x:v>
      </x:c>
    </x:row>
    <x:row r="518">
      <x:c r="A518" s="14" t="str">
        <x:v>W3-246</x:v>
      </x:c>
      <x:c r="B518" s="14" t="str">
        <x:v>Prozorro winners — 24.08</x:v>
      </x:c>
      <x:c r="C518" s="14" t="str">
        <x:v>ТзОВ "Фортуна -Іршава"</x:v>
      </x:c>
      <x:c r="D518" s="14" t="str">
        <x:v>Газопостачання / котельні</x:v>
      </x:c>
      <x:c r="E518" s="14" t="str">
        <x:v>Expansion discovery</x:v>
      </x:c>
      <x:c r="F518" s="17" t="str">
        <x:f>IF(E518="Pilot now",IF(P518&gt;=84,"P1",IF(P518&gt;=72,"P2","P3")),IF(E518="Expansion discovery",IF(Q518&gt;=88,"D1",IF(Q518&gt;=78,"D2","D3")),IF(E518="Later / requirements","L","Legacy")))</x:f>
        <x:v>D2</x:v>
      </x:c>
      <x:c r="G518" s="14" t="str"/>
      <x:c r="H518" s="14" t="str">
        <x:v>Discovery розширення — 2 тижні</x:v>
      </x:c>
      <x:c r="I518" s="16" t="n">
        <x:v>1</x:v>
      </x:c>
      <x:c r="J518" s="16" t="n">
        <x:v>5</x:v>
      </x:c>
      <x:c r="K518" s="16" t="n">
        <x:v>4</x:v>
      </x:c>
      <x:c r="L518" s="16" t="n">
        <x:v>2</x:v>
      </x:c>
      <x:c r="M518" s="16" t="n">
        <x:v>5</x:v>
      </x:c>
      <x:c r="N518" s="16" t="n">
        <x:v>5</x:v>
      </x:c>
      <x:c r="O518" s="16" t="n">
        <x:v>5</x:v>
      </x:c>
      <x:c r="P518" s="16" t="n">
        <x:f>IF(COUNT(I518:O518)&lt;7,"",I518*8+J518*3+K518*2+L518*2+M518*2+N518*2+O518)</x:f>
        <x:v>60</x:v>
      </x:c>
      <x:c r="Q518" s="16" t="n">
        <x:f>IF(COUNT(J518:O518)&lt;6,"",J518*5+K518*4+M518*4+L518*3+N518*2+O518*2)</x:f>
        <x:v>87</x:v>
      </x:c>
      <x:c r="R518" s="14" t="str">
        <x:v>high</x:v>
      </x:c>
      <x:c r="S518" s="14" t="str">
        <x:v>official_prozorro_award_2025_2026</x:v>
      </x:c>
      <x:c r="T518" s="14" t="str">
        <x:v>official_prozorro_api</x:v>
      </x:c>
      <x:c r="U518" s="14" t="str">
        <x:v>Не контактували</x:v>
      </x:c>
      <x:c r="V518" s="15" t="str">
        <x:v>Workflow-audit outreach по UA-2026-05-01-005468-a; попросити 1 пакет здачі та вимоги проєкту</x:v>
      </x:c>
      <x:c r="W518" s="15" t="str">
        <x:v>Власник / директор; керівник ПТО; відповідальний за договори</x:v>
      </x:c>
      <x:c r="X518" s="15" t="str">
        <x:v>1 підтверджених перемог/договорів у Prozorro на 107 754 грн; 1 проєктів зі строком виконання не раніше 24.08.2026.</x:v>
      </x:c>
      <x:c r="Y518" s="15" t="str">
        <x:v>Монтаж резервного джерела напруги для резервного живлення існуючої мережі електропостачання будівлі котельні КНП "Іршавська міська лікарня" за адресою вул. Медична,16 м. Іршава.; строк до 2026-12-31. Попросити один знеособлений пакет здачі за цим workflow.</x:v>
      </x:c>
      <x:c r="Z518" s="15" t="str">
        <x:v>https://prozorro.gov.ua/tender/UA-2026-05-01-005468-a</x:v>
      </x:c>
      <x:c r="AA518" s="14" t="str">
        <x:v>32123649</x:v>
      </x:c>
      <x:c r="AB518" s="14" t="str">
        <x:v>2026-08-24</x:v>
      </x:c>
      <x:c r="AC518" s="14" t="str"/>
      <x:c r="AD518" s="20" t="str"/>
      <x:c r="AE518" s="14" t="str"/>
      <x:c r="AF518" s="14" t="n">
        <x:v>50</x:v>
      </x:c>
      <x:c r="AG518" s="14" t="str">
        <x:v>I3</x:v>
      </x:c>
      <x:c r="AH518" s="14" t="n">
        <x:v>1</x:v>
      </x:c>
      <x:c r="AI518" s="14" t="n">
        <x:v>1</x:v>
      </x:c>
      <x:c r="AJ518" s="18" t="n">
        <x:v>107754</x:v>
      </x:c>
      <x:c r="AK518" s="14" t="str">
        <x:v>https://prozorro.gov.ua/tender/UA-2026-05-01-005468-a</x:v>
      </x:c>
      <x:c r="AL518" s="19" t="n">
        <x:v>46143.383084988425</x:v>
      </x:c>
      <x:c r="AM518" s="19" t="n">
        <x:v>46387.42493055556</x:v>
      </x:c>
      <x:c r="AN518" s="15" t="str">
        <x:v>Газопостачання / котельні</x:v>
      </x:c>
      <x:c r="AO518" s="15" t="str">
        <x:v>not_found_in_top_search</x:v>
      </x:c>
    </x:row>
    <x:row r="519">
      <x:c r="A519" s="14" t="str">
        <x:v>W3-247</x:v>
      </x:c>
      <x:c r="B519" s="14" t="str">
        <x:v>Prozorro winners — 24.08</x:v>
      </x:c>
      <x:c r="C519" s="14" t="str">
        <x:v>ТОВАРИСТВО З ОБМЕЖЕНОЮ ВІДПОВІДАЛЬНІСТЮ "АКВАТЕРМ СЕРВІС"</x:v>
      </x:c>
      <x:c r="D519" s="14" t="str">
        <x:v>Насосні станції</x:v>
      </x:c>
      <x:c r="E519" s="14" t="str">
        <x:v>Expansion discovery</x:v>
      </x:c>
      <x:c r="F519" s="17" t="str">
        <x:f>IF(E519="Pilot now",IF(P519&gt;=84,"P1",IF(P519&gt;=72,"P2","P3")),IF(E519="Expansion discovery",IF(Q519&gt;=88,"D1",IF(Q519&gt;=78,"D2","D3")),IF(E519="Later / requirements","L","Legacy")))</x:f>
        <x:v>D2</x:v>
      </x:c>
      <x:c r="G519" s="14" t="str"/>
      <x:c r="H519" s="14" t="str">
        <x:v>Discovery розширення — 2 тижні</x:v>
      </x:c>
      <x:c r="I519" s="16" t="n">
        <x:v>1</x:v>
      </x:c>
      <x:c r="J519" s="16" t="n">
        <x:v>5</x:v>
      </x:c>
      <x:c r="K519" s="16" t="n">
        <x:v>4</x:v>
      </x:c>
      <x:c r="L519" s="16" t="n">
        <x:v>2</x:v>
      </x:c>
      <x:c r="M519" s="16" t="n">
        <x:v>5</x:v>
      </x:c>
      <x:c r="N519" s="16" t="n">
        <x:v>5</x:v>
      </x:c>
      <x:c r="O519" s="16" t="n">
        <x:v>5</x:v>
      </x:c>
      <x:c r="P519" s="16" t="n">
        <x:f>IF(COUNT(I519:O519)&lt;7,"",I519*8+J519*3+K519*2+L519*2+M519*2+N519*2+O519)</x:f>
        <x:v>60</x:v>
      </x:c>
      <x:c r="Q519" s="16" t="n">
        <x:f>IF(COUNT(J519:O519)&lt;6,"",J519*5+K519*4+M519*4+L519*3+N519*2+O519*2)</x:f>
        <x:v>87</x:v>
      </x:c>
      <x:c r="R519" s="14" t="str">
        <x:v>high</x:v>
      </x:c>
      <x:c r="S519" s="14" t="str">
        <x:v>official_prozorro_award_2025_2026</x:v>
      </x:c>
      <x:c r="T519" s="14" t="str">
        <x:v>official_prozorro_api</x:v>
      </x:c>
      <x:c r="U519" s="14" t="str">
        <x:v>Не контактували</x:v>
      </x:c>
      <x:c r="V519" s="15" t="str">
        <x:v>Workflow-audit outreach по UA-2026-06-11-011496-a; попросити 1 пакет здачі та вимоги проєкту</x:v>
      </x:c>
      <x:c r="W519" s="15" t="str">
        <x:v>Власник / директор; керівник ПТО; відповідальний за договори</x:v>
      </x:c>
      <x:c r="X519" s="15" t="str">
        <x:v>1 підтверджених перемог/договорів у Prozorro на 104 765 грн; 1 проєктів зі строком виконання не раніше 24.08.2026.</x:v>
      </x:c>
      <x:c r="Y519" s="15" t="str">
        <x:v>Коригування проектно-кошторисної документації по об'єкту: "Реконструкція каналізаційної насосної станції "Інститут" за адресою: вул. Чуднівська, 109 в м.Житомир" (коригування); строк до 2026-12-31. Попросити один знеособлений пакет здачі за цим workflow.</x:v>
      </x:c>
      <x:c r="Z519" s="15" t="str">
        <x:v>https://prozorro.gov.ua/tender/UA-2026-06-11-011496-a</x:v>
      </x:c>
      <x:c r="AA519" s="14" t="str">
        <x:v>42121538</x:v>
      </x:c>
      <x:c r="AB519" s="14" t="str">
        <x:v>2026-08-24</x:v>
      </x:c>
      <x:c r="AC519" s="14" t="str"/>
      <x:c r="AD519" s="20" t="str"/>
      <x:c r="AE519" s="14" t="str"/>
      <x:c r="AF519" s="14" t="n">
        <x:v>50</x:v>
      </x:c>
      <x:c r="AG519" s="14" t="str">
        <x:v>I3</x:v>
      </x:c>
      <x:c r="AH519" s="14" t="n">
        <x:v>1</x:v>
      </x:c>
      <x:c r="AI519" s="14" t="n">
        <x:v>1</x:v>
      </x:c>
      <x:c r="AJ519" s="18" t="n">
        <x:v>104765</x:v>
      </x:c>
      <x:c r="AK519" s="14" t="str">
        <x:v>https://prozorro.gov.ua/tender/UA-2026-06-11-011496-a</x:v>
      </x:c>
      <x:c r="AL519" s="19" t="n">
        <x:v>46184.5446693287</x:v>
      </x:c>
      <x:c r="AM519" s="19" t="n">
        <x:v>46387</x:v>
      </x:c>
      <x:c r="AN519" s="15" t="str">
        <x:v>Насосні станції</x:v>
      </x:c>
      <x:c r="AO519" s="15" t="str">
        <x:v>not_found_in_top_search</x:v>
      </x:c>
    </x:row>
    <x:row r="520">
      <x:c r="A520" s="14" t="str">
        <x:v>W3-248</x:v>
      </x:c>
      <x:c r="B520" s="14" t="str">
        <x:v>Prozorro winners — 24.08</x:v>
      </x:c>
      <x:c r="C520" s="14" t="str">
        <x:v>ТОВ "МАРЛІН ІНК"</x:v>
      </x:c>
      <x:c r="D520" s="14" t="str">
        <x:v>ГНБ / безтраншейні роботи</x:v>
      </x:c>
      <x:c r="E520" s="14" t="str">
        <x:v>Expansion discovery</x:v>
      </x:c>
      <x:c r="F520" s="17" t="str">
        <x:f>IF(E520="Pilot now",IF(P520&gt;=84,"P1",IF(P520&gt;=72,"P2","P3")),IF(E520="Expansion discovery",IF(Q520&gt;=88,"D1",IF(Q520&gt;=78,"D2","D3")),IF(E520="Later / requirements","L","Legacy")))</x:f>
        <x:v>D1</x:v>
      </x:c>
      <x:c r="G520" s="14" t="str"/>
      <x:c r="H520" s="14" t="str">
        <x:v>Discovery розширення — 2 тижні</x:v>
      </x:c>
      <x:c r="I520" s="16" t="n">
        <x:v>1</x:v>
      </x:c>
      <x:c r="J520" s="16" t="n">
        <x:v>5</x:v>
      </x:c>
      <x:c r="K520" s="16" t="n">
        <x:v>4</x:v>
      </x:c>
      <x:c r="L520" s="16" t="n">
        <x:v>5</x:v>
      </x:c>
      <x:c r="M520" s="16" t="n">
        <x:v>5</x:v>
      </x:c>
      <x:c r="N520" s="16" t="n">
        <x:v>5</x:v>
      </x:c>
      <x:c r="O520" s="16" t="n">
        <x:v>5</x:v>
      </x:c>
      <x:c r="P520" s="16" t="n">
        <x:f>IF(COUNT(I520:O520)&lt;7,"",I520*8+J520*3+K520*2+L520*2+M520*2+N520*2+O520)</x:f>
        <x:v>66</x:v>
      </x:c>
      <x:c r="Q520" s="16" t="n">
        <x:f>IF(COUNT(J520:O520)&lt;6,"",J520*5+K520*4+M520*4+L520*3+N520*2+O520*2)</x:f>
        <x:v>96</x:v>
      </x:c>
      <x:c r="R520" s="14" t="str">
        <x:v>high</x:v>
      </x:c>
      <x:c r="S520" s="14" t="str">
        <x:v>official_prozorro_award_2025_2026</x:v>
      </x:c>
      <x:c r="T520" s="14" t="str">
        <x:v>official_prozorro_api</x:v>
      </x:c>
      <x:c r="U520" s="14" t="str">
        <x:v>Не контактували</x:v>
      </x:c>
      <x:c r="V520" s="15" t="str">
        <x:v>Workflow-audit outreach по UA-2025-07-16-005656-a; попросити 1 пакет здачі та вимоги проєкту</x:v>
      </x:c>
      <x:c r="W520" s="15" t="str">
        <x:v>Власник / директор; керівник ПТО; відповідальний за договори</x:v>
      </x:c>
      <x:c r="X520" s="15" t="str">
        <x:v>2 підтверджених перемог/договорів у Prozorro на 16 099 379 грн; 0 проєктів зі строком виконання не раніше 24.08.2026.</x:v>
      </x:c>
      <x:c r="Y520" s="15" t="str">
        <x:v>Демонтаж резервуарів, фундаментів та технологічних трубопроводів резервуарного парку +++ НГВУ «Чернігівнафтогаз» ПАТ «Укрнафта» Чернігівська обл. Прилуцький р-н, +++; строк до 2025-12-31. Попросити один знеособлений пакет здачі за цим workflow.</x:v>
      </x:c>
      <x:c r="Z520" s="15" t="str">
        <x:v>https://prozorro.gov.ua/tender/UA-2025-07-16-005656-a</x:v>
      </x:c>
      <x:c r="AA520" s="14" t="str">
        <x:v>45197711</x:v>
      </x:c>
      <x:c r="AB520" s="14" t="str">
        <x:v>2026-08-24</x:v>
      </x:c>
      <x:c r="AC520" s="14" t="str"/>
      <x:c r="AD520" s="20" t="str"/>
      <x:c r="AE520" s="14" t="str"/>
      <x:c r="AF520" s="14" t="n">
        <x:v>49</x:v>
      </x:c>
      <x:c r="AG520" s="14" t="str">
        <x:v>I3</x:v>
      </x:c>
      <x:c r="AH520" s="14" t="n">
        <x:v>2</x:v>
      </x:c>
      <x:c r="AI520" s="14" t="n">
        <x:v>0</x:v>
      </x:c>
      <x:c r="AJ520" s="18" t="n">
        <x:v>16099379</x:v>
      </x:c>
      <x:c r="AK520" s="14" t="str">
        <x:v>https://prozorro.gov.ua/tender/UA-2025-07-16-005656-a</x:v>
      </x:c>
      <x:c r="AL520" s="19" t="n">
        <x:v>45883.3629891088</x:v>
      </x:c>
      <x:c r="AM520" s="19" t="n">
        <x:v>46022</x:v>
      </x:c>
      <x:c r="AN520" s="15" t="str">
        <x:v>ГНБ / безтраншейні роботи; Технологічні трубопроводи</x:v>
      </x:c>
      <x:c r="AO520" s="15" t="str">
        <x:v>not_found_in_top_search</x:v>
      </x:c>
    </x:row>
    <x:row r="521">
      <x:c r="A521" s="14" t="str">
        <x:v>W3-249</x:v>
      </x:c>
      <x:c r="B521" s="14" t="str">
        <x:v>Prozorro winners — 24.08</x:v>
      </x:c>
      <x:c r="C521" s="14" t="str">
        <x:v>ТОВ "ПРОЕКТНИЙ ЦЕНТР РЕМБУД"</x:v>
      </x:c>
      <x:c r="D521" s="14" t="str">
        <x:v>Насосні станції</x:v>
      </x:c>
      <x:c r="E521" s="14" t="str">
        <x:v>Expansion discovery</x:v>
      </x:c>
      <x:c r="F521" s="17" t="str">
        <x:f>IF(E521="Pilot now",IF(P521&gt;=84,"P1",IF(P521&gt;=72,"P2","P3")),IF(E521="Expansion discovery",IF(Q521&gt;=88,"D1",IF(Q521&gt;=78,"D2","D3")),IF(E521="Later / requirements","L","Legacy")))</x:f>
        <x:v>D1</x:v>
      </x:c>
      <x:c r="G521" s="14" t="str"/>
      <x:c r="H521" s="14" t="str">
        <x:v>Discovery розширення — 2 тижні</x:v>
      </x:c>
      <x:c r="I521" s="16" t="n">
        <x:v>1</x:v>
      </x:c>
      <x:c r="J521" s="16" t="n">
        <x:v>5</x:v>
      </x:c>
      <x:c r="K521" s="16" t="n">
        <x:v>4</x:v>
      </x:c>
      <x:c r="L521" s="16" t="n">
        <x:v>3</x:v>
      </x:c>
      <x:c r="M521" s="16" t="n">
        <x:v>5</x:v>
      </x:c>
      <x:c r="N521" s="16" t="n">
        <x:v>5</x:v>
      </x:c>
      <x:c r="O521" s="16" t="n">
        <x:v>5</x:v>
      </x:c>
      <x:c r="P521" s="16" t="n">
        <x:f>IF(COUNT(I521:O521)&lt;7,"",I521*8+J521*3+K521*2+L521*2+M521*2+N521*2+O521)</x:f>
        <x:v>62</x:v>
      </x:c>
      <x:c r="Q521" s="16" t="n">
        <x:f>IF(COUNT(J521:O521)&lt;6,"",J521*5+K521*4+M521*4+L521*3+N521*2+O521*2)</x:f>
        <x:v>90</x:v>
      </x:c>
      <x:c r="R521" s="14" t="str">
        <x:v>high</x:v>
      </x:c>
      <x:c r="S521" s="14" t="str">
        <x:v>official_prozorro_award_2025_2026</x:v>
      </x:c>
      <x:c r="T521" s="14" t="str">
        <x:v>official_prozorro_api</x:v>
      </x:c>
      <x:c r="U521" s="14" t="str">
        <x:v>Не контактували</x:v>
      </x:c>
      <x:c r="V521" s="15" t="str">
        <x:v>Workflow-audit outreach по UA-2026-06-02-002181-a; попросити 1 пакет здачі та вимоги проєкту</x:v>
      </x:c>
      <x:c r="W521" s="15" t="str">
        <x:v>Власник / директор; керівник ПТО; відповідальний за договори</x:v>
      </x:c>
      <x:c r="X521" s="15" t="str">
        <x:v>1 підтверджених перемог/договорів у Prozorro на 1 200 000 грн; 0 проєктів зі строком виконання не раніше 24.08.2026.</x:v>
      </x:c>
      <x:c r="Y521" s="15" t="str">
        <x:v>Коригування проектної документації по об"єкту: "Реконструкція водопровідної насосної станції "Бобровиця", розташованої на землях Киселівської ОТГ Чернігівського району Чернігівської області." Коригування; строк до 2026-07-10. Попросити один знеособлений пакет здачі за цим workflow.</x:v>
      </x:c>
      <x:c r="Z521" s="15" t="str">
        <x:v>https://prozorro.gov.ua/tender/UA-2026-06-02-002181-a</x:v>
      </x:c>
      <x:c r="AA521" s="14" t="str">
        <x:v>44939177</x:v>
      </x:c>
      <x:c r="AB521" s="14" t="str">
        <x:v>2026-08-24</x:v>
      </x:c>
      <x:c r="AC521" s="14" t="str"/>
      <x:c r="AD521" s="20" t="str"/>
      <x:c r="AE521" s="14" t="str"/>
      <x:c r="AF521" s="14" t="n">
        <x:v>49</x:v>
      </x:c>
      <x:c r="AG521" s="14" t="str">
        <x:v>I3</x:v>
      </x:c>
      <x:c r="AH521" s="14" t="n">
        <x:v>1</x:v>
      </x:c>
      <x:c r="AI521" s="14" t="n">
        <x:v>0</x:v>
      </x:c>
      <x:c r="AJ521" s="18" t="n">
        <x:v>1200000</x:v>
      </x:c>
      <x:c r="AK521" s="14" t="str">
        <x:v>https://prozorro.gov.ua/tender/UA-2026-06-02-002181-a</x:v>
      </x:c>
      <x:c r="AL521" s="19" t="n">
        <x:v>46175.30792525463</x:v>
      </x:c>
      <x:c r="AM521" s="19" t="n">
        <x:v>46213.30908564815</x:v>
      </x:c>
      <x:c r="AN521" s="15" t="str">
        <x:v>Насосні станції</x:v>
      </x:c>
      <x:c r="AO521" s="15" t="str">
        <x:v>not_found_in_top_search</x:v>
      </x:c>
    </x:row>
    <x:row r="522">
      <x:c r="A522" s="14" t="str">
        <x:v>W3-250</x:v>
      </x:c>
      <x:c r="B522" s="14" t="str">
        <x:v>Prozorro winners — 24.08</x:v>
      </x:c>
      <x:c r="C522" s="14" t="str">
        <x:v>ТОВАРИСТВО З ОБМЕЖЕНОЮ ВІДПОВІДАЛЬНІСТЮ "ІННОВАЦІЙНА КОМПАНІЯ "ДЕКА"</x:v>
      </x:c>
      <x:c r="D522" s="14" t="str">
        <x:v>Водоочищення / очисні споруди</x:v>
      </x:c>
      <x:c r="E522" s="14" t="str">
        <x:v>Expansion discovery</x:v>
      </x:c>
      <x:c r="F522" s="17" t="str">
        <x:f>IF(E522="Pilot now",IF(P522&gt;=84,"P1",IF(P522&gt;=72,"P2","P3")),IF(E522="Expansion discovery",IF(Q522&gt;=88,"D1",IF(Q522&gt;=78,"D2","D3")),IF(E522="Later / requirements","L","Legacy")))</x:f>
        <x:v>D1</x:v>
      </x:c>
      <x:c r="G522" s="14" t="str"/>
      <x:c r="H522" s="14" t="str">
        <x:v>Discovery розширення — 2 тижні</x:v>
      </x:c>
      <x:c r="I522" s="16" t="n">
        <x:v>1</x:v>
      </x:c>
      <x:c r="J522" s="16" t="n">
        <x:v>5</x:v>
      </x:c>
      <x:c r="K522" s="16" t="n">
        <x:v>4</x:v>
      </x:c>
      <x:c r="L522" s="16" t="n">
        <x:v>3</x:v>
      </x:c>
      <x:c r="M522" s="16" t="n">
        <x:v>5</x:v>
      </x:c>
      <x:c r="N522" s="16" t="n">
        <x:v>5</x:v>
      </x:c>
      <x:c r="O522" s="16" t="n">
        <x:v>5</x:v>
      </x:c>
      <x:c r="P522" s="16" t="n">
        <x:f>IF(COUNT(I522:O522)&lt;7,"",I522*8+J522*3+K522*2+L522*2+M522*2+N522*2+O522)</x:f>
        <x:v>62</x:v>
      </x:c>
      <x:c r="Q522" s="16" t="n">
        <x:f>IF(COUNT(J522:O522)&lt;6,"",J522*5+K522*4+M522*4+L522*3+N522*2+O522*2)</x:f>
        <x:v>90</x:v>
      </x:c>
      <x:c r="R522" s="14" t="str">
        <x:v>high</x:v>
      </x:c>
      <x:c r="S522" s="14" t="str">
        <x:v>official_prozorro_award_2025_2026</x:v>
      </x:c>
      <x:c r="T522" s="14" t="str">
        <x:v>official_prozorro_api</x:v>
      </x:c>
      <x:c r="U522" s="14" t="str">
        <x:v>Не контактували</x:v>
      </x:c>
      <x:c r="V522" s="15" t="str">
        <x:v>Workflow-audit outreach по UA-2026-05-12-003036-a; попросити 1 пакет здачі та вимоги проєкту</x:v>
      </x:c>
      <x:c r="W522" s="15" t="str">
        <x:v>Власник / директор; керівник ПТО; відповідальний за договори</x:v>
      </x:c>
      <x:c r="X522" s="15" t="str">
        <x:v>1 підтверджених перемог/договорів у Prozorro на 662 692 грн; 0 проєктів зі строком виконання не раніше 24.08.2026.</x:v>
      </x:c>
      <x:c r="Y522" s="15" t="str">
        <x:v>Інженерно-геологічні та геодезичні вишукування на об'єкті «Реконструкція частини мережі каналізації шляхом встановлення модульних очисних споруд в селищі Олександрівка, Краматорського району, Донецької області»; строк до 2026-07-11. Попросити один знеособлений пакет здачі за цим workflow.</x:v>
      </x:c>
      <x:c r="Z522" s="15" t="str">
        <x:v>https://prozorro.gov.ua/tender/UA-2026-05-12-003036-a</x:v>
      </x:c>
      <x:c r="AA522" s="14" t="str">
        <x:v>43880471</x:v>
      </x:c>
      <x:c r="AB522" s="14" t="str">
        <x:v>2026-08-24</x:v>
      </x:c>
      <x:c r="AC522" s="14" t="str"/>
      <x:c r="AD522" s="20" t="str"/>
      <x:c r="AE522" s="14" t="str"/>
      <x:c r="AF522" s="14" t="n">
        <x:v>49</x:v>
      </x:c>
      <x:c r="AG522" s="14" t="str">
        <x:v>I3</x:v>
      </x:c>
      <x:c r="AH522" s="14" t="n">
        <x:v>1</x:v>
      </x:c>
      <x:c r="AI522" s="14" t="n">
        <x:v>0</x:v>
      </x:c>
      <x:c r="AJ522" s="18" t="n">
        <x:v>662692.01</x:v>
      </x:c>
      <x:c r="AK522" s="14" t="str">
        <x:v>https://prozorro.gov.ua/tender/UA-2026-05-12-003036-a</x:v>
      </x:c>
      <x:c r="AL522" s="19" t="n">
        <x:v>46154.3828858912</x:v>
      </x:c>
      <x:c r="AM522" s="19" t="n">
        <x:v>46214</x:v>
      </x:c>
      <x:c r="AN522" s="15" t="str">
        <x:v>Водоочищення / очисні споруди</x:v>
      </x:c>
      <x:c r="AO522" s="15" t="str">
        <x:v>not_found_in_top_search</x:v>
      </x:c>
    </x:row>
    <x:row r="523">
      <x:c r="A523" s="14" t="str">
        <x:v>W3-251</x:v>
      </x:c>
      <x:c r="B523" s="14" t="str">
        <x:v>Prozorro winners — 24.08</x:v>
      </x:c>
      <x:c r="C523" s="14" t="str">
        <x:v>ТОВАРИСТВО З ОБМЕЖЕНОЮ ВІДПОВІДАЛЬНІСТЮ "НАУКОВО-ВИРОБНИЧЕ ПІДПРИЄМСТВО "УКРАЇНСЬКІ ТЕПЛОВІ МЕРЕЖІ"</x:v>
      </x:c>
      <x:c r="D523" s="14" t="str">
        <x:v>HVAC / ОВіК</x:v>
      </x:c>
      <x:c r="E523" s="14" t="str">
        <x:v>Pilot now</x:v>
      </x:c>
      <x:c r="F523" s="17" t="str">
        <x:f>IF(E523="Pilot now",IF(P523&gt;=84,"P1",IF(P523&gt;=72,"P2","P3")),IF(E523="Expansion discovery",IF(Q523&gt;=88,"D1",IF(Q523&gt;=78,"D2","D3")),IF(E523="Later / requirements","L","Legacy")))</x:f>
        <x:v>P1</x:v>
      </x:c>
      <x:c r="G523" s="14" t="str"/>
      <x:c r="H523" s="14" t="str">
        <x:v>Пілот зараз — Н.14</x:v>
      </x:c>
      <x:c r="I523" s="16" t="n">
        <x:v>5</x:v>
      </x:c>
      <x:c r="J523" s="16" t="n">
        <x:v>5</x:v>
      </x:c>
      <x:c r="K523" s="16" t="n">
        <x:v>5</x:v>
      </x:c>
      <x:c r="L523" s="16" t="n">
        <x:v>3</x:v>
      </x:c>
      <x:c r="M523" s="16" t="n">
        <x:v>5</x:v>
      </x:c>
      <x:c r="N523" s="16" t="n">
        <x:v>5</x:v>
      </x:c>
      <x:c r="O523" s="16" t="n">
        <x:v>5</x:v>
      </x:c>
      <x:c r="P523" s="16" t="n">
        <x:f>IF(COUNT(I523:O523)&lt;7,"",I523*8+J523*3+K523*2+L523*2+M523*2+N523*2+O523)</x:f>
        <x:v>96</x:v>
      </x:c>
      <x:c r="Q523" s="16" t="n">
        <x:f>IF(COUNT(J523:O523)&lt;6,"",J523*5+K523*4+M523*4+L523*3+N523*2+O523*2)</x:f>
        <x:v>94</x:v>
      </x:c>
      <x:c r="R523" s="14" t="str">
        <x:v>high</x:v>
      </x:c>
      <x:c r="S523" s="14" t="str">
        <x:v>official_prozorro_award_2025_2026</x:v>
      </x:c>
      <x:c r="T523" s="14" t="str">
        <x:v>official_prozorro_api</x:v>
      </x:c>
      <x:c r="U523" s="14" t="str">
        <x:v>Не контактували</x:v>
      </x:c>
      <x:c r="V523" s="15" t="str">
        <x:v>Персоналізований free-pilot outreach по UA-2026-04-24-009702-a; попросити 1 пакет Н.14/Н.15</x:v>
      </x:c>
      <x:c r="W523" s="15" t="str">
        <x:v>Власник / директор; керівник ПТО; відповідальний за договори</x:v>
      </x:c>
      <x:c r="X523" s="15" t="str">
        <x:v>1 підтверджених перемог/договорів у Prozorro на 545 375 грн; 0 проєктів зі строком виконання не раніше 24.08.2026.</x:v>
      </x:c>
      <x:c r="Y523" s="15" t="str">
        <x:v>Послуги з монтажу топкової та підключення її обладнання до існуючої системи опалення за адресою м. Харків, вул. Основ’янська, 17, відповідний код ЄЗС: ДК 021:2015: 45331000-6  Встановлення опалювальних, вентиляційних систем і систем кондиціонування повітря ; строк до 2026-05-30. Попросити один знеособлений пакет здачі за цим workflow.</x:v>
      </x:c>
      <x:c r="Z523" s="15" t="str">
        <x:v>https://prozorro.gov.ua/tender/UA-2026-04-24-009702-a</x:v>
      </x:c>
      <x:c r="AA523" s="14" t="str">
        <x:v>41157207</x:v>
      </x:c>
      <x:c r="AB523" s="14" t="str">
        <x:v>2026-08-24</x:v>
      </x:c>
      <x:c r="AC523" s="14" t="str"/>
      <x:c r="AD523" s="20" t="str"/>
      <x:c r="AE523" s="14" t="str"/>
      <x:c r="AF523" s="14" t="n">
        <x:v>49</x:v>
      </x:c>
      <x:c r="AG523" s="14" t="str">
        <x:v>I3</x:v>
      </x:c>
      <x:c r="AH523" s="14" t="n">
        <x:v>1</x:v>
      </x:c>
      <x:c r="AI523" s="14" t="n">
        <x:v>0</x:v>
      </x:c>
      <x:c r="AJ523" s="18" t="n">
        <x:v>545375</x:v>
      </x:c>
      <x:c r="AK523" s="14" t="str">
        <x:v>https://prozorro.gov.ua/tender/UA-2026-04-24-009702-a</x:v>
      </x:c>
      <x:c r="AL523" s="19" t="n">
        <x:v>46148.5671849537</x:v>
      </x:c>
      <x:c r="AM523" s="19" t="n">
        <x:v>46172.87498842592</x:v>
      </x:c>
      <x:c r="AN523" s="15" t="str">
        <x:v>HVAC / ОВіК</x:v>
      </x:c>
      <x:c r="AO523" s="15" t="str">
        <x:v>not_found_in_top_search</x:v>
      </x:c>
    </x:row>
    <x:row r="524">
      <x:c r="A524" s="14" t="str">
        <x:v>W3-252</x:v>
      </x:c>
      <x:c r="B524" s="14" t="str">
        <x:v>Prozorro winners — 24.08</x:v>
      </x:c>
      <x:c r="C524" s="14" t="str">
        <x:v>ФОП БОВКУН РОМАН АНДРІЙОВИЧ</x:v>
      </x:c>
      <x:c r="D524" s="14" t="str">
        <x:v>Електромонтаж</x:v>
      </x:c>
      <x:c r="E524" s="14" t="str">
        <x:v>Pilot now</x:v>
      </x:c>
      <x:c r="F524" s="17" t="str">
        <x:f>IF(E524="Pilot now",IF(P524&gt;=84,"P1",IF(P524&gt;=72,"P2","P3")),IF(E524="Expansion discovery",IF(Q524&gt;=88,"D1",IF(Q524&gt;=78,"D2","D3")),IF(E524="Later / requirements","L","Legacy")))</x:f>
        <x:v>P1</x:v>
      </x:c>
      <x:c r="G524" s="14" t="str"/>
      <x:c r="H524" s="14" t="str">
        <x:v>Пілот зараз — Н.15</x:v>
      </x:c>
      <x:c r="I524" s="16" t="n">
        <x:v>5</x:v>
      </x:c>
      <x:c r="J524" s="16" t="n">
        <x:v>5</x:v>
      </x:c>
      <x:c r="K524" s="16" t="n">
        <x:v>5</x:v>
      </x:c>
      <x:c r="L524" s="16" t="n">
        <x:v>1</x:v>
      </x:c>
      <x:c r="M524" s="16" t="n">
        <x:v>5</x:v>
      </x:c>
      <x:c r="N524" s="16" t="n">
        <x:v>3</x:v>
      </x:c>
      <x:c r="O524" s="16" t="n">
        <x:v>5</x:v>
      </x:c>
      <x:c r="P524" s="16" t="n">
        <x:f>IF(COUNT(I524:O524)&lt;7,"",I524*8+J524*3+K524*2+L524*2+M524*2+N524*2+O524)</x:f>
        <x:v>88</x:v>
      </x:c>
      <x:c r="Q524" s="16" t="n">
        <x:f>IF(COUNT(J524:O524)&lt;6,"",J524*5+K524*4+M524*4+L524*3+N524*2+O524*2)</x:f>
        <x:v>84</x:v>
      </x:c>
      <x:c r="R524" s="14" t="str">
        <x:v>high</x:v>
      </x:c>
      <x:c r="S524" s="14" t="str">
        <x:v>official_prozorro_award_2025_2026</x:v>
      </x:c>
      <x:c r="T524" s="14" t="str">
        <x:v>official_prozorro_api</x:v>
      </x:c>
      <x:c r="U524" s="14" t="str">
        <x:v>Не контактували</x:v>
      </x:c>
      <x:c r="V524" s="15" t="str">
        <x:v>Персоналізований free-pilot outreach по UA-2026-07-24-000245-a; попросити 1 пакет Н.14/Н.15</x:v>
      </x:c>
      <x:c r="W524" s="15" t="str">
        <x:v>Власник / виконавець; відповідальний за договір</x:v>
      </x:c>
      <x:c r="X524" s="15" t="str">
        <x:v>1 підтверджених перемог/договорів у Prozorro на 99 000 грн; 1 проєктів зі строком виконання не раніше 24.08.2026.</x:v>
      </x:c>
      <x:c r="Y524" s="15" t="str">
        <x:v>Електромонтажні роботи; строк до 2026-12-31. Попросити один знеособлений пакет здачі за цим workflow.</x:v>
      </x:c>
      <x:c r="Z524" s="15" t="str">
        <x:v>https://prozorro.gov.ua/tender/UA-2026-07-24-000245-a</x:v>
      </x:c>
      <x:c r="AA524" s="14" t="str">
        <x:v>2913718431</x:v>
      </x:c>
      <x:c r="AB524" s="14" t="str">
        <x:v>2026-08-24</x:v>
      </x:c>
      <x:c r="AC524" s="14" t="str"/>
      <x:c r="AD524" s="20" t="str"/>
      <x:c r="AE524" s="14" t="str"/>
      <x:c r="AF524" s="14" t="n">
        <x:v>49</x:v>
      </x:c>
      <x:c r="AG524" s="14" t="str">
        <x:v>I3</x:v>
      </x:c>
      <x:c r="AH524" s="14" t="n">
        <x:v>1</x:v>
      </x:c>
      <x:c r="AI524" s="14" t="n">
        <x:v>1</x:v>
      </x:c>
      <x:c r="AJ524" s="18" t="n">
        <x:v>99000</x:v>
      </x:c>
      <x:c r="AK524" s="14" t="str">
        <x:v>https://prozorro.gov.ua/tender/UA-2026-07-24-000245-a</x:v>
      </x:c>
      <x:c r="AL524" s="19" t="n">
        <x:v>46227.23317170139</x:v>
      </x:c>
      <x:c r="AM524" s="19" t="n">
        <x:v>46387</x:v>
      </x:c>
      <x:c r="AN524" s="15" t="str">
        <x:v>Електромонтаж</x:v>
      </x:c>
      <x:c r="AO524" s="15" t="str">
        <x:v>not_found_in_top_search</x:v>
      </x:c>
    </x:row>
    <x:row r="525">
      <x:c r="A525" s="14" t="str">
        <x:v>W3-253</x:v>
      </x:c>
      <x:c r="B525" s="14" t="str">
        <x:v>Prozorro winners — 24.08</x:v>
      </x:c>
      <x:c r="C525" s="14" t="str">
        <x:v>ЯРОШЕНКО АНДРІЙ ЄВГЕНОВИЧ</x:v>
      </x:c>
      <x:c r="D525" s="14" t="str">
        <x:v>Сонячна енергетика</x:v>
      </x:c>
      <x:c r="E525" s="14" t="str">
        <x:v>Expansion discovery</x:v>
      </x:c>
      <x:c r="F525" s="17" t="str">
        <x:f>IF(E525="Pilot now",IF(P525&gt;=84,"P1",IF(P525&gt;=72,"P2","P3")),IF(E525="Expansion discovery",IF(Q525&gt;=88,"D1",IF(Q525&gt;=78,"D2","D3")),IF(E525="Later / requirements","L","Legacy")))</x:f>
        <x:v>D2</x:v>
      </x:c>
      <x:c r="G525" s="14" t="str"/>
      <x:c r="H525" s="14" t="str">
        <x:v>Discovery розширення — 2 тижні</x:v>
      </x:c>
      <x:c r="I525" s="16" t="n">
        <x:v>1</x:v>
      </x:c>
      <x:c r="J525" s="16" t="n">
        <x:v>5</x:v>
      </x:c>
      <x:c r="K525" s="16" t="n">
        <x:v>4</x:v>
      </x:c>
      <x:c r="L525" s="16" t="n">
        <x:v>1</x:v>
      </x:c>
      <x:c r="M525" s="16" t="n">
        <x:v>5</x:v>
      </x:c>
      <x:c r="N525" s="16" t="n">
        <x:v>3</x:v>
      </x:c>
      <x:c r="O525" s="16" t="n">
        <x:v>5</x:v>
      </x:c>
      <x:c r="P525" s="16" t="n">
        <x:f>IF(COUNT(I525:O525)&lt;7,"",I525*8+J525*3+K525*2+L525*2+M525*2+N525*2+O525)</x:f>
        <x:v>54</x:v>
      </x:c>
      <x:c r="Q525" s="16" t="n">
        <x:f>IF(COUNT(J525:O525)&lt;6,"",J525*5+K525*4+M525*4+L525*3+N525*2+O525*2)</x:f>
        <x:v>80</x:v>
      </x:c>
      <x:c r="R525" s="14" t="str">
        <x:v>high</x:v>
      </x:c>
      <x:c r="S525" s="14" t="str">
        <x:v>official_prozorro_award_2025_2026</x:v>
      </x:c>
      <x:c r="T525" s="14" t="str">
        <x:v>official_prozorro_api</x:v>
      </x:c>
      <x:c r="U525" s="14" t="str">
        <x:v>Не контактували</x:v>
      </x:c>
      <x:c r="V525" s="15" t="str">
        <x:v>Workflow-audit outreach по UA-2026-07-13-001820-a; попросити 1 пакет здачі та вимоги проєкту</x:v>
      </x:c>
      <x:c r="W525" s="15" t="str">
        <x:v>Власник / виконавець; відповідальний за договір</x:v>
      </x:c>
      <x:c r="X525" s="15" t="str">
        <x:v>1 підтверджених перемог/договорів у Prozorro на 98 700 грн; 1 проєктів зі строком виконання не раніше 24.08.2026.</x:v>
      </x:c>
      <x:c r="Y525" s="15" t="str">
        <x:v>Послуги з демонтажу, повторного монтажу та підключення дахової сонячної електростанції розташованої на корпусі № 16 Державного некомерційного підприємства «Національна дитяча спеціалізована лікарня «Охматдит» МОЗ України» за адресою: м. Київ, вул. В’ячеслава Чорновола, 28/1, за кодом ДК 021:2015: 51110000-6 Послуги зі встановлення електричного обладнання; строк до 2026-12-31. Попросити один знеособлений пакет здачі за цим workflow.</x:v>
      </x:c>
      <x:c r="Z525" s="15" t="str">
        <x:v>https://prozorro.gov.ua/tender/UA-2026-07-13-001820-a</x:v>
      </x:c>
      <x:c r="AA525" s="14" t="str">
        <x:v>3118813890</x:v>
      </x:c>
      <x:c r="AB525" s="14" t="str">
        <x:v>2026-08-24</x:v>
      </x:c>
      <x:c r="AC525" s="14" t="str"/>
      <x:c r="AD525" s="20" t="str"/>
      <x:c r="AE525" s="14" t="str"/>
      <x:c r="AF525" s="14" t="n">
        <x:v>49</x:v>
      </x:c>
      <x:c r="AG525" s="14" t="str">
        <x:v>I3</x:v>
      </x:c>
      <x:c r="AH525" s="14" t="n">
        <x:v>1</x:v>
      </x:c>
      <x:c r="AI525" s="14" t="n">
        <x:v>1</x:v>
      </x:c>
      <x:c r="AJ525" s="18" t="n">
        <x:v>98700</x:v>
      </x:c>
      <x:c r="AK525" s="14" t="str">
        <x:v>https://prozorro.gov.ua/tender/UA-2026-07-13-001820-a</x:v>
      </x:c>
      <x:c r="AL525" s="19" t="n">
        <x:v>46216.312423414354</x:v>
      </x:c>
      <x:c r="AM525" s="19" t="n">
        <x:v>46387</x:v>
      </x:c>
      <x:c r="AN525" s="15" t="str">
        <x:v>Сонячна енергетика</x:v>
      </x:c>
      <x:c r="AO525" s="15" t="str">
        <x:v>not_found_in_top_search</x:v>
      </x:c>
    </x:row>
    <x:row r="526">
      <x:c r="A526" s="14" t="str">
        <x:v>W3-254</x:v>
      </x:c>
      <x:c r="B526" s="14" t="str">
        <x:v>Prozorro winners — 24.08</x:v>
      </x:c>
      <x:c r="C526" s="14" t="str">
        <x:v>ТКАЧУК ОЛЕНА СЕРГІЇВНА</x:v>
      </x:c>
      <x:c r="D526" s="14" t="str">
        <x:v>HVAC / ОВіК</x:v>
      </x:c>
      <x:c r="E526" s="14" t="str">
        <x:v>Pilot now</x:v>
      </x:c>
      <x:c r="F526" s="17" t="str">
        <x:f>IF(E526="Pilot now",IF(P526&gt;=84,"P1",IF(P526&gt;=72,"P2","P3")),IF(E526="Expansion discovery",IF(Q526&gt;=88,"D1",IF(Q526&gt;=78,"D2","D3")),IF(E526="Later / requirements","L","Legacy")))</x:f>
        <x:v>P1</x:v>
      </x:c>
      <x:c r="G526" s="14" t="str"/>
      <x:c r="H526" s="14" t="str">
        <x:v>Пілот зараз — Н.14</x:v>
      </x:c>
      <x:c r="I526" s="16" t="n">
        <x:v>5</x:v>
      </x:c>
      <x:c r="J526" s="16" t="n">
        <x:v>5</x:v>
      </x:c>
      <x:c r="K526" s="16" t="n">
        <x:v>5</x:v>
      </x:c>
      <x:c r="L526" s="16" t="n">
        <x:v>1</x:v>
      </x:c>
      <x:c r="M526" s="16" t="n">
        <x:v>5</x:v>
      </x:c>
      <x:c r="N526" s="16" t="n">
        <x:v>3</x:v>
      </x:c>
      <x:c r="O526" s="16" t="n">
        <x:v>5</x:v>
      </x:c>
      <x:c r="P526" s="16" t="n">
        <x:f>IF(COUNT(I526:O526)&lt;7,"",I526*8+J526*3+K526*2+L526*2+M526*2+N526*2+O526)</x:f>
        <x:v>88</x:v>
      </x:c>
      <x:c r="Q526" s="16" t="n">
        <x:f>IF(COUNT(J526:O526)&lt;6,"",J526*5+K526*4+M526*4+L526*3+N526*2+O526*2)</x:f>
        <x:v>84</x:v>
      </x:c>
      <x:c r="R526" s="14" t="str">
        <x:v>high</x:v>
      </x:c>
      <x:c r="S526" s="14" t="str">
        <x:v>official_prozorro_award_2025_2026</x:v>
      </x:c>
      <x:c r="T526" s="14" t="str">
        <x:v>official_prozorro_api</x:v>
      </x:c>
      <x:c r="U526" s="14" t="str">
        <x:v>Не контактували</x:v>
      </x:c>
      <x:c r="V526" s="15" t="str">
        <x:v>Персоналізований free-pilot outreach по UA-2026-07-17-004517-a; попросити 1 пакет Н.14/Н.15</x:v>
      </x:c>
      <x:c r="W526" s="15" t="str">
        <x:v>Власник / виконавець; відповідальний за договір</x:v>
      </x:c>
      <x:c r="X526" s="15" t="str">
        <x:v>1 підтверджених перемог/договорів у Prozorro на 91 475 грн; 1 проєктів зі строком виконання не раніше 24.08.2026.</x:v>
      </x:c>
      <x:c r="Y526" s="15" t="str">
        <x:v>Монтаж системи опалення в приміщенні Дубово-Махаринецької АЗПСМ ; строк до 2026-12-31. Попросити один знеособлений пакет здачі за цим workflow.</x:v>
      </x:c>
      <x:c r="Z526" s="15" t="str">
        <x:v>https://prozorro.gov.ua/tender/UA-2026-07-17-004517-a</x:v>
      </x:c>
      <x:c r="AA526" s="14" t="str">
        <x:v>3055908485</x:v>
      </x:c>
      <x:c r="AB526" s="14" t="str">
        <x:v>2026-08-24</x:v>
      </x:c>
      <x:c r="AC526" s="14" t="str"/>
      <x:c r="AD526" s="20" t="str"/>
      <x:c r="AE526" s="14" t="str"/>
      <x:c r="AF526" s="14" t="n">
        <x:v>49</x:v>
      </x:c>
      <x:c r="AG526" s="14" t="str">
        <x:v>I3</x:v>
      </x:c>
      <x:c r="AH526" s="14" t="n">
        <x:v>1</x:v>
      </x:c>
      <x:c r="AI526" s="14" t="n">
        <x:v>1</x:v>
      </x:c>
      <x:c r="AJ526" s="18" t="n">
        <x:v>91475</x:v>
      </x:c>
      <x:c r="AK526" s="14" t="str">
        <x:v>https://prozorro.gov.ua/tender/UA-2026-07-17-004517-a</x:v>
      </x:c>
      <x:c r="AL526" s="19" t="n">
        <x:v>46220.37996715278</x:v>
      </x:c>
      <x:c r="AM526" s="19" t="n">
        <x:v>46387</x:v>
      </x:c>
      <x:c r="AN526" s="15" t="str">
        <x:v>HVAC / ОВіК</x:v>
      </x:c>
      <x:c r="AO526" s="15" t="str">
        <x:v>not_found_in_top_search</x:v>
      </x:c>
    </x:row>
    <x:row r="527">
      <x:c r="A527" s="14" t="str">
        <x:v>W3-255</x:v>
      </x:c>
      <x:c r="B527" s="14" t="str">
        <x:v>Prozorro winners — 24.08</x:v>
      </x:c>
      <x:c r="C527" s="14" t="str">
        <x:v>Фізична особа-підприємець Гуленко Руслан Володимирович</x:v>
      </x:c>
      <x:c r="D527" s="14" t="str">
        <x:v>Безпека / СКУД / CCTV</x:v>
      </x:c>
      <x:c r="E527" s="14" t="str">
        <x:v>Expansion discovery</x:v>
      </x:c>
      <x:c r="F527" s="17" t="str">
        <x:f>IF(E527="Pilot now",IF(P527&gt;=84,"P1",IF(P527&gt;=72,"P2","P3")),IF(E527="Expansion discovery",IF(Q527&gt;=88,"D1",IF(Q527&gt;=78,"D2","D3")),IF(E527="Later / requirements","L","Legacy")))</x:f>
        <x:v>D2</x:v>
      </x:c>
      <x:c r="G527" s="14" t="str"/>
      <x:c r="H527" s="14" t="str">
        <x:v>Discovery розширення — 2 тижні</x:v>
      </x:c>
      <x:c r="I527" s="16" t="n">
        <x:v>1</x:v>
      </x:c>
      <x:c r="J527" s="16" t="n">
        <x:v>5</x:v>
      </x:c>
      <x:c r="K527" s="16" t="n">
        <x:v>4</x:v>
      </x:c>
      <x:c r="L527" s="16" t="n">
        <x:v>1</x:v>
      </x:c>
      <x:c r="M527" s="16" t="n">
        <x:v>5</x:v>
      </x:c>
      <x:c r="N527" s="16" t="n">
        <x:v>3</x:v>
      </x:c>
      <x:c r="O527" s="16" t="n">
        <x:v>5</x:v>
      </x:c>
      <x:c r="P527" s="16" t="n">
        <x:f>IF(COUNT(I527:O527)&lt;7,"",I527*8+J527*3+K527*2+L527*2+M527*2+N527*2+O527)</x:f>
        <x:v>54</x:v>
      </x:c>
      <x:c r="Q527" s="16" t="n">
        <x:f>IF(COUNT(J527:O527)&lt;6,"",J527*5+K527*4+M527*4+L527*3+N527*2+O527*2)</x:f>
        <x:v>80</x:v>
      </x:c>
      <x:c r="R527" s="14" t="str">
        <x:v>high</x:v>
      </x:c>
      <x:c r="S527" s="14" t="str">
        <x:v>official_prozorro_award_2025_2026</x:v>
      </x:c>
      <x:c r="T527" s="14" t="str">
        <x:v>official_prozorro_api</x:v>
      </x:c>
      <x:c r="U527" s="14" t="str">
        <x:v>Не контактували</x:v>
      </x:c>
      <x:c r="V527" s="15" t="str">
        <x:v>Workflow-audit outreach по UA-2026-08-04-002580-a; попросити 1 пакет здачі та вимоги проєкту</x:v>
      </x:c>
      <x:c r="W527" s="15" t="str">
        <x:v>Власник / виконавець; відповідальний за договір</x:v>
      </x:c>
      <x:c r="X527" s="15" t="str">
        <x:v>1 підтверджених перемог/договорів у Prozorro на 83 818 грн; 1 проєктів зі строком виконання не раніше 24.08.2026.</x:v>
      </x:c>
      <x:c r="Y527" s="15" t="str">
        <x:v>Послуги з монтажу, установки та налаштування системи контролю та управління доступом; строк до 2026-12-31. Попросити один знеособлений пакет здачі за цим workflow.</x:v>
      </x:c>
      <x:c r="Z527" s="15" t="str">
        <x:v>https://prozorro.gov.ua/tender/UA-2026-08-04-002580-a</x:v>
      </x:c>
      <x:c r="AA527" s="14" t="str">
        <x:v>2607317499</x:v>
      </x:c>
      <x:c r="AB527" s="14" t="str">
        <x:v>2026-08-24</x:v>
      </x:c>
      <x:c r="AC527" s="14" t="str"/>
      <x:c r="AD527" s="20" t="str"/>
      <x:c r="AE527" s="14" t="str"/>
      <x:c r="AF527" s="14" t="n">
        <x:v>49</x:v>
      </x:c>
      <x:c r="AG527" s="14" t="str">
        <x:v>I3</x:v>
      </x:c>
      <x:c r="AH527" s="14" t="n">
        <x:v>1</x:v>
      </x:c>
      <x:c r="AI527" s="14" t="n">
        <x:v>1</x:v>
      </x:c>
      <x:c r="AJ527" s="18" t="n">
        <x:v>83818</x:v>
      </x:c>
      <x:c r="AK527" s="14" t="str">
        <x:v>https://prozorro.gov.ua/tender/UA-2026-08-04-002580-a</x:v>
      </x:c>
      <x:c r="AL527" s="19" t="n">
        <x:v>46238.32611070602</x:v>
      </x:c>
      <x:c r="AM527" s="19" t="n">
        <x:v>46387.368425925924</x:v>
      </x:c>
      <x:c r="AN527" s="15" t="str">
        <x:v>Безпека / СКУД / CCTV</x:v>
      </x:c>
      <x:c r="AO527" s="15" t="str">
        <x:v>not_found_in_top_search</x:v>
      </x:c>
    </x:row>
    <x:row r="528">
      <x:c r="A528" s="14" t="str">
        <x:v>W3-256</x:v>
      </x:c>
      <x:c r="B528" s="14" t="str">
        <x:v>Prozorro winners — 24.08</x:v>
      </x:c>
      <x:c r="C528" s="14" t="str">
        <x:v>Фізична особа-підприємець Марчук Володимир Васильович</x:v>
      </x:c>
      <x:c r="D528" s="14" t="str">
        <x:v>HVAC / ОВіК</x:v>
      </x:c>
      <x:c r="E528" s="14" t="str">
        <x:v>Pilot now</x:v>
      </x:c>
      <x:c r="F528" s="17" t="str">
        <x:f>IF(E528="Pilot now",IF(P528&gt;=84,"P1",IF(P528&gt;=72,"P2","P3")),IF(E528="Expansion discovery",IF(Q528&gt;=88,"D1",IF(Q528&gt;=78,"D2","D3")),IF(E528="Later / requirements","L","Legacy")))</x:f>
        <x:v>P1</x:v>
      </x:c>
      <x:c r="G528" s="14" t="str"/>
      <x:c r="H528" s="14" t="str">
        <x:v>Пілот зараз — Н.14</x:v>
      </x:c>
      <x:c r="I528" s="16" t="n">
        <x:v>5</x:v>
      </x:c>
      <x:c r="J528" s="16" t="n">
        <x:v>5</x:v>
      </x:c>
      <x:c r="K528" s="16" t="n">
        <x:v>5</x:v>
      </x:c>
      <x:c r="L528" s="16" t="n">
        <x:v>1</x:v>
      </x:c>
      <x:c r="M528" s="16" t="n">
        <x:v>5</x:v>
      </x:c>
      <x:c r="N528" s="16" t="n">
        <x:v>3</x:v>
      </x:c>
      <x:c r="O528" s="16" t="n">
        <x:v>5</x:v>
      </x:c>
      <x:c r="P528" s="16" t="n">
        <x:f>IF(COUNT(I528:O528)&lt;7,"",I528*8+J528*3+K528*2+L528*2+M528*2+N528*2+O528)</x:f>
        <x:v>88</x:v>
      </x:c>
      <x:c r="Q528" s="16" t="n">
        <x:f>IF(COUNT(J528:O528)&lt;6,"",J528*5+K528*4+M528*4+L528*3+N528*2+O528*2)</x:f>
        <x:v>84</x:v>
      </x:c>
      <x:c r="R528" s="14" t="str">
        <x:v>high</x:v>
      </x:c>
      <x:c r="S528" s="14" t="str">
        <x:v>official_prozorro_award_2025_2026</x:v>
      </x:c>
      <x:c r="T528" s="14" t="str">
        <x:v>official_prozorro_api</x:v>
      </x:c>
      <x:c r="U528" s="14" t="str">
        <x:v>Не контактували</x:v>
      </x:c>
      <x:c r="V528" s="15" t="str">
        <x:v>Персоналізований free-pilot outreach по UA-2026-07-30-004523-a; попросити 1 пакет Н.14/Н.15</x:v>
      </x:c>
      <x:c r="W528" s="15" t="str">
        <x:v>Власник / виконавець; відповідальний за договір</x:v>
      </x:c>
      <x:c r="X528" s="15" t="str">
        <x:v>1 підтверджених перемог/договорів у Prozorro на 80 000 грн; 1 проєктів зі строком виконання не раніше 24.08.2026.</x:v>
      </x:c>
      <x:c r="Y528" s="15" t="str">
        <x:v>Матеріали для монтажу систем опалення та водопостачання (трубна ізоляція, трубопровідна арматура та фітинги); строк до 2026-12-31. Попросити один знеособлений пакет здачі за цим workflow.</x:v>
      </x:c>
      <x:c r="Z528" s="15" t="str">
        <x:v>https://prozorro.gov.ua/tender/UA-2026-07-30-004523-a</x:v>
      </x:c>
      <x:c r="AA528" s="14" t="str">
        <x:v>3024703610</x:v>
      </x:c>
      <x:c r="AB528" s="14" t="str">
        <x:v>2026-08-24</x:v>
      </x:c>
      <x:c r="AC528" s="14" t="str"/>
      <x:c r="AD528" s="20" t="str"/>
      <x:c r="AE528" s="14" t="str"/>
      <x:c r="AF528" s="14" t="n">
        <x:v>49</x:v>
      </x:c>
      <x:c r="AG528" s="14" t="str">
        <x:v>I3</x:v>
      </x:c>
      <x:c r="AH528" s="14" t="n">
        <x:v>1</x:v>
      </x:c>
      <x:c r="AI528" s="14" t="n">
        <x:v>1</x:v>
      </x:c>
      <x:c r="AJ528" s="18" t="n">
        <x:v>80000</x:v>
      </x:c>
      <x:c r="AK528" s="14" t="str">
        <x:v>https://prozorro.gov.ua/tender/UA-2026-07-30-004523-a</x:v>
      </x:c>
      <x:c r="AL528" s="19" t="n">
        <x:v>46252.71302846065</x:v>
      </x:c>
      <x:c r="AM528" s="19" t="n">
        <x:v>46387</x:v>
      </x:c>
      <x:c r="AN528" s="15" t="str">
        <x:v>HVAC / ОВіК</x:v>
      </x:c>
      <x:c r="AO528" s="15" t="str">
        <x:v>not_found_in_top_search</x:v>
      </x:c>
    </x:row>
    <x:row r="529">
      <x:c r="A529" s="14" t="str">
        <x:v>W3-257</x:v>
      </x:c>
      <x:c r="B529" s="14" t="str">
        <x:v>Prozorro winners — 24.08</x:v>
      </x:c>
      <x:c r="C529" s="14" t="str">
        <x:v>ПАНЮТА РУВІМ ОЛЕКСАНДРОВИЧ</x:v>
      </x:c>
      <x:c r="D529" s="14" t="str">
        <x:v>Промисловий холод</x:v>
      </x:c>
      <x:c r="E529" s="14" t="str">
        <x:v>Expansion discovery</x:v>
      </x:c>
      <x:c r="F529" s="17" t="str">
        <x:f>IF(E529="Pilot now",IF(P529&gt;=84,"P1",IF(P529&gt;=72,"P2","P3")),IF(E529="Expansion discovery",IF(Q529&gt;=88,"D1",IF(Q529&gt;=78,"D2","D3")),IF(E529="Later / requirements","L","Legacy")))</x:f>
        <x:v>D2</x:v>
      </x:c>
      <x:c r="G529" s="14" t="str"/>
      <x:c r="H529" s="14" t="str">
        <x:v>Discovery розширення — 2 тижні</x:v>
      </x:c>
      <x:c r="I529" s="16" t="n">
        <x:v>1</x:v>
      </x:c>
      <x:c r="J529" s="16" t="n">
        <x:v>5</x:v>
      </x:c>
      <x:c r="K529" s="16" t="n">
        <x:v>4</x:v>
      </x:c>
      <x:c r="L529" s="16" t="n">
        <x:v>1</x:v>
      </x:c>
      <x:c r="M529" s="16" t="n">
        <x:v>5</x:v>
      </x:c>
      <x:c r="N529" s="16" t="n">
        <x:v>3</x:v>
      </x:c>
      <x:c r="O529" s="16" t="n">
        <x:v>5</x:v>
      </x:c>
      <x:c r="P529" s="16" t="n">
        <x:f>IF(COUNT(I529:O529)&lt;7,"",I529*8+J529*3+K529*2+L529*2+M529*2+N529*2+O529)</x:f>
        <x:v>54</x:v>
      </x:c>
      <x:c r="Q529" s="16" t="n">
        <x:f>IF(COUNT(J529:O529)&lt;6,"",J529*5+K529*4+M529*4+L529*3+N529*2+O529*2)</x:f>
        <x:v>80</x:v>
      </x:c>
      <x:c r="R529" s="14" t="str">
        <x:v>high</x:v>
      </x:c>
      <x:c r="S529" s="14" t="str">
        <x:v>official_prozorro_award_2025_2026</x:v>
      </x:c>
      <x:c r="T529" s="14" t="str">
        <x:v>official_prozorro_api</x:v>
      </x:c>
      <x:c r="U529" s="14" t="str">
        <x:v>Не контактували</x:v>
      </x:c>
      <x:c r="V529" s="15" t="str">
        <x:v>Workflow-audit outreach по UA-2026-07-22-002831-a; попросити 1 пакет здачі та вимоги проєкту</x:v>
      </x:c>
      <x:c r="W529" s="15" t="str">
        <x:v>Власник / виконавець; відповідальний за договір</x:v>
      </x:c>
      <x:c r="X529" s="15" t="str">
        <x:v>1 підтверджених перемог/договорів у Prozorro на 79 130 грн; 1 проєктів зі строком виконання не раніше 24.08.2026.</x:v>
      </x:c>
      <x:c r="Y529" s="15" t="str">
        <x:v>Кондиціонер NDI-A18ONF/NDO-A18ONF з монтажем, кондиціонер NDI-A09ONF/NDO-A09ONF з монтажем (За кодом ДК 021:2015-42510000-4 Теплообмінники, кондиціонери повітря, холодильне обладнання та фільтрувальні пристрої); строк до 2026-12-31. Попросити один знеособлений пакет здачі за цим workflow.</x:v>
      </x:c>
      <x:c r="Z529" s="15" t="str">
        <x:v>https://prozorro.gov.ua/tender/UA-2026-07-22-002831-a</x:v>
      </x:c>
      <x:c r="AA529" s="14" t="str">
        <x:v>3758308754</x:v>
      </x:c>
      <x:c r="AB529" s="14" t="str">
        <x:v>2026-08-24</x:v>
      </x:c>
      <x:c r="AC529" s="14" t="str"/>
      <x:c r="AD529" s="20" t="str"/>
      <x:c r="AE529" s="14" t="str"/>
      <x:c r="AF529" s="14" t="n">
        <x:v>49</x:v>
      </x:c>
      <x:c r="AG529" s="14" t="str">
        <x:v>I3</x:v>
      </x:c>
      <x:c r="AH529" s="14" t="n">
        <x:v>1</x:v>
      </x:c>
      <x:c r="AI529" s="14" t="n">
        <x:v>1</x:v>
      </x:c>
      <x:c r="AJ529" s="18" t="n">
        <x:v>79130</x:v>
      </x:c>
      <x:c r="AK529" s="14" t="str">
        <x:v>https://prozorro.gov.ua/tender/UA-2026-07-22-002831-a</x:v>
      </x:c>
      <x:c r="AL529" s="19" t="n">
        <x:v>46225.338014583336</x:v>
      </x:c>
      <x:c r="AM529" s="19" t="n">
        <x:v>46387</x:v>
      </x:c>
      <x:c r="AN529" s="15" t="str">
        <x:v>Промисловий холод</x:v>
      </x:c>
      <x:c r="AO529" s="15" t="str">
        <x:v>not_found_in_top_search</x:v>
      </x:c>
    </x:row>
    <x:row r="530">
      <x:c r="A530" s="14" t="str">
        <x:v>W3-258</x:v>
      </x:c>
      <x:c r="B530" s="14" t="str">
        <x:v>Prozorro winners — 24.08</x:v>
      </x:c>
      <x:c r="C530" s="14" t="str">
        <x:v>Попач Максим Іванович</x:v>
      </x:c>
      <x:c r="D530" s="14" t="str">
        <x:v>Електромонтаж</x:v>
      </x:c>
      <x:c r="E530" s="14" t="str">
        <x:v>Pilot now</x:v>
      </x:c>
      <x:c r="F530" s="17" t="str">
        <x:f>IF(E530="Pilot now",IF(P530&gt;=84,"P1",IF(P530&gt;=72,"P2","P3")),IF(E530="Expansion discovery",IF(Q530&gt;=88,"D1",IF(Q530&gt;=78,"D2","D3")),IF(E530="Later / requirements","L","Legacy")))</x:f>
        <x:v>P1</x:v>
      </x:c>
      <x:c r="G530" s="14" t="str"/>
      <x:c r="H530" s="14" t="str">
        <x:v>Пілот зараз — Н.15</x:v>
      </x:c>
      <x:c r="I530" s="16" t="n">
        <x:v>5</x:v>
      </x:c>
      <x:c r="J530" s="16" t="n">
        <x:v>5</x:v>
      </x:c>
      <x:c r="K530" s="16" t="n">
        <x:v>5</x:v>
      </x:c>
      <x:c r="L530" s="16" t="n">
        <x:v>1</x:v>
      </x:c>
      <x:c r="M530" s="16" t="n">
        <x:v>5</x:v>
      </x:c>
      <x:c r="N530" s="16" t="n">
        <x:v>3</x:v>
      </x:c>
      <x:c r="O530" s="16" t="n">
        <x:v>5</x:v>
      </x:c>
      <x:c r="P530" s="16" t="n">
        <x:f>IF(COUNT(I530:O530)&lt;7,"",I530*8+J530*3+K530*2+L530*2+M530*2+N530*2+O530)</x:f>
        <x:v>88</x:v>
      </x:c>
      <x:c r="Q530" s="16" t="n">
        <x:f>IF(COUNT(J530:O530)&lt;6,"",J530*5+K530*4+M530*4+L530*3+N530*2+O530*2)</x:f>
        <x:v>84</x:v>
      </x:c>
      <x:c r="R530" s="14" t="str">
        <x:v>high</x:v>
      </x:c>
      <x:c r="S530" s="14" t="str">
        <x:v>official_prozorro_award_2025_2026</x:v>
      </x:c>
      <x:c r="T530" s="14" t="str">
        <x:v>official_prozorro_api</x:v>
      </x:c>
      <x:c r="U530" s="14" t="str">
        <x:v>Не контактували</x:v>
      </x:c>
      <x:c r="V530" s="15" t="str">
        <x:v>Персоналізований free-pilot outreach по UA-2026-08-03-005437-a; попросити 1 пакет Н.14/Н.15</x:v>
      </x:c>
      <x:c r="W530" s="15" t="str">
        <x:v>Власник / виконавець; відповідальний за договір</x:v>
      </x:c>
      <x:c r="X530" s="15" t="str">
        <x:v>1 підтверджених перемог/договорів у Prozorro на 76 220 грн; 1 проєктів зі строком виконання не раніше 24.08.2026.</x:v>
      </x:c>
      <x:c r="Y530" s="15" t="str">
        <x:v>Електромонтажні роботи; строк до 2026-12-31. Попросити один знеособлений пакет здачі за цим workflow.</x:v>
      </x:c>
      <x:c r="Z530" s="15" t="str">
        <x:v>https://prozorro.gov.ua/tender/UA-2026-08-03-005437-a</x:v>
      </x:c>
      <x:c r="AA530" s="14" t="str">
        <x:v>3275813571</x:v>
      </x:c>
      <x:c r="AB530" s="14" t="str">
        <x:v>2026-08-24</x:v>
      </x:c>
      <x:c r="AC530" s="14" t="str"/>
      <x:c r="AD530" s="20" t="str"/>
      <x:c r="AE530" s="14" t="str"/>
      <x:c r="AF530" s="14" t="n">
        <x:v>49</x:v>
      </x:c>
      <x:c r="AG530" s="14" t="str">
        <x:v>I3</x:v>
      </x:c>
      <x:c r="AH530" s="14" t="n">
        <x:v>1</x:v>
      </x:c>
      <x:c r="AI530" s="14" t="n">
        <x:v>1</x:v>
      </x:c>
      <x:c r="AJ530" s="18" t="n">
        <x:v>76220</x:v>
      </x:c>
      <x:c r="AK530" s="14" t="str">
        <x:v>https://prozorro.gov.ua/tender/UA-2026-08-03-005437-a</x:v>
      </x:c>
      <x:c r="AL530" s="19" t="n">
        <x:v>46237.43505826389</x:v>
      </x:c>
      <x:c r="AM530" s="19" t="n">
        <x:v>46387</x:v>
      </x:c>
      <x:c r="AN530" s="15" t="str">
        <x:v>Електромонтаж</x:v>
      </x:c>
      <x:c r="AO530" s="15" t="str">
        <x:v>not_found_in_top_search</x:v>
      </x:c>
    </x:row>
    <x:row r="531">
      <x:c r="A531" s="14" t="str">
        <x:v>W3-259</x:v>
      </x:c>
      <x:c r="B531" s="14" t="str">
        <x:v>Prozorro winners — 24.08</x:v>
      </x:c>
      <x:c r="C531" s="14" t="str">
        <x:v>Фізична особа-підприємець  Трунов Вадим Олексійович</x:v>
      </x:c>
      <x:c r="D531" s="14" t="str">
        <x:v>Насосні станції</x:v>
      </x:c>
      <x:c r="E531" s="14" t="str">
        <x:v>Expansion discovery</x:v>
      </x:c>
      <x:c r="F531" s="17" t="str">
        <x:f>IF(E531="Pilot now",IF(P531&gt;=84,"P1",IF(P531&gt;=72,"P2","P3")),IF(E531="Expansion discovery",IF(Q531&gt;=88,"D1",IF(Q531&gt;=78,"D2","D3")),IF(E531="Later / requirements","L","Legacy")))</x:f>
        <x:v>D2</x:v>
      </x:c>
      <x:c r="G531" s="14" t="str"/>
      <x:c r="H531" s="14" t="str">
        <x:v>Discovery розширення — 2 тижні</x:v>
      </x:c>
      <x:c r="I531" s="16" t="n">
        <x:v>1</x:v>
      </x:c>
      <x:c r="J531" s="16" t="n">
        <x:v>5</x:v>
      </x:c>
      <x:c r="K531" s="16" t="n">
        <x:v>4</x:v>
      </x:c>
      <x:c r="L531" s="16" t="n">
        <x:v>1</x:v>
      </x:c>
      <x:c r="M531" s="16" t="n">
        <x:v>5</x:v>
      </x:c>
      <x:c r="N531" s="16" t="n">
        <x:v>3</x:v>
      </x:c>
      <x:c r="O531" s="16" t="n">
        <x:v>5</x:v>
      </x:c>
      <x:c r="P531" s="16" t="n">
        <x:f>IF(COUNT(I531:O531)&lt;7,"",I531*8+J531*3+K531*2+L531*2+M531*2+N531*2+O531)</x:f>
        <x:v>54</x:v>
      </x:c>
      <x:c r="Q531" s="16" t="n">
        <x:f>IF(COUNT(J531:O531)&lt;6,"",J531*5+K531*4+M531*4+L531*3+N531*2+O531*2)</x:f>
        <x:v>80</x:v>
      </x:c>
      <x:c r="R531" s="14" t="str">
        <x:v>high</x:v>
      </x:c>
      <x:c r="S531" s="14" t="str">
        <x:v>official_prozorro_award_2025_2026</x:v>
      </x:c>
      <x:c r="T531" s="14" t="str">
        <x:v>official_prozorro_api</x:v>
      </x:c>
      <x:c r="U531" s="14" t="str">
        <x:v>Не контактували</x:v>
      </x:c>
      <x:c r="V531" s="15" t="str">
        <x:v>Workflow-audit outreach по UA-2026-08-21-000289-a; попросити 1 пакет здачі та вимоги проєкту</x:v>
      </x:c>
      <x:c r="W531" s="15" t="str">
        <x:v>Власник / виконавець; відповідальний за договір</x:v>
      </x:c>
      <x:c r="X531" s="15" t="str">
        <x:v>1 підтверджених перемог/договорів у Prozorro на 76 016 грн; 1 проєктів зі строком виконання не раніше 24.08.2026.</x:v>
      </x:c>
      <x:c r="Y531" s="15" t="str">
        <x:v>Технічний нагляд за будівництвом на об’єкті: Реконструкція будівлі хлораторної (літ. Б-1) під цех з виробництва низькоконцентрованого гіпохлориту натрію на території водопровідної	 насосної станції «Ігрень» КП «Дніпроводоканал» по вул. Кокчетавській, 60Н у м. Дніпрі (Код ДК 021:2015 71240000-2 – Архітектурні, інженерні та планувальні послуги); строк до 2026-12-30. Попросити один знеособлений пакет здачі за цим workflow.</x:v>
      </x:c>
      <x:c r="Z531" s="15" t="str">
        <x:v>https://prozorro.gov.ua/tender/UA-2026-08-21-000289-a</x:v>
      </x:c>
      <x:c r="AA531" s="14" t="str">
        <x:v>2843106371</x:v>
      </x:c>
      <x:c r="AB531" s="14" t="str">
        <x:v>2026-08-24</x:v>
      </x:c>
      <x:c r="AC531" s="14" t="str"/>
      <x:c r="AD531" s="20" t="str"/>
      <x:c r="AE531" s="14" t="str"/>
      <x:c r="AF531" s="14" t="n">
        <x:v>49</x:v>
      </x:c>
      <x:c r="AG531" s="14" t="str">
        <x:v>I3</x:v>
      </x:c>
      <x:c r="AH531" s="14" t="n">
        <x:v>1</x:v>
      </x:c>
      <x:c r="AI531" s="14" t="n">
        <x:v>1</x:v>
      </x:c>
      <x:c r="AJ531" s="18" t="n">
        <x:v>76016.47</x:v>
      </x:c>
      <x:c r="AK531" s="14" t="str">
        <x:v>https://prozorro.gov.ua/tender/UA-2026-08-21-000289-a</x:v>
      </x:c>
      <x:c r="AL531" s="19" t="n">
        <x:v>46255.235803171294</x:v>
      </x:c>
      <x:c r="AM531" s="19" t="n">
        <x:v>46386</x:v>
      </x:c>
      <x:c r="AN531" s="15" t="str">
        <x:v>Насосні станції</x:v>
      </x:c>
      <x:c r="AO531" s="15" t="str">
        <x:v>not_found_in_top_search</x:v>
      </x:c>
    </x:row>
    <x:row r="532">
      <x:c r="A532" s="14" t="str">
        <x:v>W3-260</x:v>
      </x:c>
      <x:c r="B532" s="14" t="str">
        <x:v>Prozorro winners — 24.08</x:v>
      </x:c>
      <x:c r="C532" s="14" t="str">
        <x:v>ФОП Бойцун Віктор Олександрович</x:v>
      </x:c>
      <x:c r="D532" s="14" t="str">
        <x:v>HVAC / ОВіК</x:v>
      </x:c>
      <x:c r="E532" s="14" t="str">
        <x:v>Pilot now</x:v>
      </x:c>
      <x:c r="F532" s="17" t="str">
        <x:f>IF(E532="Pilot now",IF(P532&gt;=84,"P1",IF(P532&gt;=72,"P2","P3")),IF(E532="Expansion discovery",IF(Q532&gt;=88,"D1",IF(Q532&gt;=78,"D2","D3")),IF(E532="Later / requirements","L","Legacy")))</x:f>
        <x:v>P1</x:v>
      </x:c>
      <x:c r="G532" s="14" t="str"/>
      <x:c r="H532" s="14" t="str">
        <x:v>Пілот зараз — Н.14</x:v>
      </x:c>
      <x:c r="I532" s="16" t="n">
        <x:v>5</x:v>
      </x:c>
      <x:c r="J532" s="16" t="n">
        <x:v>5</x:v>
      </x:c>
      <x:c r="K532" s="16" t="n">
        <x:v>5</x:v>
      </x:c>
      <x:c r="L532" s="16" t="n">
        <x:v>1</x:v>
      </x:c>
      <x:c r="M532" s="16" t="n">
        <x:v>5</x:v>
      </x:c>
      <x:c r="N532" s="16" t="n">
        <x:v>3</x:v>
      </x:c>
      <x:c r="O532" s="16" t="n">
        <x:v>5</x:v>
      </x:c>
      <x:c r="P532" s="16" t="n">
        <x:f>IF(COUNT(I532:O532)&lt;7,"",I532*8+J532*3+K532*2+L532*2+M532*2+N532*2+O532)</x:f>
        <x:v>88</x:v>
      </x:c>
      <x:c r="Q532" s="16" t="n">
        <x:f>IF(COUNT(J532:O532)&lt;6,"",J532*5+K532*4+M532*4+L532*3+N532*2+O532*2)</x:f>
        <x:v>84</x:v>
      </x:c>
      <x:c r="R532" s="14" t="str">
        <x:v>high</x:v>
      </x:c>
      <x:c r="S532" s="14" t="str">
        <x:v>official_prozorro_award_2025_2026</x:v>
      </x:c>
      <x:c r="T532" s="14" t="str">
        <x:v>official_prozorro_api</x:v>
      </x:c>
      <x:c r="U532" s="14" t="str">
        <x:v>Не контактували</x:v>
      </x:c>
      <x:c r="V532" s="15" t="str">
        <x:v>Персоналізований free-pilot outreach по UA-2026-08-11-009974-a; попросити 1 пакет Н.14/Н.15</x:v>
      </x:c>
      <x:c r="W532" s="15" t="str">
        <x:v>Власник / виконавець; відповідальний за договір</x:v>
      </x:c>
      <x:c r="X532" s="15" t="str">
        <x:v>1 підтверджених перемог/договорів у Prozorro на 75 180 грн; 1 проєктів зі строком виконання не раніше 24.08.2026.</x:v>
      </x:c>
      <x:c r="Y532" s="15" t="str">
        <x:v>Чистка камери згорання та теплообмінника, демонтаж, монтаж, продувка жиклерів, заміна теплоізоляції камери згорання, ремонт блока розпалу, заміна датчика по перегріву, заміна датчика NTC, заміна газового клапана, заміна електрода іонізації, заміна автоматичного розповітрювача, хімічна промивка теплообмінника за кодом ДК 021-2015 (CPV)  50720000-8 - Послуги з ремонту і технічного обслуговування систем центрального опалення; строк до 2026-11-30. Попросити один знеособлений пакет здачі за цим workflow.</x:v>
      </x:c>
      <x:c r="Z532" s="15" t="str">
        <x:v>https://prozorro.gov.ua/tender/UA-2026-08-11-009974-a</x:v>
      </x:c>
      <x:c r="AA532" s="14" t="str">
        <x:v>2313903114</x:v>
      </x:c>
      <x:c r="AB532" s="14" t="str">
        <x:v>2026-08-24</x:v>
      </x:c>
      <x:c r="AC532" s="14" t="str"/>
      <x:c r="AD532" s="20" t="str"/>
      <x:c r="AE532" s="14" t="str"/>
      <x:c r="AF532" s="14" t="n">
        <x:v>49</x:v>
      </x:c>
      <x:c r="AG532" s="14" t="str">
        <x:v>I3</x:v>
      </x:c>
      <x:c r="AH532" s="14" t="n">
        <x:v>1</x:v>
      </x:c>
      <x:c r="AI532" s="14" t="n">
        <x:v>1</x:v>
      </x:c>
      <x:c r="AJ532" s="18" t="n">
        <x:v>75180</x:v>
      </x:c>
      <x:c r="AK532" s="14" t="str">
        <x:v>https://prozorro.gov.ua/tender/UA-2026-08-11-009974-a</x:v>
      </x:c>
      <x:c r="AL532" s="19" t="n">
        <x:v>46245.5273869213</x:v>
      </x:c>
      <x:c r="AM532" s="19" t="n">
        <x:v>46356.57037037037</x:v>
      </x:c>
      <x:c r="AN532" s="15" t="str">
        <x:v>HVAC / ОВіК</x:v>
      </x:c>
      <x:c r="AO532" s="15" t="str">
        <x:v>not_found_in_top_search</x:v>
      </x:c>
    </x:row>
    <x:row r="533">
      <x:c r="A533" s="14" t="str">
        <x:v>W3-261</x:v>
      </x:c>
      <x:c r="B533" s="14" t="str">
        <x:v>Prozorro winners — 24.08</x:v>
      </x:c>
      <x:c r="C533" s="14" t="str">
        <x:v>ФРІД ЯРОСЛАВ ЙОСИПОВИЧ</x:v>
      </x:c>
      <x:c r="D533" s="14" t="str">
        <x:v>Пожежогасіння</x:v>
      </x:c>
      <x:c r="E533" s="14" t="str">
        <x:v>Expansion discovery</x:v>
      </x:c>
      <x:c r="F533" s="17" t="str">
        <x:f>IF(E533="Pilot now",IF(P533&gt;=84,"P1",IF(P533&gt;=72,"P2","P3")),IF(E533="Expansion discovery",IF(Q533&gt;=88,"D1",IF(Q533&gt;=78,"D2","D3")),IF(E533="Later / requirements","L","Legacy")))</x:f>
        <x:v>D2</x:v>
      </x:c>
      <x:c r="G533" s="14" t="str"/>
      <x:c r="H533" s="14" t="str">
        <x:v>Discovery розширення — 2 тижні</x:v>
      </x:c>
      <x:c r="I533" s="16" t="n">
        <x:v>1</x:v>
      </x:c>
      <x:c r="J533" s="16" t="n">
        <x:v>5</x:v>
      </x:c>
      <x:c r="K533" s="16" t="n">
        <x:v>4</x:v>
      </x:c>
      <x:c r="L533" s="16" t="n">
        <x:v>1</x:v>
      </x:c>
      <x:c r="M533" s="16" t="n">
        <x:v>5</x:v>
      </x:c>
      <x:c r="N533" s="16" t="n">
        <x:v>3</x:v>
      </x:c>
      <x:c r="O533" s="16" t="n">
        <x:v>5</x:v>
      </x:c>
      <x:c r="P533" s="16" t="n">
        <x:f>IF(COUNT(I533:O533)&lt;7,"",I533*8+J533*3+K533*2+L533*2+M533*2+N533*2+O533)</x:f>
        <x:v>54</x:v>
      </x:c>
      <x:c r="Q533" s="16" t="n">
        <x:f>IF(COUNT(J533:O533)&lt;6,"",J533*5+K533*4+M533*4+L533*3+N533*2+O533*2)</x:f>
        <x:v>80</x:v>
      </x:c>
      <x:c r="R533" s="14" t="str">
        <x:v>high</x:v>
      </x:c>
      <x:c r="S533" s="14" t="str">
        <x:v>official_prozorro_award_2025_2026</x:v>
      </x:c>
      <x:c r="T533" s="14" t="str">
        <x:v>official_prozorro_api</x:v>
      </x:c>
      <x:c r="U533" s="14" t="str">
        <x:v>Не контактували</x:v>
      </x:c>
      <x:c r="V533" s="15" t="str">
        <x:v>Workflow-audit outreach по UA-2026-07-24-007093-a; попросити 1 пакет здачі та вимоги проєкту</x:v>
      </x:c>
      <x:c r="W533" s="15" t="str">
        <x:v>Власник / виконавець; відповідальний за договір</x:v>
      </x:c>
      <x:c r="X533" s="15" t="str">
        <x:v>1 підтверджених перемог/договорів у Prozorro на 75 000 грн; 1 проєктів зі строком виконання не раніше 24.08.2026.</x:v>
      </x:c>
      <x:c r="Y533" s="15" t="str">
        <x:v>Послуги з монтажу системи автоматичної пожежної сигналізації в приміщення будинку культури по вул. Шевченка, 8 с. Сторожниця Ужгородського району; строк до 2026-12-31. Попросити один знеособлений пакет здачі за цим workflow.</x:v>
      </x:c>
      <x:c r="Z533" s="15" t="str">
        <x:v>https://prozorro.gov.ua/tender/UA-2026-07-24-007093-a</x:v>
      </x:c>
      <x:c r="AA533" s="14" t="str">
        <x:v>2818517395</x:v>
      </x:c>
      <x:c r="AB533" s="14" t="str">
        <x:v>2026-08-24</x:v>
      </x:c>
      <x:c r="AC533" s="14" t="str"/>
      <x:c r="AD533" s="20" t="str"/>
      <x:c r="AE533" s="14" t="str"/>
      <x:c r="AF533" s="14" t="n">
        <x:v>49</x:v>
      </x:c>
      <x:c r="AG533" s="14" t="str">
        <x:v>I3</x:v>
      </x:c>
      <x:c r="AH533" s="14" t="n">
        <x:v>1</x:v>
      </x:c>
      <x:c r="AI533" s="14" t="n">
        <x:v>1</x:v>
      </x:c>
      <x:c r="AJ533" s="18" t="n">
        <x:v>75000</x:v>
      </x:c>
      <x:c r="AK533" s="14" t="str">
        <x:v>https://prozorro.gov.ua/tender/UA-2026-07-24-007093-a</x:v>
      </x:c>
      <x:c r="AL533" s="19" t="n">
        <x:v>46227.47163215278</x:v>
      </x:c>
      <x:c r="AM533" s="19" t="n">
        <x:v>46387</x:v>
      </x:c>
      <x:c r="AN533" s="15" t="str">
        <x:v>Пожежогасіння</x:v>
      </x:c>
      <x:c r="AO533" s="15" t="str">
        <x:v>not_found_in_top_search</x:v>
      </x:c>
    </x:row>
    <x:row r="534">
      <x:c r="A534" s="14" t="str">
        <x:v>W3-262</x:v>
      </x:c>
      <x:c r="B534" s="14" t="str">
        <x:v>Prozorro winners — 24.08</x:v>
      </x:c>
      <x:c r="C534" s="14" t="str">
        <x:v>КРАВЧЕНКО ЯНА ЮРІЇВНА</x:v>
      </x:c>
      <x:c r="D534" s="14" t="str">
        <x:v>Сонячна енергетика</x:v>
      </x:c>
      <x:c r="E534" s="14" t="str">
        <x:v>Expansion discovery</x:v>
      </x:c>
      <x:c r="F534" s="17" t="str">
        <x:f>IF(E534="Pilot now",IF(P534&gt;=84,"P1",IF(P534&gt;=72,"P2","P3")),IF(E534="Expansion discovery",IF(Q534&gt;=88,"D1",IF(Q534&gt;=78,"D2","D3")),IF(E534="Later / requirements","L","Legacy")))</x:f>
        <x:v>D2</x:v>
      </x:c>
      <x:c r="G534" s="14" t="str"/>
      <x:c r="H534" s="14" t="str">
        <x:v>Discovery розширення — 2 тижні</x:v>
      </x:c>
      <x:c r="I534" s="16" t="n">
        <x:v>1</x:v>
      </x:c>
      <x:c r="J534" s="16" t="n">
        <x:v>5</x:v>
      </x:c>
      <x:c r="K534" s="16" t="n">
        <x:v>4</x:v>
      </x:c>
      <x:c r="L534" s="16" t="n">
        <x:v>1</x:v>
      </x:c>
      <x:c r="M534" s="16" t="n">
        <x:v>5</x:v>
      </x:c>
      <x:c r="N534" s="16" t="n">
        <x:v>3</x:v>
      </x:c>
      <x:c r="O534" s="16" t="n">
        <x:v>5</x:v>
      </x:c>
      <x:c r="P534" s="16" t="n">
        <x:f>IF(COUNT(I534:O534)&lt;7,"",I534*8+J534*3+K534*2+L534*2+M534*2+N534*2+O534)</x:f>
        <x:v>54</x:v>
      </x:c>
      <x:c r="Q534" s="16" t="n">
        <x:f>IF(COUNT(J534:O534)&lt;6,"",J534*5+K534*4+M534*4+L534*3+N534*2+O534*2)</x:f>
        <x:v>80</x:v>
      </x:c>
      <x:c r="R534" s="14" t="str">
        <x:v>high</x:v>
      </x:c>
      <x:c r="S534" s="14" t="str">
        <x:v>official_prozorro_award_2025_2026</x:v>
      </x:c>
      <x:c r="T534" s="14" t="str">
        <x:v>official_prozorro_api</x:v>
      </x:c>
      <x:c r="U534" s="14" t="str">
        <x:v>Не контактували</x:v>
      </x:c>
      <x:c r="V534" s="15" t="str">
        <x:v>Workflow-audit outreach по UA-2026-08-19-008273-a; попросити 1 пакет здачі та вимоги проєкту</x:v>
      </x:c>
      <x:c r="W534" s="15" t="str">
        <x:v>Власник / виконавець; відповідальний за договір</x:v>
      </x:c>
      <x:c r="X534" s="15" t="str">
        <x:v>1 підтверджених перемог/договорів у Prozorro на 74 849 грн; 1 проєктів зі строком виконання не раніше 24.08.2026.</x:v>
      </x:c>
      <x:c r="Y534" s="15" t="str">
        <x:v>послуги з монтажу та підключення сонячної електростанції(СЕС); строк до 2026-12-31. Попросити один знеособлений пакет здачі за цим workflow.</x:v>
      </x:c>
      <x:c r="Z534" s="15" t="str">
        <x:v>https://prozorro.gov.ua/tender/UA-2026-08-19-008273-a</x:v>
      </x:c>
      <x:c r="AA534" s="14" t="str">
        <x:v>3290016085</x:v>
      </x:c>
      <x:c r="AB534" s="14" t="str">
        <x:v>2026-08-24</x:v>
      </x:c>
      <x:c r="AC534" s="14" t="str"/>
      <x:c r="AD534" s="20" t="str"/>
      <x:c r="AE534" s="14" t="str"/>
      <x:c r="AF534" s="14" t="n">
        <x:v>49</x:v>
      </x:c>
      <x:c r="AG534" s="14" t="str">
        <x:v>I3</x:v>
      </x:c>
      <x:c r="AH534" s="14" t="n">
        <x:v>1</x:v>
      </x:c>
      <x:c r="AI534" s="14" t="n">
        <x:v>1</x:v>
      </x:c>
      <x:c r="AJ534" s="18" t="n">
        <x:v>74848.95</x:v>
      </x:c>
      <x:c r="AK534" s="14" t="str">
        <x:v>https://prozorro.gov.ua/tender/UA-2026-08-19-008273-a</x:v>
      </x:c>
      <x:c r="AL534" s="19" t="n">
        <x:v>46253.48302172454</x:v>
      </x:c>
      <x:c r="AM534" s="19" t="n">
        <x:v>46387</x:v>
      </x:c>
      <x:c r="AN534" s="15" t="str">
        <x:v>Сонячна енергетика</x:v>
      </x:c>
      <x:c r="AO534" s="15" t="str">
        <x:v>not_found_in_top_search</x:v>
      </x:c>
    </x:row>
    <x:row r="535">
      <x:c r="A535" s="14" t="str">
        <x:v>W3-263</x:v>
      </x:c>
      <x:c r="B535" s="14" t="str">
        <x:v>Prozorro winners — 24.08</x:v>
      </x:c>
      <x:c r="C535" s="14" t="str">
        <x:v>ФОП Саакян А.С.</x:v>
      </x:c>
      <x:c r="D535" s="14" t="str">
        <x:v>Мости / інфраструктура</x:v>
      </x:c>
      <x:c r="E535" s="14" t="str">
        <x:v>Expansion discovery</x:v>
      </x:c>
      <x:c r="F535" s="17" t="str">
        <x:f>IF(E535="Pilot now",IF(P535&gt;=84,"P1",IF(P535&gt;=72,"P2","P3")),IF(E535="Expansion discovery",IF(Q535&gt;=88,"D1",IF(Q535&gt;=78,"D2","D3")),IF(E535="Later / requirements","L","Legacy")))</x:f>
        <x:v>D2</x:v>
      </x:c>
      <x:c r="G535" s="14" t="str"/>
      <x:c r="H535" s="14" t="str">
        <x:v>Discovery розширення — 2 тижні</x:v>
      </x:c>
      <x:c r="I535" s="16" t="n">
        <x:v>1</x:v>
      </x:c>
      <x:c r="J535" s="16" t="n">
        <x:v>5</x:v>
      </x:c>
      <x:c r="K535" s="16" t="n">
        <x:v>4</x:v>
      </x:c>
      <x:c r="L535" s="16" t="n">
        <x:v>1</x:v>
      </x:c>
      <x:c r="M535" s="16" t="n">
        <x:v>5</x:v>
      </x:c>
      <x:c r="N535" s="16" t="n">
        <x:v>3</x:v>
      </x:c>
      <x:c r="O535" s="16" t="n">
        <x:v>5</x:v>
      </x:c>
      <x:c r="P535" s="16" t="n">
        <x:f>IF(COUNT(I535:O535)&lt;7,"",I535*8+J535*3+K535*2+L535*2+M535*2+N535*2+O535)</x:f>
        <x:v>54</x:v>
      </x:c>
      <x:c r="Q535" s="16" t="n">
        <x:f>IF(COUNT(J535:O535)&lt;6,"",J535*5+K535*4+M535*4+L535*3+N535*2+O535*2)</x:f>
        <x:v>80</x:v>
      </x:c>
      <x:c r="R535" s="14" t="str">
        <x:v>high</x:v>
      </x:c>
      <x:c r="S535" s="14" t="str">
        <x:v>official_prozorro_award_2025_2026</x:v>
      </x:c>
      <x:c r="T535" s="14" t="str">
        <x:v>official_prozorro_api</x:v>
      </x:c>
      <x:c r="U535" s="14" t="str">
        <x:v>Не контактували</x:v>
      </x:c>
      <x:c r="V535" s="15" t="str">
        <x:v>Workflow-audit outreach по UA-2026-08-21-010512-a; попросити 1 пакет здачі та вимоги проєкту</x:v>
      </x:c>
      <x:c r="W535" s="15" t="str">
        <x:v>Власник / виконавець; відповідальний за договір</x:v>
      </x:c>
      <x:c r="X535" s="15" t="str">
        <x:v>1 підтверджених перемог/договорів у Prozorro на 70 190 грн; 1 проєктів зі строком виконання не раніше 24.08.2026.</x:v>
      </x:c>
      <x:c r="Y535" s="15" t="str">
        <x:v>Послуга по поточному (дрібному) ремонту дорожнього покриття сільського мосту між вул.Шевченко,48 та вул.Митрофанівська,26 в с.Перегонівка Голованівського р-ону Кіровоградської обл.; строк до 2026-12-31. Попросити один знеособлений пакет здачі за цим workflow.</x:v>
      </x:c>
      <x:c r="Z535" s="15" t="str">
        <x:v>https://prozorro.gov.ua/tender/UA-2026-08-21-010512-a</x:v>
      </x:c>
      <x:c r="AA535" s="14" t="str">
        <x:v>2733721519</x:v>
      </x:c>
      <x:c r="AB535" s="14" t="str">
        <x:v>2026-08-24</x:v>
      </x:c>
      <x:c r="AC535" s="14" t="str"/>
      <x:c r="AD535" s="20" t="str"/>
      <x:c r="AE535" s="14" t="str"/>
      <x:c r="AF535" s="14" t="n">
        <x:v>49</x:v>
      </x:c>
      <x:c r="AG535" s="14" t="str">
        <x:v>I3</x:v>
      </x:c>
      <x:c r="AH535" s="14" t="n">
        <x:v>1</x:v>
      </x:c>
      <x:c r="AI535" s="14" t="n">
        <x:v>1</x:v>
      </x:c>
      <x:c r="AJ535" s="18" t="n">
        <x:v>70190.23</x:v>
      </x:c>
      <x:c r="AK535" s="14" t="str">
        <x:v>https://prozorro.gov.ua/tender/UA-2026-08-21-010512-a</x:v>
      </x:c>
      <x:c r="AL535" s="19" t="n">
        <x:v>46255.52196247685</x:v>
      </x:c>
      <x:c r="AM535" s="19" t="n">
        <x:v>46387.56453703704</x:v>
      </x:c>
      <x:c r="AN535" s="15" t="str">
        <x:v>Мости / інфраструктура</x:v>
      </x:c>
      <x:c r="AO535" s="15" t="str">
        <x:v>not_found_in_top_search</x:v>
      </x:c>
    </x:row>
    <x:row r="536">
      <x:c r="A536" s="14" t="str">
        <x:v>W3-264</x:v>
      </x:c>
      <x:c r="B536" s="14" t="str">
        <x:v>Prozorro winners — 24.08</x:v>
      </x:c>
      <x:c r="C536" s="14" t="str">
        <x:v>ФОП Бацура ВС</x:v>
      </x:c>
      <x:c r="D536" s="14" t="str">
        <x:v>Пожежогасіння</x:v>
      </x:c>
      <x:c r="E536" s="14" t="str">
        <x:v>Expansion discovery</x:v>
      </x:c>
      <x:c r="F536" s="17" t="str">
        <x:f>IF(E536="Pilot now",IF(P536&gt;=84,"P1",IF(P536&gt;=72,"P2","P3")),IF(E536="Expansion discovery",IF(Q536&gt;=88,"D1",IF(Q536&gt;=78,"D2","D3")),IF(E536="Later / requirements","L","Legacy")))</x:f>
        <x:v>D2</x:v>
      </x:c>
      <x:c r="G536" s="14" t="str"/>
      <x:c r="H536" s="14" t="str">
        <x:v>Discovery розширення — 2 тижні</x:v>
      </x:c>
      <x:c r="I536" s="16" t="n">
        <x:v>1</x:v>
      </x:c>
      <x:c r="J536" s="16" t="n">
        <x:v>5</x:v>
      </x:c>
      <x:c r="K536" s="16" t="n">
        <x:v>4</x:v>
      </x:c>
      <x:c r="L536" s="16" t="n">
        <x:v>1</x:v>
      </x:c>
      <x:c r="M536" s="16" t="n">
        <x:v>5</x:v>
      </x:c>
      <x:c r="N536" s="16" t="n">
        <x:v>3</x:v>
      </x:c>
      <x:c r="O536" s="16" t="n">
        <x:v>5</x:v>
      </x:c>
      <x:c r="P536" s="16" t="n">
        <x:f>IF(COUNT(I536:O536)&lt;7,"",I536*8+J536*3+K536*2+L536*2+M536*2+N536*2+O536)</x:f>
        <x:v>54</x:v>
      </x:c>
      <x:c r="Q536" s="16" t="n">
        <x:f>IF(COUNT(J536:O536)&lt;6,"",J536*5+K536*4+M536*4+L536*3+N536*2+O536*2)</x:f>
        <x:v>80</x:v>
      </x:c>
      <x:c r="R536" s="14" t="str">
        <x:v>high</x:v>
      </x:c>
      <x:c r="S536" s="14" t="str">
        <x:v>official_prozorro_award_2025_2026</x:v>
      </x:c>
      <x:c r="T536" s="14" t="str">
        <x:v>official_prozorro_api</x:v>
      </x:c>
      <x:c r="U536" s="14" t="str">
        <x:v>Не контактували</x:v>
      </x:c>
      <x:c r="V536" s="15" t="str">
        <x:v>Workflow-audit outreach по UA-2026-08-16-000232-a; попросити 1 пакет здачі та вимоги проєкту</x:v>
      </x:c>
      <x:c r="W536" s="15" t="str">
        <x:v>Власник / виконавець; відповідальний за договір</x:v>
      </x:c>
      <x:c r="X536" s="15" t="str">
        <x:v>1 підтверджених перемог/договорів у Prozorro на 69 120 грн; 1 проєктів зі строком виконання не раніше 24.08.2026.</x:v>
      </x:c>
      <x:c r="Y536" s="15" t="str">
        <x:v>Монтаж системи пожежної сигналізації; строк до 2026-12-31. Попросити один знеособлений пакет здачі за цим workflow.</x:v>
      </x:c>
      <x:c r="Z536" s="15" t="str">
        <x:v>https://prozorro.gov.ua/tender/UA-2026-08-16-000232-a</x:v>
      </x:c>
      <x:c r="AA536" s="14" t="str">
        <x:v>2951200878</x:v>
      </x:c>
      <x:c r="AB536" s="14" t="str">
        <x:v>2026-08-24</x:v>
      </x:c>
      <x:c r="AC536" s="14" t="str"/>
      <x:c r="AD536" s="20" t="str"/>
      <x:c r="AE536" s="14" t="str"/>
      <x:c r="AF536" s="14" t="n">
        <x:v>49</x:v>
      </x:c>
      <x:c r="AG536" s="14" t="str">
        <x:v>I3</x:v>
      </x:c>
      <x:c r="AH536" s="14" t="n">
        <x:v>1</x:v>
      </x:c>
      <x:c r="AI536" s="14" t="n">
        <x:v>1</x:v>
      </x:c>
      <x:c r="AJ536" s="18" t="n">
        <x:v>69120</x:v>
      </x:c>
      <x:c r="AK536" s="14" t="str">
        <x:v>https://prozorro.gov.ua/tender/UA-2026-08-16-000232-a</x:v>
      </x:c>
      <x:c r="AL536" s="19" t="n">
        <x:v>46250.48431451389</x:v>
      </x:c>
      <x:c r="AM536" s="19" t="n">
        <x:v>46387.526400462964</x:v>
      </x:c>
      <x:c r="AN536" s="15" t="str">
        <x:v>Пожежогасіння</x:v>
      </x:c>
      <x:c r="AO536" s="15" t="str">
        <x:v>not_found_in_top_search</x:v>
      </x:c>
    </x:row>
    <x:row r="537">
      <x:c r="A537" s="14" t="str">
        <x:v>W3-265</x:v>
      </x:c>
      <x:c r="B537" s="14" t="str">
        <x:v>Prozorro winners — 24.08</x:v>
      </x:c>
      <x:c r="C537" s="14" t="str">
        <x:v>НАЗАРЕНКО КАТЕРИНА ЮРІЇВНА</x:v>
      </x:c>
      <x:c r="D537" s="14" t="str">
        <x:v>Мости / інфраструктура</x:v>
      </x:c>
      <x:c r="E537" s="14" t="str">
        <x:v>Expansion discovery</x:v>
      </x:c>
      <x:c r="F537" s="17" t="str">
        <x:f>IF(E537="Pilot now",IF(P537&gt;=84,"P1",IF(P537&gt;=72,"P2","P3")),IF(E537="Expansion discovery",IF(Q537&gt;=88,"D1",IF(Q537&gt;=78,"D2","D3")),IF(E537="Later / requirements","L","Legacy")))</x:f>
        <x:v>D2</x:v>
      </x:c>
      <x:c r="G537" s="14" t="str"/>
      <x:c r="H537" s="14" t="str">
        <x:v>Discovery розширення — 2 тижні</x:v>
      </x:c>
      <x:c r="I537" s="16" t="n">
        <x:v>1</x:v>
      </x:c>
      <x:c r="J537" s="16" t="n">
        <x:v>5</x:v>
      </x:c>
      <x:c r="K537" s="16" t="n">
        <x:v>4</x:v>
      </x:c>
      <x:c r="L537" s="16" t="n">
        <x:v>1</x:v>
      </x:c>
      <x:c r="M537" s="16" t="n">
        <x:v>5</x:v>
      </x:c>
      <x:c r="N537" s="16" t="n">
        <x:v>3</x:v>
      </x:c>
      <x:c r="O537" s="16" t="n">
        <x:v>5</x:v>
      </x:c>
      <x:c r="P537" s="16" t="n">
        <x:f>IF(COUNT(I537:O537)&lt;7,"",I537*8+J537*3+K537*2+L537*2+M537*2+N537*2+O537)</x:f>
        <x:v>54</x:v>
      </x:c>
      <x:c r="Q537" s="16" t="n">
        <x:f>IF(COUNT(J537:O537)&lt;6,"",J537*5+K537*4+M537*4+L537*3+N537*2+O537*2)</x:f>
        <x:v>80</x:v>
      </x:c>
      <x:c r="R537" s="14" t="str">
        <x:v>high</x:v>
      </x:c>
      <x:c r="S537" s="14" t="str">
        <x:v>official_prozorro_award_2025_2026</x:v>
      </x:c>
      <x:c r="T537" s="14" t="str">
        <x:v>official_prozorro_api</x:v>
      </x:c>
      <x:c r="U537" s="14" t="str">
        <x:v>Не контактували</x:v>
      </x:c>
      <x:c r="V537" s="15" t="str">
        <x:v>Workflow-audit outreach по UA-2026-08-06-002870-a; попросити 1 пакет здачі та вимоги проєкту</x:v>
      </x:c>
      <x:c r="W537" s="15" t="str">
        <x:v>Власник / виконавець; відповідальний за договір</x:v>
      </x:c>
      <x:c r="X537" s="15" t="str">
        <x:v>1 підтверджених перемог/договорів у Prozorro на 66 653 грн; 1 проєктів зі строком виконання не раніше 24.08.2026.</x:v>
      </x:c>
      <x:c r="Y537" s="15" t="str">
        <x:v>Коригування проектно-кошторисної документації з проходженням експертизи по об'єкту: "Капітальний ремонт набережної (лівий берег) від пішохідного мосту (ДЮСШ) до автомобільного мосту на вулиці Сарненська в м. Костопіль Рівненського району Рівненської області» коригування; строк до 2026-12-31. Попросити один знеособлений пакет здачі за цим workflow.</x:v>
      </x:c>
      <x:c r="Z537" s="15" t="str">
        <x:v>https://prozorro.gov.ua/tender/UA-2026-08-06-002870-a</x:v>
      </x:c>
      <x:c r="AA537" s="14" t="str">
        <x:v>3206513861</x:v>
      </x:c>
      <x:c r="AB537" s="14" t="str">
        <x:v>2026-08-24</x:v>
      </x:c>
      <x:c r="AC537" s="14" t="str"/>
      <x:c r="AD537" s="20" t="str"/>
      <x:c r="AE537" s="14" t="str"/>
      <x:c r="AF537" s="14" t="n">
        <x:v>49</x:v>
      </x:c>
      <x:c r="AG537" s="14" t="str">
        <x:v>I3</x:v>
      </x:c>
      <x:c r="AH537" s="14" t="n">
        <x:v>1</x:v>
      </x:c>
      <x:c r="AI537" s="14" t="n">
        <x:v>1</x:v>
      </x:c>
      <x:c r="AJ537" s="18" t="n">
        <x:v>66653</x:v>
      </x:c>
      <x:c r="AK537" s="14" t="str">
        <x:v>https://prozorro.gov.ua/tender/UA-2026-08-06-002870-a</x:v>
      </x:c>
      <x:c r="AL537" s="19" t="n">
        <x:v>46240.332046944444</x:v>
      </x:c>
      <x:c r="AM537" s="19" t="n">
        <x:v>46387</x:v>
      </x:c>
      <x:c r="AN537" s="15" t="str">
        <x:v>Мости / інфраструктура</x:v>
      </x:c>
      <x:c r="AO537" s="15" t="str">
        <x:v>not_found_in_top_search</x:v>
      </x:c>
    </x:row>
    <x:row r="538">
      <x:c r="A538" s="14" t="str">
        <x:v>W3-266</x:v>
      </x:c>
      <x:c r="B538" s="14" t="str">
        <x:v>Prozorro winners — 24.08</x:v>
      </x:c>
      <x:c r="C538" s="14" t="str">
        <x:v>РОМАНЕНКО ВАЛЕНТИНА ВОЛОДИМИРІВНА</x:v>
      </x:c>
      <x:c r="D538" s="14" t="str">
        <x:v>Сонячна енергетика</x:v>
      </x:c>
      <x:c r="E538" s="14" t="str">
        <x:v>Expansion discovery</x:v>
      </x:c>
      <x:c r="F538" s="17" t="str">
        <x:f>IF(E538="Pilot now",IF(P538&gt;=84,"P1",IF(P538&gt;=72,"P2","P3")),IF(E538="Expansion discovery",IF(Q538&gt;=88,"D1",IF(Q538&gt;=78,"D2","D3")),IF(E538="Later / requirements","L","Legacy")))</x:f>
        <x:v>D2</x:v>
      </x:c>
      <x:c r="G538" s="14" t="str"/>
      <x:c r="H538" s="14" t="str">
        <x:v>Discovery розширення — 2 тижні</x:v>
      </x:c>
      <x:c r="I538" s="16" t="n">
        <x:v>1</x:v>
      </x:c>
      <x:c r="J538" s="16" t="n">
        <x:v>5</x:v>
      </x:c>
      <x:c r="K538" s="16" t="n">
        <x:v>4</x:v>
      </x:c>
      <x:c r="L538" s="16" t="n">
        <x:v>1</x:v>
      </x:c>
      <x:c r="M538" s="16" t="n">
        <x:v>5</x:v>
      </x:c>
      <x:c r="N538" s="16" t="n">
        <x:v>3</x:v>
      </x:c>
      <x:c r="O538" s="16" t="n">
        <x:v>5</x:v>
      </x:c>
      <x:c r="P538" s="16" t="n">
        <x:f>IF(COUNT(I538:O538)&lt;7,"",I538*8+J538*3+K538*2+L538*2+M538*2+N538*2+O538)</x:f>
        <x:v>54</x:v>
      </x:c>
      <x:c r="Q538" s="16" t="n">
        <x:f>IF(COUNT(J538:O538)&lt;6,"",J538*5+K538*4+M538*4+L538*3+N538*2+O538*2)</x:f>
        <x:v>80</x:v>
      </x:c>
      <x:c r="R538" s="14" t="str">
        <x:v>high</x:v>
      </x:c>
      <x:c r="S538" s="14" t="str">
        <x:v>official_prozorro_award_2025_2026</x:v>
      </x:c>
      <x:c r="T538" s="14" t="str">
        <x:v>official_prozorro_api</x:v>
      </x:c>
      <x:c r="U538" s="14" t="str">
        <x:v>Не контактували</x:v>
      </x:c>
      <x:c r="V538" s="15" t="str">
        <x:v>Workflow-audit outreach по UA-2026-08-14-006249-a; попросити 1 пакет здачі та вимоги проєкту</x:v>
      </x:c>
      <x:c r="W538" s="15" t="str">
        <x:v>Власник / виконавець; відповідальний за договір</x:v>
      </x:c>
      <x:c r="X538" s="15" t="str">
        <x:v>1 підтверджених перемог/договорів у Prozorro на 66 029 грн; 1 проєктів зі строком виконання не раніше 24.08.2026.</x:v>
      </x:c>
      <x:c r="Y538" s="15" t="str">
        <x:v>Комплектуючі матеріали для монтажу сонячної електростанції ; строк до 2026-12-31. Попросити один знеособлений пакет здачі за цим workflow.</x:v>
      </x:c>
      <x:c r="Z538" s="15" t="str">
        <x:v>https://prozorro.gov.ua/tender/UA-2026-08-14-006249-a</x:v>
      </x:c>
      <x:c r="AA538" s="14" t="str">
        <x:v>2506620985</x:v>
      </x:c>
      <x:c r="AB538" s="14" t="str">
        <x:v>2026-08-24</x:v>
      </x:c>
      <x:c r="AC538" s="14" t="str"/>
      <x:c r="AD538" s="20" t="str"/>
      <x:c r="AE538" s="14" t="str"/>
      <x:c r="AF538" s="14" t="n">
        <x:v>49</x:v>
      </x:c>
      <x:c r="AG538" s="14" t="str">
        <x:v>I3</x:v>
      </x:c>
      <x:c r="AH538" s="14" t="n">
        <x:v>1</x:v>
      </x:c>
      <x:c r="AI538" s="14" t="n">
        <x:v>1</x:v>
      </x:c>
      <x:c r="AJ538" s="18" t="n">
        <x:v>66029</x:v>
      </x:c>
      <x:c r="AK538" s="14" t="str">
        <x:v>https://prozorro.gov.ua/tender/UA-2026-08-14-006249-a</x:v>
      </x:c>
      <x:c r="AL538" s="19" t="n">
        <x:v>46248.43009769676</x:v>
      </x:c>
      <x:c r="AM538" s="19" t="n">
        <x:v>46387</x:v>
      </x:c>
      <x:c r="AN538" s="15" t="str">
        <x:v>Сонячна енергетика</x:v>
      </x:c>
      <x:c r="AO538" s="15" t="str">
        <x:v>not_found_in_top_search</x:v>
      </x:c>
    </x:row>
    <x:row r="539">
      <x:c r="A539" s="14" t="str">
        <x:v>W3-267</x:v>
      </x:c>
      <x:c r="B539" s="14" t="str">
        <x:v>Prozorro winners — 24.08</x:v>
      </x:c>
      <x:c r="C539" s="14" t="str">
        <x:v>ФОП Жовтун Олександра Реджебівна</x:v>
      </x:c>
      <x:c r="D539" s="14" t="str">
        <x:v>Безпека / СКУД / CCTV</x:v>
      </x:c>
      <x:c r="E539" s="14" t="str">
        <x:v>Expansion discovery</x:v>
      </x:c>
      <x:c r="F539" s="17" t="str">
        <x:f>IF(E539="Pilot now",IF(P539&gt;=84,"P1",IF(P539&gt;=72,"P2","P3")),IF(E539="Expansion discovery",IF(Q539&gt;=88,"D1",IF(Q539&gt;=78,"D2","D3")),IF(E539="Later / requirements","L","Legacy")))</x:f>
        <x:v>D2</x:v>
      </x:c>
      <x:c r="G539" s="14" t="str"/>
      <x:c r="H539" s="14" t="str">
        <x:v>Discovery розширення — 2 тижні</x:v>
      </x:c>
      <x:c r="I539" s="16" t="n">
        <x:v>1</x:v>
      </x:c>
      <x:c r="J539" s="16" t="n">
        <x:v>5</x:v>
      </x:c>
      <x:c r="K539" s="16" t="n">
        <x:v>4</x:v>
      </x:c>
      <x:c r="L539" s="16" t="n">
        <x:v>1</x:v>
      </x:c>
      <x:c r="M539" s="16" t="n">
        <x:v>5</x:v>
      </x:c>
      <x:c r="N539" s="16" t="n">
        <x:v>3</x:v>
      </x:c>
      <x:c r="O539" s="16" t="n">
        <x:v>5</x:v>
      </x:c>
      <x:c r="P539" s="16" t="n">
        <x:f>IF(COUNT(I539:O539)&lt;7,"",I539*8+J539*3+K539*2+L539*2+M539*2+N539*2+O539)</x:f>
        <x:v>54</x:v>
      </x:c>
      <x:c r="Q539" s="16" t="n">
        <x:f>IF(COUNT(J539:O539)&lt;6,"",J539*5+K539*4+M539*4+L539*3+N539*2+O539*2)</x:f>
        <x:v>80</x:v>
      </x:c>
      <x:c r="R539" s="14" t="str">
        <x:v>high</x:v>
      </x:c>
      <x:c r="S539" s="14" t="str">
        <x:v>official_prozorro_award_2025_2026</x:v>
      </x:c>
      <x:c r="T539" s="14" t="str">
        <x:v>official_prozorro_api</x:v>
      </x:c>
      <x:c r="U539" s="14" t="str">
        <x:v>Не контактували</x:v>
      </x:c>
      <x:c r="V539" s="15" t="str">
        <x:v>Workflow-audit outreach по UA-2026-08-14-010513-a; попросити 1 пакет здачі та вимоги проєкту</x:v>
      </x:c>
      <x:c r="W539" s="15" t="str">
        <x:v>Власник / виконавець; відповідальний за договір</x:v>
      </x:c>
      <x:c r="X539" s="15" t="str">
        <x:v>1 підтверджених перемог/договорів у Prozorro на 63 600 грн; 1 проєктів зі строком виконання не раніше 24.08.2026.</x:v>
      </x:c>
      <x:c r="Y539" s="15" t="str">
        <x:v>Монтаж системи відеоспостереження; строк до 2026-12-31. Попросити один знеособлений пакет здачі за цим workflow.</x:v>
      </x:c>
      <x:c r="Z539" s="15" t="str">
        <x:v>https://prozorro.gov.ua/tender/UA-2026-08-14-010513-a</x:v>
      </x:c>
      <x:c r="AA539" s="14" t="str">
        <x:v>3332914667</x:v>
      </x:c>
      <x:c r="AB539" s="14" t="str">
        <x:v>2026-08-24</x:v>
      </x:c>
      <x:c r="AC539" s="14" t="str"/>
      <x:c r="AD539" s="20" t="str"/>
      <x:c r="AE539" s="14" t="str"/>
      <x:c r="AF539" s="14" t="n">
        <x:v>49</x:v>
      </x:c>
      <x:c r="AG539" s="14" t="str">
        <x:v>I3</x:v>
      </x:c>
      <x:c r="AH539" s="14" t="n">
        <x:v>1</x:v>
      </x:c>
      <x:c r="AI539" s="14" t="n">
        <x:v>1</x:v>
      </x:c>
      <x:c r="AJ539" s="18" t="n">
        <x:v>63600</x:v>
      </x:c>
      <x:c r="AK539" s="14" t="str">
        <x:v>https://prozorro.gov.ua/tender/UA-2026-08-14-010513-a</x:v>
      </x:c>
      <x:c r="AL539" s="19" t="n">
        <x:v>46248.55315047454</x:v>
      </x:c>
      <x:c r="AM539" s="19" t="n">
        <x:v>46387.59710648148</x:v>
      </x:c>
      <x:c r="AN539" s="15" t="str">
        <x:v>Безпека / СКУД / CCTV</x:v>
      </x:c>
      <x:c r="AO539" s="15" t="str">
        <x:v>not_found_in_top_search</x:v>
      </x:c>
    </x:row>
    <x:row r="540">
      <x:c r="A540" s="14" t="str">
        <x:v>W3-268</x:v>
      </x:c>
      <x:c r="B540" s="14" t="str">
        <x:v>Prozorro winners — 24.08</x:v>
      </x:c>
      <x:c r="C540" s="14" t="str">
        <x:v>БОДУ ДАНІЕЛЬ ЖАКОВИЧ</x:v>
      </x:c>
      <x:c r="D540" s="14" t="str">
        <x:v>Сонячна енергетика</x:v>
      </x:c>
      <x:c r="E540" s="14" t="str">
        <x:v>Expansion discovery</x:v>
      </x:c>
      <x:c r="F540" s="17" t="str">
        <x:f>IF(E540="Pilot now",IF(P540&gt;=84,"P1",IF(P540&gt;=72,"P2","P3")),IF(E540="Expansion discovery",IF(Q540&gt;=88,"D1",IF(Q540&gt;=78,"D2","D3")),IF(E540="Later / requirements","L","Legacy")))</x:f>
        <x:v>D2</x:v>
      </x:c>
      <x:c r="G540" s="14" t="str"/>
      <x:c r="H540" s="14" t="str">
        <x:v>Discovery розширення — 2 тижні</x:v>
      </x:c>
      <x:c r="I540" s="16" t="n">
        <x:v>1</x:v>
      </x:c>
      <x:c r="J540" s="16" t="n">
        <x:v>5</x:v>
      </x:c>
      <x:c r="K540" s="16" t="n">
        <x:v>4</x:v>
      </x:c>
      <x:c r="L540" s="16" t="n">
        <x:v>1</x:v>
      </x:c>
      <x:c r="M540" s="16" t="n">
        <x:v>5</x:v>
      </x:c>
      <x:c r="N540" s="16" t="n">
        <x:v>3</x:v>
      </x:c>
      <x:c r="O540" s="16" t="n">
        <x:v>5</x:v>
      </x:c>
      <x:c r="P540" s="16" t="n">
        <x:f>IF(COUNT(I540:O540)&lt;7,"",I540*8+J540*3+K540*2+L540*2+M540*2+N540*2+O540)</x:f>
        <x:v>54</x:v>
      </x:c>
      <x:c r="Q540" s="16" t="n">
        <x:f>IF(COUNT(J540:O540)&lt;6,"",J540*5+K540*4+M540*4+L540*3+N540*2+O540*2)</x:f>
        <x:v>80</x:v>
      </x:c>
      <x:c r="R540" s="14" t="str">
        <x:v>high</x:v>
      </x:c>
      <x:c r="S540" s="14" t="str">
        <x:v>official_prozorro_award_2025_2026</x:v>
      </x:c>
      <x:c r="T540" s="14" t="str">
        <x:v>official_prozorro_api</x:v>
      </x:c>
      <x:c r="U540" s="14" t="str">
        <x:v>Не контактували</x:v>
      </x:c>
      <x:c r="V540" s="15" t="str">
        <x:v>Workflow-audit outreach по UA-2026-08-18-002619-a; попросити 1 пакет здачі та вимоги проєкту</x:v>
      </x:c>
      <x:c r="W540" s="15" t="str">
        <x:v>Власник / виконавець; відповідальний за договір</x:v>
      </x:c>
      <x:c r="X540" s="15" t="str">
        <x:v>1 підтверджених перемог/договорів у Prozorro на 54 361 грн; 1 проєктів зі строком виконання не раніше 24.08.2026.</x:v>
      </x:c>
      <x:c r="Y540" s="15" t="str">
        <x:v>Монтаж і пусконалагоджувальні роботи сонячної електростанції ; строк до 2026-08-31. Попросити один знеособлений пакет здачі за цим workflow.</x:v>
      </x:c>
      <x:c r="Z540" s="15" t="str">
        <x:v>https://prozorro.gov.ua/tender/UA-2026-08-18-002619-a</x:v>
      </x:c>
      <x:c r="AA540" s="14" t="str">
        <x:v>3493403975</x:v>
      </x:c>
      <x:c r="AB540" s="14" t="str">
        <x:v>2026-08-24</x:v>
      </x:c>
      <x:c r="AC540" s="14" t="str"/>
      <x:c r="AD540" s="20" t="str"/>
      <x:c r="AE540" s="14" t="str"/>
      <x:c r="AF540" s="14" t="n">
        <x:v>49</x:v>
      </x:c>
      <x:c r="AG540" s="14" t="str">
        <x:v>I3</x:v>
      </x:c>
      <x:c r="AH540" s="14" t="n">
        <x:v>1</x:v>
      </x:c>
      <x:c r="AI540" s="14" t="n">
        <x:v>1</x:v>
      </x:c>
      <x:c r="AJ540" s="18" t="n">
        <x:v>54361.13</x:v>
      </x:c>
      <x:c r="AK540" s="14" t="str">
        <x:v>https://prozorro.gov.ua/tender/UA-2026-08-18-002619-a</x:v>
      </x:c>
      <x:c r="AL540" s="19" t="n">
        <x:v>46252.3238228125</x:v>
      </x:c>
      <x:c r="AM540" s="19" t="n">
        <x:v>46265</x:v>
      </x:c>
      <x:c r="AN540" s="15" t="str">
        <x:v>Сонячна енергетика</x:v>
      </x:c>
      <x:c r="AO540" s="15" t="str">
        <x:v>not_found_in_top_search</x:v>
      </x:c>
    </x:row>
    <x:row r="541">
      <x:c r="A541" s="14" t="str">
        <x:v>W3-269</x:v>
      </x:c>
      <x:c r="B541" s="14" t="str">
        <x:v>Prozorro winners — 24.08</x:v>
      </x:c>
      <x:c r="C541" s="14" t="str">
        <x:v>НЕСУХ МИХАЙЛО МИХАЙЛОВИЧ</x:v>
      </x:c>
      <x:c r="D541" s="14" t="str">
        <x:v>Насосні станції</x:v>
      </x:c>
      <x:c r="E541" s="14" t="str">
        <x:v>Expansion discovery</x:v>
      </x:c>
      <x:c r="F541" s="17" t="str">
        <x:f>IF(E541="Pilot now",IF(P541&gt;=84,"P1",IF(P541&gt;=72,"P2","P3")),IF(E541="Expansion discovery",IF(Q541&gt;=88,"D1",IF(Q541&gt;=78,"D2","D3")),IF(E541="Later / requirements","L","Legacy")))</x:f>
        <x:v>D2</x:v>
      </x:c>
      <x:c r="G541" s="14" t="str"/>
      <x:c r="H541" s="14" t="str">
        <x:v>Discovery розширення — 2 тижні</x:v>
      </x:c>
      <x:c r="I541" s="16" t="n">
        <x:v>1</x:v>
      </x:c>
      <x:c r="J541" s="16" t="n">
        <x:v>5</x:v>
      </x:c>
      <x:c r="K541" s="16" t="n">
        <x:v>4</x:v>
      </x:c>
      <x:c r="L541" s="16" t="n">
        <x:v>1</x:v>
      </x:c>
      <x:c r="M541" s="16" t="n">
        <x:v>5</x:v>
      </x:c>
      <x:c r="N541" s="16" t="n">
        <x:v>3</x:v>
      </x:c>
      <x:c r="O541" s="16" t="n">
        <x:v>5</x:v>
      </x:c>
      <x:c r="P541" s="16" t="n">
        <x:f>IF(COUNT(I541:O541)&lt;7,"",I541*8+J541*3+K541*2+L541*2+M541*2+N541*2+O541)</x:f>
        <x:v>54</x:v>
      </x:c>
      <x:c r="Q541" s="16" t="n">
        <x:f>IF(COUNT(J541:O541)&lt;6,"",J541*5+K541*4+M541*4+L541*3+N541*2+O541*2)</x:f>
        <x:v>80</x:v>
      </x:c>
      <x:c r="R541" s="14" t="str">
        <x:v>high</x:v>
      </x:c>
      <x:c r="S541" s="14" t="str">
        <x:v>official_prozorro_award_2025_2026</x:v>
      </x:c>
      <x:c r="T541" s="14" t="str">
        <x:v>official_prozorro_api</x:v>
      </x:c>
      <x:c r="U541" s="14" t="str">
        <x:v>Не контактували</x:v>
      </x:c>
      <x:c r="V541" s="15" t="str">
        <x:v>Workflow-audit outreach по UA-2026-07-29-008128-a; попросити 1 пакет здачі та вимоги проєкту</x:v>
      </x:c>
      <x:c r="W541" s="15" t="str">
        <x:v>Власник / виконавець; відповідальний за договір</x:v>
      </x:c>
      <x:c r="X541" s="15" t="str">
        <x:v>1 підтверджених перемог/договорів у Prozorro на 54 000 грн; 1 проєктів зі строком виконання не раніше 24.08.2026.</x:v>
      </x:c>
      <x:c r="Y541" s="15" t="str">
        <x:v>Реконструкція водопровідної насосної станції по вул. Донського та мереж водопостачання та водовідведення вул. Я. Мудрого в м. Свалява Закарпатської області. Коригування”, код ДК (CPV) 021:2015: 71320000-7 Послуги з інженерного проєктування».; строк до 2026-12-31. Попросити один знеособлений пакет здачі за цим workflow.</x:v>
      </x:c>
      <x:c r="Z541" s="15" t="str">
        <x:v>https://prozorro.gov.ua/tender/UA-2026-07-29-008128-a</x:v>
      </x:c>
      <x:c r="AA541" s="14" t="str">
        <x:v>2094503513</x:v>
      </x:c>
      <x:c r="AB541" s="14" t="str">
        <x:v>2026-08-24</x:v>
      </x:c>
      <x:c r="AC541" s="14" t="str"/>
      <x:c r="AD541" s="20" t="str"/>
      <x:c r="AE541" s="14" t="str"/>
      <x:c r="AF541" s="14" t="n">
        <x:v>49</x:v>
      </x:c>
      <x:c r="AG541" s="14" t="str">
        <x:v>I3</x:v>
      </x:c>
      <x:c r="AH541" s="14" t="n">
        <x:v>1</x:v>
      </x:c>
      <x:c r="AI541" s="14" t="n">
        <x:v>1</x:v>
      </x:c>
      <x:c r="AJ541" s="18" t="n">
        <x:v>54000</x:v>
      </x:c>
      <x:c r="AK541" s="14" t="str">
        <x:v>https://prozorro.gov.ua/tender/UA-2026-07-29-008128-a</x:v>
      </x:c>
      <x:c r="AL541" s="19" t="n">
        <x:v>46232.512961423614</x:v>
      </x:c>
      <x:c r="AM541" s="19" t="n">
        <x:v>46387</x:v>
      </x:c>
      <x:c r="AN541" s="15" t="str">
        <x:v>Насосні станції</x:v>
      </x:c>
      <x:c r="AO541" s="15" t="str">
        <x:v>not_found_in_top_search</x:v>
      </x:c>
    </x:row>
    <x:row r="542">
      <x:c r="A542" s="14" t="str">
        <x:v>W3-270</x:v>
      </x:c>
      <x:c r="B542" s="14" t="str">
        <x:v>Prozorro winners — 24.08</x:v>
      </x:c>
      <x:c r="C542" s="14" t="str">
        <x:v>ФОП Макін О В</x:v>
      </x:c>
      <x:c r="D542" s="14" t="str">
        <x:v>HVAC / ОВіК</x:v>
      </x:c>
      <x:c r="E542" s="14" t="str">
        <x:v>Pilot now</x:v>
      </x:c>
      <x:c r="F542" s="17" t="str">
        <x:f>IF(E542="Pilot now",IF(P542&gt;=84,"P1",IF(P542&gt;=72,"P2","P3")),IF(E542="Expansion discovery",IF(Q542&gt;=88,"D1",IF(Q542&gt;=78,"D2","D3")),IF(E542="Later / requirements","L","Legacy")))</x:f>
        <x:v>P1</x:v>
      </x:c>
      <x:c r="G542" s="14" t="str"/>
      <x:c r="H542" s="14" t="str">
        <x:v>Пілот зараз — Н.14</x:v>
      </x:c>
      <x:c r="I542" s="16" t="n">
        <x:v>5</x:v>
      </x:c>
      <x:c r="J542" s="16" t="n">
        <x:v>5</x:v>
      </x:c>
      <x:c r="K542" s="16" t="n">
        <x:v>5</x:v>
      </x:c>
      <x:c r="L542" s="16" t="n">
        <x:v>1</x:v>
      </x:c>
      <x:c r="M542" s="16" t="n">
        <x:v>5</x:v>
      </x:c>
      <x:c r="N542" s="16" t="n">
        <x:v>3</x:v>
      </x:c>
      <x:c r="O542" s="16" t="n">
        <x:v>5</x:v>
      </x:c>
      <x:c r="P542" s="16" t="n">
        <x:f>IF(COUNT(I542:O542)&lt;7,"",I542*8+J542*3+K542*2+L542*2+M542*2+N542*2+O542)</x:f>
        <x:v>88</x:v>
      </x:c>
      <x:c r="Q542" s="16" t="n">
        <x:f>IF(COUNT(J542:O542)&lt;6,"",J542*5+K542*4+M542*4+L542*3+N542*2+O542*2)</x:f>
        <x:v>84</x:v>
      </x:c>
      <x:c r="R542" s="14" t="str">
        <x:v>high</x:v>
      </x:c>
      <x:c r="S542" s="14" t="str">
        <x:v>official_prozorro_award_2025_2026</x:v>
      </x:c>
      <x:c r="T542" s="14" t="str">
        <x:v>official_prozorro_api</x:v>
      </x:c>
      <x:c r="U542" s="14" t="str">
        <x:v>Не контактували</x:v>
      </x:c>
      <x:c r="V542" s="15" t="str">
        <x:v>Персоналізований free-pilot outreach по UA-2026-07-16-002589-a; попросити 1 пакет Н.14/Н.15</x:v>
      </x:c>
      <x:c r="W542" s="15" t="str">
        <x:v>Власник / виконавець; відповідальний за договір</x:v>
      </x:c>
      <x:c r="X542" s="15" t="str">
        <x:v>1 підтверджених перемог/договорів у Prozorro на 51 150 грн; 1 проєктів зі строком виконання не раніше 24.08.2026.</x:v>
      </x:c>
      <x:c r="Y542" s="15" t="str">
        <x:v>Електромонтажні роботи (монтаж вентиляційної системи); строк до 2026-12-31. Попросити один знеособлений пакет здачі за цим workflow.</x:v>
      </x:c>
      <x:c r="Z542" s="15" t="str">
        <x:v>https://prozorro.gov.ua/tender/UA-2026-07-16-002589-a</x:v>
      </x:c>
      <x:c r="AA542" s="14" t="str">
        <x:v>2558204430</x:v>
      </x:c>
      <x:c r="AB542" s="14" t="str">
        <x:v>2026-08-24</x:v>
      </x:c>
      <x:c r="AC542" s="14" t="str"/>
      <x:c r="AD542" s="20" t="str"/>
      <x:c r="AE542" s="14" t="str"/>
      <x:c r="AF542" s="14" t="n">
        <x:v>49</x:v>
      </x:c>
      <x:c r="AG542" s="14" t="str">
        <x:v>I3</x:v>
      </x:c>
      <x:c r="AH542" s="14" t="n">
        <x:v>1</x:v>
      </x:c>
      <x:c r="AI542" s="14" t="n">
        <x:v>1</x:v>
      </x:c>
      <x:c r="AJ542" s="18" t="n">
        <x:v>51150</x:v>
      </x:c>
      <x:c r="AK542" s="14" t="str">
        <x:v>https://prozorro.gov.ua/tender/UA-2026-07-16-002589-a</x:v>
      </x:c>
      <x:c r="AL542" s="19" t="n">
        <x:v>46219.33511291667</x:v>
      </x:c>
      <x:c r="AM542" s="19" t="n">
        <x:v>46387</x:v>
      </x:c>
      <x:c r="AN542" s="15" t="str">
        <x:v>HVAC / ОВіК</x:v>
      </x:c>
      <x:c r="AO542" s="15" t="str">
        <x:v>not_found_in_top_search</x:v>
      </x:c>
    </x:row>
    <x:row r="543">
      <x:c r="A543" s="14" t="str">
        <x:v>W3-271</x:v>
      </x:c>
      <x:c r="B543" s="14" t="str">
        <x:v>Prozorro winners — 24.08</x:v>
      </x:c>
      <x:c r="C543" s="14" t="str">
        <x:v>Бурков Віталій Анатолійович</x:v>
      </x:c>
      <x:c r="D543" s="14" t="str">
        <x:v>Пожежогасіння</x:v>
      </x:c>
      <x:c r="E543" s="14" t="str">
        <x:v>Expansion discovery</x:v>
      </x:c>
      <x:c r="F543" s="17" t="str">
        <x:f>IF(E543="Pilot now",IF(P543&gt;=84,"P1",IF(P543&gt;=72,"P2","P3")),IF(E543="Expansion discovery",IF(Q543&gt;=88,"D1",IF(Q543&gt;=78,"D2","D3")),IF(E543="Later / requirements","L","Legacy")))</x:f>
        <x:v>D2</x:v>
      </x:c>
      <x:c r="G543" s="14" t="str"/>
      <x:c r="H543" s="14" t="str">
        <x:v>Discovery розширення — 2 тижні</x:v>
      </x:c>
      <x:c r="I543" s="16" t="n">
        <x:v>1</x:v>
      </x:c>
      <x:c r="J543" s="16" t="n">
        <x:v>5</x:v>
      </x:c>
      <x:c r="K543" s="16" t="n">
        <x:v>4</x:v>
      </x:c>
      <x:c r="L543" s="16" t="n">
        <x:v>1</x:v>
      </x:c>
      <x:c r="M543" s="16" t="n">
        <x:v>5</x:v>
      </x:c>
      <x:c r="N543" s="16" t="n">
        <x:v>3</x:v>
      </x:c>
      <x:c r="O543" s="16" t="n">
        <x:v>5</x:v>
      </x:c>
      <x:c r="P543" s="16" t="n">
        <x:f>IF(COUNT(I543:O543)&lt;7,"",I543*8+J543*3+K543*2+L543*2+M543*2+N543*2+O543)</x:f>
        <x:v>54</x:v>
      </x:c>
      <x:c r="Q543" s="16" t="n">
        <x:f>IF(COUNT(J543:O543)&lt;6,"",J543*5+K543*4+M543*4+L543*3+N543*2+O543*2)</x:f>
        <x:v>80</x:v>
      </x:c>
      <x:c r="R543" s="14" t="str">
        <x:v>high</x:v>
      </x:c>
      <x:c r="S543" s="14" t="str">
        <x:v>official_prozorro_award_2025_2026</x:v>
      </x:c>
      <x:c r="T543" s="14" t="str">
        <x:v>official_prozorro_api</x:v>
      </x:c>
      <x:c r="U543" s="14" t="str">
        <x:v>Не контактували</x:v>
      </x:c>
      <x:c r="V543" s="15" t="str">
        <x:v>Workflow-audit outreach по UA-2026-07-10-003474-a; попросити 1 пакет здачі та вимоги проєкту</x:v>
      </x:c>
      <x:c r="W543" s="15" t="str">
        <x:v>Власник / виконавець; відповідальний за договір</x:v>
      </x:c>
      <x:c r="X543" s="15" t="str">
        <x:v>1 підтверджених перемог/договорів у Prozorro на 49 956 грн; 1 проєктів зі строком виконання не раніше 24.08.2026.</x:v>
      </x:c>
      <x:c r="Y543" s="15" t="str">
        <x:v>Послуги з проектування, монтажу та пусконалагодження системи пожежної сигналізації, оповіщення про пожежу та управління евакуацією людей; строк до 2026-12-31. Попросити один знеособлений пакет здачі за цим workflow.</x:v>
      </x:c>
      <x:c r="Z543" s="15" t="str">
        <x:v>https://prozorro.gov.ua/tender/UA-2026-07-10-003474-a</x:v>
      </x:c>
      <x:c r="AA543" s="14" t="str">
        <x:v>2828322593</x:v>
      </x:c>
      <x:c r="AB543" s="14" t="str">
        <x:v>2026-08-24</x:v>
      </x:c>
      <x:c r="AC543" s="14" t="str"/>
      <x:c r="AD543" s="20" t="str"/>
      <x:c r="AE543" s="14" t="str"/>
      <x:c r="AF543" s="14" t="n">
        <x:v>49</x:v>
      </x:c>
      <x:c r="AG543" s="14" t="str">
        <x:v>I3</x:v>
      </x:c>
      <x:c r="AH543" s="14" t="n">
        <x:v>1</x:v>
      </x:c>
      <x:c r="AI543" s="14" t="n">
        <x:v>1</x:v>
      </x:c>
      <x:c r="AJ543" s="18" t="n">
        <x:v>49956</x:v>
      </x:c>
      <x:c r="AK543" s="14" t="str">
        <x:v>https://prozorro.gov.ua/tender/UA-2026-07-10-003474-a</x:v>
      </x:c>
      <x:c r="AL543" s="19" t="n">
        <x:v>46213.349758993056</x:v>
      </x:c>
      <x:c r="AM543" s="19" t="n">
        <x:v>46387</x:v>
      </x:c>
      <x:c r="AN543" s="15" t="str">
        <x:v>Пожежогасіння</x:v>
      </x:c>
      <x:c r="AO543" s="15" t="str">
        <x:v>not_found_in_top_search</x:v>
      </x:c>
    </x:row>
    <x:row r="544">
      <x:c r="A544" s="14" t="str">
        <x:v>W3-272</x:v>
      </x:c>
      <x:c r="B544" s="14" t="str">
        <x:v>Prozorro winners — 24.08</x:v>
      </x:c>
      <x:c r="C544" s="14" t="str">
        <x:v>ФОП Сапіга Михайло Євгенович</x:v>
      </x:c>
      <x:c r="D544" s="14" t="str">
        <x:v>Газопостачання / котельні</x:v>
      </x:c>
      <x:c r="E544" s="14" t="str">
        <x:v>Expansion discovery</x:v>
      </x:c>
      <x:c r="F544" s="17" t="str">
        <x:f>IF(E544="Pilot now",IF(P544&gt;=84,"P1",IF(P544&gt;=72,"P2","P3")),IF(E544="Expansion discovery",IF(Q544&gt;=88,"D1",IF(Q544&gt;=78,"D2","D3")),IF(E544="Later / requirements","L","Legacy")))</x:f>
        <x:v>D2</x:v>
      </x:c>
      <x:c r="G544" s="14" t="str"/>
      <x:c r="H544" s="14" t="str">
        <x:v>Discovery розширення — 2 тижні</x:v>
      </x:c>
      <x:c r="I544" s="16" t="n">
        <x:v>1</x:v>
      </x:c>
      <x:c r="J544" s="16" t="n">
        <x:v>5</x:v>
      </x:c>
      <x:c r="K544" s="16" t="n">
        <x:v>4</x:v>
      </x:c>
      <x:c r="L544" s="16" t="n">
        <x:v>1</x:v>
      </x:c>
      <x:c r="M544" s="16" t="n">
        <x:v>5</x:v>
      </x:c>
      <x:c r="N544" s="16" t="n">
        <x:v>3</x:v>
      </x:c>
      <x:c r="O544" s="16" t="n">
        <x:v>5</x:v>
      </x:c>
      <x:c r="P544" s="16" t="n">
        <x:f>IF(COUNT(I544:O544)&lt;7,"",I544*8+J544*3+K544*2+L544*2+M544*2+N544*2+O544)</x:f>
        <x:v>54</x:v>
      </x:c>
      <x:c r="Q544" s="16" t="n">
        <x:f>IF(COUNT(J544:O544)&lt;6,"",J544*5+K544*4+M544*4+L544*3+N544*2+O544*2)</x:f>
        <x:v>80</x:v>
      </x:c>
      <x:c r="R544" s="14" t="str">
        <x:v>high</x:v>
      </x:c>
      <x:c r="S544" s="14" t="str">
        <x:v>official_prozorro_award_2025_2026</x:v>
      </x:c>
      <x:c r="T544" s="14" t="str">
        <x:v>official_prozorro_api</x:v>
      </x:c>
      <x:c r="U544" s="14" t="str">
        <x:v>Не контактували</x:v>
      </x:c>
      <x:c r="V544" s="15" t="str">
        <x:v>Workflow-audit outreach по UA-2026-08-20-006819-a; попросити 1 пакет здачі та вимоги проєкту</x:v>
      </x:c>
      <x:c r="W544" s="15" t="str">
        <x:v>Власник / виконавець; відповідальний за договір</x:v>
      </x:c>
      <x:c r="X544" s="15" t="str">
        <x:v>1 підтверджених перемог/договорів у Prozorro на 49 200 грн; 1 проєктів зі строком виконання не раніше 24.08.2026.</x:v>
      </x:c>
      <x:c r="Y544" s="15" t="str">
        <x:v>Монтаж системи підготовки мережевої води в  котельні по вул. Богдана Хмельницького,7-К, м. Богуслав, Обухівського району (45330000-9 – Водопровідні та санітарно-технічні роботи ).; строк до 2026-12-31. Попросити один знеособлений пакет здачі за цим workflow.</x:v>
      </x:c>
      <x:c r="Z544" s="15" t="str">
        <x:v>https://prozorro.gov.ua/tender/UA-2026-08-20-006819-a</x:v>
      </x:c>
      <x:c r="AA544" s="14" t="str">
        <x:v>2473003698</x:v>
      </x:c>
      <x:c r="AB544" s="14" t="str">
        <x:v>2026-08-24</x:v>
      </x:c>
      <x:c r="AC544" s="14" t="str"/>
      <x:c r="AD544" s="20" t="str"/>
      <x:c r="AE544" s="14" t="str"/>
      <x:c r="AF544" s="14" t="n">
        <x:v>49</x:v>
      </x:c>
      <x:c r="AG544" s="14" t="str">
        <x:v>I3</x:v>
      </x:c>
      <x:c r="AH544" s="14" t="n">
        <x:v>1</x:v>
      </x:c>
      <x:c r="AI544" s="14" t="n">
        <x:v>1</x:v>
      </x:c>
      <x:c r="AJ544" s="18" t="n">
        <x:v>49200</x:v>
      </x:c>
      <x:c r="AK544" s="14" t="str">
        <x:v>https://prozorro.gov.ua/tender/UA-2026-08-20-006819-a</x:v>
      </x:c>
      <x:c r="AL544" s="19" t="n">
        <x:v>46254.44403056713</x:v>
      </x:c>
      <x:c r="AM544" s="19" t="n">
        <x:v>46387.48663194444</x:v>
      </x:c>
      <x:c r="AN544" s="15" t="str">
        <x:v>Газопостачання / котельні</x:v>
      </x:c>
      <x:c r="AO544" s="15" t="str">
        <x:v>not_found_in_top_search</x:v>
      </x:c>
    </x:row>
    <x:row r="545">
      <x:c r="A545" s="14" t="str">
        <x:v>W3-273</x:v>
      </x:c>
      <x:c r="B545" s="14" t="str">
        <x:v>Prozorro winners — 24.08</x:v>
      </x:c>
      <x:c r="C545" s="14" t="str">
        <x:v>ІЗЮМСЬКА СВІТЛАНА ОЛЕКСАНДРІВНА</x:v>
      </x:c>
      <x:c r="D545" s="14" t="str">
        <x:v>Безпека / СКУД / CCTV</x:v>
      </x:c>
      <x:c r="E545" s="14" t="str">
        <x:v>Expansion discovery</x:v>
      </x:c>
      <x:c r="F545" s="17" t="str">
        <x:f>IF(E545="Pilot now",IF(P545&gt;=84,"P1",IF(P545&gt;=72,"P2","P3")),IF(E545="Expansion discovery",IF(Q545&gt;=88,"D1",IF(Q545&gt;=78,"D2","D3")),IF(E545="Later / requirements","L","Legacy")))</x:f>
        <x:v>D2</x:v>
      </x:c>
      <x:c r="G545" s="14" t="str"/>
      <x:c r="H545" s="14" t="str">
        <x:v>Discovery розширення — 2 тижні</x:v>
      </x:c>
      <x:c r="I545" s="16" t="n">
        <x:v>1</x:v>
      </x:c>
      <x:c r="J545" s="16" t="n">
        <x:v>5</x:v>
      </x:c>
      <x:c r="K545" s="16" t="n">
        <x:v>4</x:v>
      </x:c>
      <x:c r="L545" s="16" t="n">
        <x:v>1</x:v>
      </x:c>
      <x:c r="M545" s="16" t="n">
        <x:v>5</x:v>
      </x:c>
      <x:c r="N545" s="16" t="n">
        <x:v>3</x:v>
      </x:c>
      <x:c r="O545" s="16" t="n">
        <x:v>5</x:v>
      </x:c>
      <x:c r="P545" s="16" t="n">
        <x:f>IF(COUNT(I545:O545)&lt;7,"",I545*8+J545*3+K545*2+L545*2+M545*2+N545*2+O545)</x:f>
        <x:v>54</x:v>
      </x:c>
      <x:c r="Q545" s="16" t="n">
        <x:f>IF(COUNT(J545:O545)&lt;6,"",J545*5+K545*4+M545*4+L545*3+N545*2+O545*2)</x:f>
        <x:v>80</x:v>
      </x:c>
      <x:c r="R545" s="14" t="str">
        <x:v>high</x:v>
      </x:c>
      <x:c r="S545" s="14" t="str">
        <x:v>official_prozorro_award_2025_2026</x:v>
      </x:c>
      <x:c r="T545" s="14" t="str">
        <x:v>official_prozorro_api</x:v>
      </x:c>
      <x:c r="U545" s="14" t="str">
        <x:v>Не контактували</x:v>
      </x:c>
      <x:c r="V545" s="15" t="str">
        <x:v>Workflow-audit outreach по UA-2026-08-12-008644-a; попросити 1 пакет здачі та вимоги проєкту</x:v>
      </x:c>
      <x:c r="W545" s="15" t="str">
        <x:v>Власник / виконавець; відповідальний за договір</x:v>
      </x:c>
      <x:c r="X545" s="15" t="str">
        <x:v>1 підтверджених перемог/договорів у Prozorro на 41 933 грн; 1 проєктів зі строком виконання не раніше 24.08.2026.</x:v>
      </x:c>
      <x:c r="Y545" s="15" t="str">
        <x:v>послуги з монтажу, установки системи відеоспостереження; строк до 2026-08-31. Попросити один знеособлений пакет здачі за цим workflow.</x:v>
      </x:c>
      <x:c r="Z545" s="15" t="str">
        <x:v>https://prozorro.gov.ua/tender/UA-2026-08-12-008644-a</x:v>
      </x:c>
      <x:c r="AA545" s="14" t="str">
        <x:v>2931010984</x:v>
      </x:c>
      <x:c r="AB545" s="14" t="str">
        <x:v>2026-08-24</x:v>
      </x:c>
      <x:c r="AC545" s="14" t="str"/>
      <x:c r="AD545" s="20" t="str"/>
      <x:c r="AE545" s="14" t="str"/>
      <x:c r="AF545" s="14" t="n">
        <x:v>49</x:v>
      </x:c>
      <x:c r="AG545" s="14" t="str">
        <x:v>I3</x:v>
      </x:c>
      <x:c r="AH545" s="14" t="n">
        <x:v>1</x:v>
      </x:c>
      <x:c r="AI545" s="14" t="n">
        <x:v>1</x:v>
      </x:c>
      <x:c r="AJ545" s="18" t="n">
        <x:v>41933</x:v>
      </x:c>
      <x:c r="AK545" s="14" t="str">
        <x:v>https://prozorro.gov.ua/tender/UA-2026-08-12-008644-a</x:v>
      </x:c>
      <x:c r="AL545" s="19" t="n">
        <x:v>46246.51809078704</x:v>
      </x:c>
      <x:c r="AM545" s="19" t="n">
        <x:v>46265</x:v>
      </x:c>
      <x:c r="AN545" s="15" t="str">
        <x:v>Безпека / СКУД / CCTV</x:v>
      </x:c>
      <x:c r="AO545" s="15" t="str">
        <x:v>not_found_in_top_search</x:v>
      </x:c>
    </x:row>
    <x:row r="546">
      <x:c r="A546" s="14" t="str">
        <x:v>W3-274</x:v>
      </x:c>
      <x:c r="B546" s="14" t="str">
        <x:v>Prozorro winners — 24.08</x:v>
      </x:c>
      <x:c r="C546" s="14" t="str">
        <x:v>Чернобильський Євген Володимирович</x:v>
      </x:c>
      <x:c r="D546" s="14" t="str">
        <x:v>Промисловий холод</x:v>
      </x:c>
      <x:c r="E546" s="14" t="str">
        <x:v>Expansion discovery</x:v>
      </x:c>
      <x:c r="F546" s="17" t="str">
        <x:f>IF(E546="Pilot now",IF(P546&gt;=84,"P1",IF(P546&gt;=72,"P2","P3")),IF(E546="Expansion discovery",IF(Q546&gt;=88,"D1",IF(Q546&gt;=78,"D2","D3")),IF(E546="Later / requirements","L","Legacy")))</x:f>
        <x:v>D2</x:v>
      </x:c>
      <x:c r="G546" s="14" t="str"/>
      <x:c r="H546" s="14" t="str">
        <x:v>Discovery розширення — 2 тижні</x:v>
      </x:c>
      <x:c r="I546" s="16" t="n">
        <x:v>1</x:v>
      </x:c>
      <x:c r="J546" s="16" t="n">
        <x:v>5</x:v>
      </x:c>
      <x:c r="K546" s="16" t="n">
        <x:v>4</x:v>
      </x:c>
      <x:c r="L546" s="16" t="n">
        <x:v>1</x:v>
      </x:c>
      <x:c r="M546" s="16" t="n">
        <x:v>5</x:v>
      </x:c>
      <x:c r="N546" s="16" t="n">
        <x:v>3</x:v>
      </x:c>
      <x:c r="O546" s="16" t="n">
        <x:v>5</x:v>
      </x:c>
      <x:c r="P546" s="16" t="n">
        <x:f>IF(COUNT(I546:O546)&lt;7,"",I546*8+J546*3+K546*2+L546*2+M546*2+N546*2+O546)</x:f>
        <x:v>54</x:v>
      </x:c>
      <x:c r="Q546" s="16" t="n">
        <x:f>IF(COUNT(J546:O546)&lt;6,"",J546*5+K546*4+M546*4+L546*3+N546*2+O546*2)</x:f>
        <x:v>80</x:v>
      </x:c>
      <x:c r="R546" s="14" t="str">
        <x:v>high</x:v>
      </x:c>
      <x:c r="S546" s="14" t="str">
        <x:v>official_prozorro_award_2025_2026</x:v>
      </x:c>
      <x:c r="T546" s="14" t="str">
        <x:v>official_prozorro_api</x:v>
      </x:c>
      <x:c r="U546" s="14" t="str">
        <x:v>Не контактували</x:v>
      </x:c>
      <x:c r="V546" s="15" t="str">
        <x:v>Workflow-audit outreach по UA-2026-08-07-000749-a; попросити 1 пакет здачі та вимоги проєкту</x:v>
      </x:c>
      <x:c r="W546" s="15" t="str">
        <x:v>Власник / виконавець; відповідальний за договір</x:v>
      </x:c>
      <x:c r="X546" s="15" t="str">
        <x:v>1 підтверджених перемог/договорів у Prozorro на 41 625 грн; 1 проєктів зі строком виконання не раніше 24.08.2026.</x:v>
      </x:c>
      <x:c r="Y546" s="15" t="str">
        <x:v>Монтаж холодильного обладнання з підключенням до мереж (ДК 021:2015 50730000-1 Послуги з ремонту і технічного обслуговування охолоджувальних установок); строк до 2026-12-31. Попросити один знеособлений пакет здачі за цим workflow.</x:v>
      </x:c>
      <x:c r="Z546" s="15" t="str">
        <x:v>https://prozorro.gov.ua/tender/UA-2026-08-07-000749-a</x:v>
      </x:c>
      <x:c r="AA546" s="14" t="str">
        <x:v>2713905975</x:v>
      </x:c>
      <x:c r="AB546" s="14" t="str">
        <x:v>2026-08-24</x:v>
      </x:c>
      <x:c r="AC546" s="14" t="str"/>
      <x:c r="AD546" s="20" t="str"/>
      <x:c r="AE546" s="14" t="str"/>
      <x:c r="AF546" s="14" t="n">
        <x:v>49</x:v>
      </x:c>
      <x:c r="AG546" s="14" t="str">
        <x:v>I3</x:v>
      </x:c>
      <x:c r="AH546" s="14" t="n">
        <x:v>1</x:v>
      </x:c>
      <x:c r="AI546" s="14" t="n">
        <x:v>1</x:v>
      </x:c>
      <x:c r="AJ546" s="18" t="n">
        <x:v>41625</x:v>
      </x:c>
      <x:c r="AK546" s="14" t="str">
        <x:v>https://prozorro.gov.ua/tender/UA-2026-08-07-000749-a</x:v>
      </x:c>
      <x:c r="AL546" s="19" t="n">
        <x:v>46241.26161476852</x:v>
      </x:c>
      <x:c r="AM546" s="19" t="n">
        <x:v>46387</x:v>
      </x:c>
      <x:c r="AN546" s="15" t="str">
        <x:v>Промисловий холод</x:v>
      </x:c>
      <x:c r="AO546" s="15" t="str">
        <x:v>not_found_in_top_search</x:v>
      </x:c>
    </x:row>
    <x:row r="547">
      <x:c r="A547" s="14" t="str">
        <x:v>W3-275</x:v>
      </x:c>
      <x:c r="B547" s="14" t="str">
        <x:v>Prozorro winners — 24.08</x:v>
      </x:c>
      <x:c r="C547" s="14" t="str">
        <x:v>ФОП Дзюра М.І.</x:v>
      </x:c>
      <x:c r="D547" s="14" t="str">
        <x:v>Мости / інфраструктура</x:v>
      </x:c>
      <x:c r="E547" s="14" t="str">
        <x:v>Expansion discovery</x:v>
      </x:c>
      <x:c r="F547" s="17" t="str">
        <x:f>IF(E547="Pilot now",IF(P547&gt;=84,"P1",IF(P547&gt;=72,"P2","P3")),IF(E547="Expansion discovery",IF(Q547&gt;=88,"D1",IF(Q547&gt;=78,"D2","D3")),IF(E547="Later / requirements","L","Legacy")))</x:f>
        <x:v>D2</x:v>
      </x:c>
      <x:c r="G547" s="14" t="str"/>
      <x:c r="H547" s="14" t="str">
        <x:v>Discovery розширення — 2 тижні</x:v>
      </x:c>
      <x:c r="I547" s="16" t="n">
        <x:v>1</x:v>
      </x:c>
      <x:c r="J547" s="16" t="n">
        <x:v>5</x:v>
      </x:c>
      <x:c r="K547" s="16" t="n">
        <x:v>4</x:v>
      </x:c>
      <x:c r="L547" s="16" t="n">
        <x:v>1</x:v>
      </x:c>
      <x:c r="M547" s="16" t="n">
        <x:v>5</x:v>
      </x:c>
      <x:c r="N547" s="16" t="n">
        <x:v>3</x:v>
      </x:c>
      <x:c r="O547" s="16" t="n">
        <x:v>5</x:v>
      </x:c>
      <x:c r="P547" s="16" t="n">
        <x:f>IF(COUNT(I547:O547)&lt;7,"",I547*8+J547*3+K547*2+L547*2+M547*2+N547*2+O547)</x:f>
        <x:v>54</x:v>
      </x:c>
      <x:c r="Q547" s="16" t="n">
        <x:f>IF(COUNT(J547:O547)&lt;6,"",J547*5+K547*4+M547*4+L547*3+N547*2+O547*2)</x:f>
        <x:v>80</x:v>
      </x:c>
      <x:c r="R547" s="14" t="str">
        <x:v>high</x:v>
      </x:c>
      <x:c r="S547" s="14" t="str">
        <x:v>official_prozorro_award_2025_2026</x:v>
      </x:c>
      <x:c r="T547" s="14" t="str">
        <x:v>official_prozorro_api</x:v>
      </x:c>
      <x:c r="U547" s="14" t="str">
        <x:v>Не контактували</x:v>
      </x:c>
      <x:c r="V547" s="15" t="str">
        <x:v>Workflow-audit outreach по UA-2026-08-20-002827-a; попросити 1 пакет здачі та вимоги проєкту</x:v>
      </x:c>
      <x:c r="W547" s="15" t="str">
        <x:v>Власник / виконавець; відповідальний за договір</x:v>
      </x:c>
      <x:c r="X547" s="15" t="str">
        <x:v>1 підтверджених перемог/договорів у Prozorro на 41 200 грн; 1 проєктів зі строком виконання не раніше 24.08.2026.</x:v>
      </x:c>
      <x:c r="Y547" s="15" t="str">
        <x:v>Код за ДК 021:2015:50110000-9 – Послуги з ремонту і технічного обслуговування мототранспортних засобів і супутнього обладнання (Ремонтні роботи заднього моста вантажного автомобіля); строк до 2026-12-31. Попросити один знеособлений пакет здачі за цим workflow.</x:v>
      </x:c>
      <x:c r="Z547" s="15" t="str">
        <x:v>https://prozorro.gov.ua/tender/UA-2026-08-20-002827-a</x:v>
      </x:c>
      <x:c r="AA547" s="14" t="str">
        <x:v>1906205534</x:v>
      </x:c>
      <x:c r="AB547" s="14" t="str">
        <x:v>2026-08-24</x:v>
      </x:c>
      <x:c r="AC547" s="14" t="str"/>
      <x:c r="AD547" s="20" t="str"/>
      <x:c r="AE547" s="14" t="str"/>
      <x:c r="AF547" s="14" t="n">
        <x:v>49</x:v>
      </x:c>
      <x:c r="AG547" s="14" t="str">
        <x:v>I3</x:v>
      </x:c>
      <x:c r="AH547" s="14" t="n">
        <x:v>1</x:v>
      </x:c>
      <x:c r="AI547" s="14" t="n">
        <x:v>1</x:v>
      </x:c>
      <x:c r="AJ547" s="18" t="n">
        <x:v>41200</x:v>
      </x:c>
      <x:c r="AK547" s="14" t="str">
        <x:v>https://prozorro.gov.ua/tender/UA-2026-08-20-002827-a</x:v>
      </x:c>
      <x:c r="AL547" s="19" t="n">
        <x:v>46254.324462268516</x:v>
      </x:c>
      <x:c r="AM547" s="19" t="n">
        <x:v>46387</x:v>
      </x:c>
      <x:c r="AN547" s="15" t="str">
        <x:v>Мости / інфраструктура</x:v>
      </x:c>
      <x:c r="AO547" s="15" t="str">
        <x:v>not_found_in_top_search</x:v>
      </x:c>
    </x:row>
    <x:row r="548">
      <x:c r="A548" s="14" t="str">
        <x:v>W3-276</x:v>
      </x:c>
      <x:c r="B548" s="14" t="str">
        <x:v>Prozorro winners — 24.08</x:v>
      </x:c>
      <x:c r="C548" s="14" t="str">
        <x:v>ГАРБУЗ ОЛЕНА МИКОЛАЇВНА</x:v>
      </x:c>
      <x:c r="D548" s="14" t="str">
        <x:v>Промисловий холод</x:v>
      </x:c>
      <x:c r="E548" s="14" t="str">
        <x:v>Expansion discovery</x:v>
      </x:c>
      <x:c r="F548" s="17" t="str">
        <x:f>IF(E548="Pilot now",IF(P548&gt;=84,"P1",IF(P548&gt;=72,"P2","P3")),IF(E548="Expansion discovery",IF(Q548&gt;=88,"D1",IF(Q548&gt;=78,"D2","D3")),IF(E548="Later / requirements","L","Legacy")))</x:f>
        <x:v>D2</x:v>
      </x:c>
      <x:c r="G548" s="14" t="str"/>
      <x:c r="H548" s="14" t="str">
        <x:v>Discovery розширення — 2 тижні</x:v>
      </x:c>
      <x:c r="I548" s="16" t="n">
        <x:v>1</x:v>
      </x:c>
      <x:c r="J548" s="16" t="n">
        <x:v>5</x:v>
      </x:c>
      <x:c r="K548" s="16" t="n">
        <x:v>4</x:v>
      </x:c>
      <x:c r="L548" s="16" t="n">
        <x:v>1</x:v>
      </x:c>
      <x:c r="M548" s="16" t="n">
        <x:v>5</x:v>
      </x:c>
      <x:c r="N548" s="16" t="n">
        <x:v>3</x:v>
      </x:c>
      <x:c r="O548" s="16" t="n">
        <x:v>5</x:v>
      </x:c>
      <x:c r="P548" s="16" t="n">
        <x:f>IF(COUNT(I548:O548)&lt;7,"",I548*8+J548*3+K548*2+L548*2+M548*2+N548*2+O548)</x:f>
        <x:v>54</x:v>
      </x:c>
      <x:c r="Q548" s="16" t="n">
        <x:f>IF(COUNT(J548:O548)&lt;6,"",J548*5+K548*4+M548*4+L548*3+N548*2+O548*2)</x:f>
        <x:v>80</x:v>
      </x:c>
      <x:c r="R548" s="14" t="str">
        <x:v>high</x:v>
      </x:c>
      <x:c r="S548" s="14" t="str">
        <x:v>official_prozorro_award_2025_2026</x:v>
      </x:c>
      <x:c r="T548" s="14" t="str">
        <x:v>official_prozorro_api</x:v>
      </x:c>
      <x:c r="U548" s="14" t="str">
        <x:v>Не контактували</x:v>
      </x:c>
      <x:c r="V548" s="15" t="str">
        <x:v>Workflow-audit outreach по UA-2026-08-14-003644-a; попросити 1 пакет здачі та вимоги проєкту</x:v>
      </x:c>
      <x:c r="W548" s="15" t="str">
        <x:v>Власник / виконавець; відповідальний за договір</x:v>
      </x:c>
      <x:c r="X548" s="15" t="str">
        <x:v>1 підтверджених перемог/договорів у Prozorro на 41 025 грн; 1 проєктів зі строком виконання не раніше 24.08.2026.</x:v>
      </x:c>
      <x:c r="Y548" s="15" t="str">
        <x:v>Послуги монтажу холодильного обладнання  згідно коду ДК 021: 2015: 50730000-1 Послуги з ремонту і технічного обслуговування охолоджувальних установок.; строк до 2026-08-30. Попросити один знеособлений пакет здачі за цим workflow.</x:v>
      </x:c>
      <x:c r="Z548" s="15" t="str">
        <x:v>https://prozorro.gov.ua/tender/UA-2026-08-14-003644-a</x:v>
      </x:c>
      <x:c r="AA548" s="14" t="str">
        <x:v>2602716885</x:v>
      </x:c>
      <x:c r="AB548" s="14" t="str">
        <x:v>2026-08-24</x:v>
      </x:c>
      <x:c r="AC548" s="14" t="str"/>
      <x:c r="AD548" s="20" t="str"/>
      <x:c r="AE548" s="14" t="str"/>
      <x:c r="AF548" s="14" t="n">
        <x:v>49</x:v>
      </x:c>
      <x:c r="AG548" s="14" t="str">
        <x:v>I3</x:v>
      </x:c>
      <x:c r="AH548" s="14" t="n">
        <x:v>1</x:v>
      </x:c>
      <x:c r="AI548" s="14" t="n">
        <x:v>1</x:v>
      </x:c>
      <x:c r="AJ548" s="18" t="n">
        <x:v>41025</x:v>
      </x:c>
      <x:c r="AK548" s="14" t="str">
        <x:v>https://prozorro.gov.ua/tender/UA-2026-08-14-003644-a</x:v>
      </x:c>
      <x:c r="AL548" s="19" t="n">
        <x:v>46248.34964133102</x:v>
      </x:c>
      <x:c r="AM548" s="19" t="n">
        <x:v>46264</x:v>
      </x:c>
      <x:c r="AN548" s="15" t="str">
        <x:v>Промисловий холод</x:v>
      </x:c>
      <x:c r="AO548" s="15" t="str">
        <x:v>not_found_in_top_search</x:v>
      </x:c>
    </x:row>
    <x:row r="549">
      <x:c r="A549" s="14" t="str">
        <x:v>W3-277</x:v>
      </x:c>
      <x:c r="B549" s="14" t="str">
        <x:v>Prozorro winners — 24.08</x:v>
      </x:c>
      <x:c r="C549" s="14" t="str">
        <x:v>ФОП Довганюк Вікторія Валеріївна</x:v>
      </x:c>
      <x:c r="D549" s="14" t="str">
        <x:v>Електромонтаж</x:v>
      </x:c>
      <x:c r="E549" s="14" t="str">
        <x:v>Pilot now</x:v>
      </x:c>
      <x:c r="F549" s="17" t="str">
        <x:f>IF(E549="Pilot now",IF(P549&gt;=84,"P1",IF(P549&gt;=72,"P2","P3")),IF(E549="Expansion discovery",IF(Q549&gt;=88,"D1",IF(Q549&gt;=78,"D2","D3")),IF(E549="Later / requirements","L","Legacy")))</x:f>
        <x:v>P1</x:v>
      </x:c>
      <x:c r="G549" s="14" t="str"/>
      <x:c r="H549" s="14" t="str">
        <x:v>Пілот зараз — Н.15</x:v>
      </x:c>
      <x:c r="I549" s="16" t="n">
        <x:v>5</x:v>
      </x:c>
      <x:c r="J549" s="16" t="n">
        <x:v>5</x:v>
      </x:c>
      <x:c r="K549" s="16" t="n">
        <x:v>5</x:v>
      </x:c>
      <x:c r="L549" s="16" t="n">
        <x:v>1</x:v>
      </x:c>
      <x:c r="M549" s="16" t="n">
        <x:v>5</x:v>
      </x:c>
      <x:c r="N549" s="16" t="n">
        <x:v>3</x:v>
      </x:c>
      <x:c r="O549" s="16" t="n">
        <x:v>5</x:v>
      </x:c>
      <x:c r="P549" s="16" t="n">
        <x:f>IF(COUNT(I549:O549)&lt;7,"",I549*8+J549*3+K549*2+L549*2+M549*2+N549*2+O549)</x:f>
        <x:v>88</x:v>
      </x:c>
      <x:c r="Q549" s="16" t="n">
        <x:f>IF(COUNT(J549:O549)&lt;6,"",J549*5+K549*4+M549*4+L549*3+N549*2+O549*2)</x:f>
        <x:v>84</x:v>
      </x:c>
      <x:c r="R549" s="14" t="str">
        <x:v>high</x:v>
      </x:c>
      <x:c r="S549" s="14" t="str">
        <x:v>official_prozorro_award_2025_2026</x:v>
      </x:c>
      <x:c r="T549" s="14" t="str">
        <x:v>official_prozorro_api</x:v>
      </x:c>
      <x:c r="U549" s="14" t="str">
        <x:v>Не контактували</x:v>
      </x:c>
      <x:c r="V549" s="15" t="str">
        <x:v>Персоналізований free-pilot outreach по UA-2026-08-24-001409-a; попросити 1 пакет Н.14/Н.15</x:v>
      </x:c>
      <x:c r="W549" s="15" t="str">
        <x:v>Власник / виконавець; відповідальний за договір</x:v>
      </x:c>
      <x:c r="X549" s="15" t="str">
        <x:v>1 підтверджених перемог/договорів у Prozorro на 38 982 грн; 1 проєктів зі строком виконання не раніше 24.08.2026.</x:v>
      </x:c>
      <x:c r="Y549" s="15" t="str">
        <x:v>Електромонтажні роботи; строк до 2026-12-31. Попросити один знеособлений пакет здачі за цим workflow.</x:v>
      </x:c>
      <x:c r="Z549" s="15" t="str">
        <x:v>https://prozorro.gov.ua/tender/UA-2026-08-24-001409-a</x:v>
      </x:c>
      <x:c r="AA549" s="14" t="str">
        <x:v>3414011349</x:v>
      </x:c>
      <x:c r="AB549" s="14" t="str">
        <x:v>2026-08-24</x:v>
      </x:c>
      <x:c r="AC549" s="14" t="str"/>
      <x:c r="AD549" s="20" t="str"/>
      <x:c r="AE549" s="14" t="str"/>
      <x:c r="AF549" s="14" t="n">
        <x:v>49</x:v>
      </x:c>
      <x:c r="AG549" s="14" t="str">
        <x:v>I3</x:v>
      </x:c>
      <x:c r="AH549" s="14" t="n">
        <x:v>1</x:v>
      </x:c>
      <x:c r="AI549" s="14" t="n">
        <x:v>1</x:v>
      </x:c>
      <x:c r="AJ549" s="18" t="n">
        <x:v>38982</x:v>
      </x:c>
      <x:c r="AK549" s="14" t="str">
        <x:v>https://prozorro.gov.ua/tender/UA-2026-08-24-001409-a</x:v>
      </x:c>
      <x:c r="AL549" s="19" t="n">
        <x:v>46258.302548761574</x:v>
      </x:c>
      <x:c r="AM549" s="19" t="n">
        <x:v>46387.34575231482</x:v>
      </x:c>
      <x:c r="AN549" s="15" t="str">
        <x:v>Електромонтаж</x:v>
      </x:c>
      <x:c r="AO549" s="15" t="str">
        <x:v>not_found_in_top_search</x:v>
      </x:c>
    </x:row>
    <x:row r="550">
      <x:c r="A550" s="14" t="str">
        <x:v>W3-278</x:v>
      </x:c>
      <x:c r="B550" s="14" t="str">
        <x:v>Prozorro winners — 24.08</x:v>
      </x:c>
      <x:c r="C550" s="14" t="str">
        <x:v>ХОМЕНКО ВІТАЛІЙ ВІКТОРОВИЧ</x:v>
      </x:c>
      <x:c r="D550" s="14" t="str">
        <x:v>Безпека / СКУД / CCTV</x:v>
      </x:c>
      <x:c r="E550" s="14" t="str">
        <x:v>Expansion discovery</x:v>
      </x:c>
      <x:c r="F550" s="17" t="str">
        <x:f>IF(E550="Pilot now",IF(P550&gt;=84,"P1",IF(P550&gt;=72,"P2","P3")),IF(E550="Expansion discovery",IF(Q550&gt;=88,"D1",IF(Q550&gt;=78,"D2","D3")),IF(E550="Later / requirements","L","Legacy")))</x:f>
        <x:v>D2</x:v>
      </x:c>
      <x:c r="G550" s="14" t="str"/>
      <x:c r="H550" s="14" t="str">
        <x:v>Discovery розширення — 2 тижні</x:v>
      </x:c>
      <x:c r="I550" s="16" t="n">
        <x:v>1</x:v>
      </x:c>
      <x:c r="J550" s="16" t="n">
        <x:v>5</x:v>
      </x:c>
      <x:c r="K550" s="16" t="n">
        <x:v>4</x:v>
      </x:c>
      <x:c r="L550" s="16" t="n">
        <x:v>1</x:v>
      </x:c>
      <x:c r="M550" s="16" t="n">
        <x:v>5</x:v>
      </x:c>
      <x:c r="N550" s="16" t="n">
        <x:v>3</x:v>
      </x:c>
      <x:c r="O550" s="16" t="n">
        <x:v>5</x:v>
      </x:c>
      <x:c r="P550" s="16" t="n">
        <x:f>IF(COUNT(I550:O550)&lt;7,"",I550*8+J550*3+K550*2+L550*2+M550*2+N550*2+O550)</x:f>
        <x:v>54</x:v>
      </x:c>
      <x:c r="Q550" s="16" t="n">
        <x:f>IF(COUNT(J550:O550)&lt;6,"",J550*5+K550*4+M550*4+L550*3+N550*2+O550*2)</x:f>
        <x:v>80</x:v>
      </x:c>
      <x:c r="R550" s="14" t="str">
        <x:v>high</x:v>
      </x:c>
      <x:c r="S550" s="14" t="str">
        <x:v>official_prozorro_award_2025_2026</x:v>
      </x:c>
      <x:c r="T550" s="14" t="str">
        <x:v>official_prozorro_api</x:v>
      </x:c>
      <x:c r="U550" s="14" t="str">
        <x:v>Не контактували</x:v>
      </x:c>
      <x:c r="V550" s="15" t="str">
        <x:v>Workflow-audit outreach по UA-2026-08-17-004383-a; попросити 1 пакет здачі та вимоги проєкту</x:v>
      </x:c>
      <x:c r="W550" s="15" t="str">
        <x:v>Власник / виконавець; відповідальний за договір</x:v>
      </x:c>
      <x:c r="X550" s="15" t="str">
        <x:v>1 підтверджених перемог/договорів у Prozorro на 37 962 грн; 1 проєктів зі строком виконання не раніше 24.08.2026.</x:v>
      </x:c>
      <x:c r="Y550" s="15" t="str">
        <x:v>Послуги з монтажу системи контролю та управління доступом автомобілів за адресою: м. Київ, вул. Кловський узвіз, 8 (ДК 021:2015: 45350000-5 — Механо-монтажні роботи) ; строк до 2026-12-31. Попросити один знеособлений пакет здачі за цим workflow.</x:v>
      </x:c>
      <x:c r="Z550" s="15" t="str">
        <x:v>https://prozorro.gov.ua/tender/UA-2026-08-17-004383-a</x:v>
      </x:c>
      <x:c r="AA550" s="14" t="str">
        <x:v>3339918455</x:v>
      </x:c>
      <x:c r="AB550" s="14" t="str">
        <x:v>2026-08-24</x:v>
      </x:c>
      <x:c r="AC550" s="14" t="str"/>
      <x:c r="AD550" s="20" t="str"/>
      <x:c r="AE550" s="14" t="str"/>
      <x:c r="AF550" s="14" t="n">
        <x:v>49</x:v>
      </x:c>
      <x:c r="AG550" s="14" t="str">
        <x:v>I3</x:v>
      </x:c>
      <x:c r="AH550" s="14" t="n">
        <x:v>1</x:v>
      </x:c>
      <x:c r="AI550" s="14" t="n">
        <x:v>1</x:v>
      </x:c>
      <x:c r="AJ550" s="18" t="n">
        <x:v>37962</x:v>
      </x:c>
      <x:c r="AK550" s="14" t="str">
        <x:v>https://prozorro.gov.ua/tender/UA-2026-08-17-004383-a</x:v>
      </x:c>
      <x:c r="AL550" s="19" t="n">
        <x:v>46251.375759664355</x:v>
      </x:c>
      <x:c r="AM550" s="19" t="n">
        <x:v>46387</x:v>
      </x:c>
      <x:c r="AN550" s="15" t="str">
        <x:v>Безпека / СКУД / CCTV</x:v>
      </x:c>
      <x:c r="AO550" s="15" t="str">
        <x:v>not_found_in_top_search</x:v>
      </x:c>
    </x:row>
    <x:row r="551">
      <x:c r="A551" s="14" t="str">
        <x:v>W3-279</x:v>
      </x:c>
      <x:c r="B551" s="14" t="str">
        <x:v>Prozorro winners — 24.08</x:v>
      </x:c>
      <x:c r="C551" s="14" t="str">
        <x:v>ФОП Олефіренко Андрій Анатолійович</x:v>
      </x:c>
      <x:c r="D551" s="14" t="str">
        <x:v>Безпека / СКУД / CCTV</x:v>
      </x:c>
      <x:c r="E551" s="14" t="str">
        <x:v>Expansion discovery</x:v>
      </x:c>
      <x:c r="F551" s="17" t="str">
        <x:f>IF(E551="Pilot now",IF(P551&gt;=84,"P1",IF(P551&gt;=72,"P2","P3")),IF(E551="Expansion discovery",IF(Q551&gt;=88,"D1",IF(Q551&gt;=78,"D2","D3")),IF(E551="Later / requirements","L","Legacy")))</x:f>
        <x:v>D2</x:v>
      </x:c>
      <x:c r="G551" s="14" t="str"/>
      <x:c r="H551" s="14" t="str">
        <x:v>Discovery розширення — 2 тижні</x:v>
      </x:c>
      <x:c r="I551" s="16" t="n">
        <x:v>1</x:v>
      </x:c>
      <x:c r="J551" s="16" t="n">
        <x:v>5</x:v>
      </x:c>
      <x:c r="K551" s="16" t="n">
        <x:v>4</x:v>
      </x:c>
      <x:c r="L551" s="16" t="n">
        <x:v>1</x:v>
      </x:c>
      <x:c r="M551" s="16" t="n">
        <x:v>5</x:v>
      </x:c>
      <x:c r="N551" s="16" t="n">
        <x:v>3</x:v>
      </x:c>
      <x:c r="O551" s="16" t="n">
        <x:v>5</x:v>
      </x:c>
      <x:c r="P551" s="16" t="n">
        <x:f>IF(COUNT(I551:O551)&lt;7,"",I551*8+J551*3+K551*2+L551*2+M551*2+N551*2+O551)</x:f>
        <x:v>54</x:v>
      </x:c>
      <x:c r="Q551" s="16" t="n">
        <x:f>IF(COUNT(J551:O551)&lt;6,"",J551*5+K551*4+M551*4+L551*3+N551*2+O551*2)</x:f>
        <x:v>80</x:v>
      </x:c>
      <x:c r="R551" s="14" t="str">
        <x:v>high</x:v>
      </x:c>
      <x:c r="S551" s="14" t="str">
        <x:v>official_prozorro_award_2025_2026</x:v>
      </x:c>
      <x:c r="T551" s="14" t="str">
        <x:v>official_prozorro_api</x:v>
      </x:c>
      <x:c r="U551" s="14" t="str">
        <x:v>Не контактували</x:v>
      </x:c>
      <x:c r="V551" s="15" t="str">
        <x:v>Workflow-audit outreach по UA-2026-07-13-008065-a; попросити 1 пакет здачі та вимоги проєкту</x:v>
      </x:c>
      <x:c r="W551" s="15" t="str">
        <x:v>Власник / виконавець; відповідальний за договір</x:v>
      </x:c>
      <x:c r="X551" s="15" t="str">
        <x:v>1 підтверджених перемог/договорів у Prozorro на 34 162 грн; 1 проєктів зі строком виконання не раніше 24.08.2026.</x:v>
      </x:c>
      <x:c r="Y551" s="15" t="str">
        <x:v>Послуги  монтажні та пусконалагоджувальні роботи з монтажу системи відеоспостереження.; строк до 2026-12-25. Попросити один знеособлений пакет здачі за цим workflow.</x:v>
      </x:c>
      <x:c r="Z551" s="15" t="str">
        <x:v>https://prozorro.gov.ua/tender/UA-2026-07-13-008065-a</x:v>
      </x:c>
      <x:c r="AA551" s="14" t="str">
        <x:v>3195907118</x:v>
      </x:c>
      <x:c r="AB551" s="14" t="str">
        <x:v>2026-08-24</x:v>
      </x:c>
      <x:c r="AC551" s="14" t="str"/>
      <x:c r="AD551" s="20" t="str"/>
      <x:c r="AE551" s="14" t="str"/>
      <x:c r="AF551" s="14" t="n">
        <x:v>49</x:v>
      </x:c>
      <x:c r="AG551" s="14" t="str">
        <x:v>I3</x:v>
      </x:c>
      <x:c r="AH551" s="14" t="n">
        <x:v>1</x:v>
      </x:c>
      <x:c r="AI551" s="14" t="n">
        <x:v>1</x:v>
      </x:c>
      <x:c r="AJ551" s="18" t="n">
        <x:v>34162</x:v>
      </x:c>
      <x:c r="AK551" s="14" t="str">
        <x:v>https://prozorro.gov.ua/tender/UA-2026-07-13-008065-a</x:v>
      </x:c>
      <x:c r="AL551" s="19" t="n">
        <x:v>46216.51562196759</x:v>
      </x:c>
      <x:c r="AM551" s="19" t="n">
        <x:v>46381.556597222225</x:v>
      </x:c>
      <x:c r="AN551" s="15" t="str">
        <x:v>Безпека / СКУД / CCTV</x:v>
      </x:c>
      <x:c r="AO551" s="15" t="str">
        <x:v>not_found_in_top_search</x:v>
      </x:c>
    </x:row>
    <x:row r="552">
      <x:c r="A552" s="14" t="str">
        <x:v>W3-280</x:v>
      </x:c>
      <x:c r="B552" s="14" t="str">
        <x:v>Prozorro winners — 24.08</x:v>
      </x:c>
      <x:c r="C552" s="14" t="str">
        <x:v>ФОП Ткаченко.П.І</x:v>
      </x:c>
      <x:c r="D552" s="14" t="str">
        <x:v>Промисловий холод</x:v>
      </x:c>
      <x:c r="E552" s="14" t="str">
        <x:v>Expansion discovery</x:v>
      </x:c>
      <x:c r="F552" s="17" t="str">
        <x:f>IF(E552="Pilot now",IF(P552&gt;=84,"P1",IF(P552&gt;=72,"P2","P3")),IF(E552="Expansion discovery",IF(Q552&gt;=88,"D1",IF(Q552&gt;=78,"D2","D3")),IF(E552="Later / requirements","L","Legacy")))</x:f>
        <x:v>D2</x:v>
      </x:c>
      <x:c r="G552" s="14" t="str"/>
      <x:c r="H552" s="14" t="str">
        <x:v>Discovery розширення — 2 тижні</x:v>
      </x:c>
      <x:c r="I552" s="16" t="n">
        <x:v>1</x:v>
      </x:c>
      <x:c r="J552" s="16" t="n">
        <x:v>5</x:v>
      </x:c>
      <x:c r="K552" s="16" t="n">
        <x:v>4</x:v>
      </x:c>
      <x:c r="L552" s="16" t="n">
        <x:v>1</x:v>
      </x:c>
      <x:c r="M552" s="16" t="n">
        <x:v>5</x:v>
      </x:c>
      <x:c r="N552" s="16" t="n">
        <x:v>3</x:v>
      </x:c>
      <x:c r="O552" s="16" t="n">
        <x:v>5</x:v>
      </x:c>
      <x:c r="P552" s="16" t="n">
        <x:f>IF(COUNT(I552:O552)&lt;7,"",I552*8+J552*3+K552*2+L552*2+M552*2+N552*2+O552)</x:f>
        <x:v>54</x:v>
      </x:c>
      <x:c r="Q552" s="16" t="n">
        <x:f>IF(COUNT(J552:O552)&lt;6,"",J552*5+K552*4+M552*4+L552*3+N552*2+O552*2)</x:f>
        <x:v>80</x:v>
      </x:c>
      <x:c r="R552" s="14" t="str">
        <x:v>high</x:v>
      </x:c>
      <x:c r="S552" s="14" t="str">
        <x:v>official_prozorro_award_2025_2026</x:v>
      </x:c>
      <x:c r="T552" s="14" t="str">
        <x:v>official_prozorro_api</x:v>
      </x:c>
      <x:c r="U552" s="14" t="str">
        <x:v>Не контактували</x:v>
      </x:c>
      <x:c r="V552" s="15" t="str">
        <x:v>Workflow-audit outreach по UA-2026-07-13-001172-a; попросити 1 пакет здачі та вимоги проєкту</x:v>
      </x:c>
      <x:c r="W552" s="15" t="str">
        <x:v>Власник / виконавець; відповідальний за договір</x:v>
      </x:c>
      <x:c r="X552" s="15" t="str">
        <x:v>1 підтверджених перемог/договорів у Prozorro на 30 965 грн; 1 проєктів зі строком виконання не раніше 24.08.2026.</x:v>
      </x:c>
      <x:c r="Y552" s="15" t="str">
        <x:v>Встановлення холодильного обладнання; строк до 2026-12-31. Попросити один знеособлений пакет здачі за цим workflow.</x:v>
      </x:c>
      <x:c r="Z552" s="15" t="str">
        <x:v>https://prozorro.gov.ua/tender/UA-2026-07-13-001172-a</x:v>
      </x:c>
      <x:c r="AA552" s="14" t="str">
        <x:v>2147602655</x:v>
      </x:c>
      <x:c r="AB552" s="14" t="str">
        <x:v>2026-08-24</x:v>
      </x:c>
      <x:c r="AC552" s="14" t="str"/>
      <x:c r="AD552" s="20" t="str"/>
      <x:c r="AE552" s="14" t="str"/>
      <x:c r="AF552" s="14" t="n">
        <x:v>49</x:v>
      </x:c>
      <x:c r="AG552" s="14" t="str">
        <x:v>I3</x:v>
      </x:c>
      <x:c r="AH552" s="14" t="n">
        <x:v>1</x:v>
      </x:c>
      <x:c r="AI552" s="14" t="n">
        <x:v>1</x:v>
      </x:c>
      <x:c r="AJ552" s="18" t="n">
        <x:v>30965</x:v>
      </x:c>
      <x:c r="AK552" s="14" t="str">
        <x:v>https://prozorro.gov.ua/tender/UA-2026-07-13-001172-a</x:v>
      </x:c>
      <x:c r="AL552" s="19" t="n">
        <x:v>46216.28865054398</x:v>
      </x:c>
      <x:c r="AM552" s="19" t="n">
        <x:v>46387</x:v>
      </x:c>
      <x:c r="AN552" s="15" t="str">
        <x:v>Промисловий холод</x:v>
      </x:c>
      <x:c r="AO552" s="15" t="str">
        <x:v>not_found_in_top_search</x:v>
      </x:c>
    </x:row>
    <x:row r="553">
      <x:c r="A553" s="14" t="str">
        <x:v>W3-281</x:v>
      </x:c>
      <x:c r="B553" s="14" t="str">
        <x:v>Prozorro winners — 24.08</x:v>
      </x:c>
      <x:c r="C553" s="14" t="str">
        <x:v>ФІЛІЯ ДЕРЖАВНОГО ПІДПРИЄМСТВА "СПЕЦІАЛІЗОВАНА ДЕРЖАВНА ЕКСПЕРТНА ОРГАНІЗАЦІЯ - ЦЕНТРАЛЬНА СЛУЖБА УКРАЇНСЬКОЇ ДЕРЖАВНОЇ БУДІВЕЛЬНОЇ ЕКСПЕРТИЗИ" У КІРОВОГРАДСЬКІЙ ОБЛАСТІ</x:v>
      </x:c>
      <x:c r="D553" s="14" t="str">
        <x:v>Водоочищення / очисні споруди</x:v>
      </x:c>
      <x:c r="E553" s="14" t="str">
        <x:v>Expansion discovery</x:v>
      </x:c>
      <x:c r="F553" s="17" t="str">
        <x:f>IF(E553="Pilot now",IF(P553&gt;=84,"P1",IF(P553&gt;=72,"P2","P3")),IF(E553="Expansion discovery",IF(Q553&gt;=88,"D1",IF(Q553&gt;=78,"D2","D3")),IF(E553="Later / requirements","L","Legacy")))</x:f>
        <x:v>D2</x:v>
      </x:c>
      <x:c r="G553" s="14" t="str"/>
      <x:c r="H553" s="14" t="str">
        <x:v>Discovery розширення — 2 тижні</x:v>
      </x:c>
      <x:c r="I553" s="16" t="n">
        <x:v>1</x:v>
      </x:c>
      <x:c r="J553" s="16" t="n">
        <x:v>5</x:v>
      </x:c>
      <x:c r="K553" s="16" t="n">
        <x:v>4</x:v>
      </x:c>
      <x:c r="L553" s="16" t="n">
        <x:v>1</x:v>
      </x:c>
      <x:c r="M553" s="16" t="n">
        <x:v>5</x:v>
      </x:c>
      <x:c r="N553" s="16" t="n">
        <x:v>5</x:v>
      </x:c>
      <x:c r="O553" s="16" t="n">
        <x:v>5</x:v>
      </x:c>
      <x:c r="P553" s="16" t="n">
        <x:f>IF(COUNT(I553:O553)&lt;7,"",I553*8+J553*3+K553*2+L553*2+M553*2+N553*2+O553)</x:f>
        <x:v>58</x:v>
      </x:c>
      <x:c r="Q553" s="16" t="n">
        <x:f>IF(COUNT(J553:O553)&lt;6,"",J553*5+K553*4+M553*4+L553*3+N553*2+O553*2)</x:f>
        <x:v>84</x:v>
      </x:c>
      <x:c r="R553" s="14" t="str">
        <x:v>high</x:v>
      </x:c>
      <x:c r="S553" s="14" t="str">
        <x:v>official_prozorro_award_2025_2026</x:v>
      </x:c>
      <x:c r="T553" s="14" t="str">
        <x:v>official_prozorro_api</x:v>
      </x:c>
      <x:c r="U553" s="14" t="str">
        <x:v>Не контактували</x:v>
      </x:c>
      <x:c r="V553" s="15" t="str">
        <x:v>Workflow-audit outreach по UA-2026-07-06-002679-a; попросити 1 пакет здачі та вимоги проєкту</x:v>
      </x:c>
      <x:c r="W553" s="15" t="str">
        <x:v>Власник / директор; керівник ПТО; відповідальний за договори</x:v>
      </x:c>
      <x:c r="X553" s="15" t="str">
        <x:v>1 підтверджених перемог/договорів у Prozorro на 30 207 грн; 1 проєктів зі строком виконання не раніше 24.08.2026.</x:v>
      </x:c>
      <x:c r="Y553" s="15" t="str">
        <x:v>Виконання експертизи  проєкту будівництва  "Реконструкція очисних споруд та каналізаційної насосної станції" у  с. Созонівка Кропивницького району.; строк до 2026-12-31. Попросити один знеособлений пакет здачі за цим workflow.</x:v>
      </x:c>
      <x:c r="Z553" s="15" t="str">
        <x:v>https://prozorro.gov.ua/tender/UA-2026-07-06-002679-a</x:v>
      </x:c>
      <x:c r="AA553" s="14" t="str">
        <x:v>35851226</x:v>
      </x:c>
      <x:c r="AB553" s="14" t="str">
        <x:v>2026-08-24</x:v>
      </x:c>
      <x:c r="AC553" s="14" t="str"/>
      <x:c r="AD553" s="20" t="str"/>
      <x:c r="AE553" s="14" t="str"/>
      <x:c r="AF553" s="14" t="n">
        <x:v>49</x:v>
      </x:c>
      <x:c r="AG553" s="14" t="str">
        <x:v>I3</x:v>
      </x:c>
      <x:c r="AH553" s="14" t="n">
        <x:v>1</x:v>
      </x:c>
      <x:c r="AI553" s="14" t="n">
        <x:v>1</x:v>
      </x:c>
      <x:c r="AJ553" s="18" t="n">
        <x:v>30207.38</x:v>
      </x:c>
      <x:c r="AK553" s="14" t="str">
        <x:v>https://prozorro.gov.ua/tender/UA-2026-07-06-002679-a</x:v>
      </x:c>
      <x:c r="AL553" s="19" t="n">
        <x:v>46209.3442668287</x:v>
      </x:c>
      <x:c r="AM553" s="19" t="n">
        <x:v>46387</x:v>
      </x:c>
      <x:c r="AN553" s="15" t="str">
        <x:v>Водоочищення / очисні споруди; Насосні станції</x:v>
      </x:c>
      <x:c r="AO553" s="15" t="str">
        <x:v>not_found_in_top_search</x:v>
      </x:c>
    </x:row>
    <x:row r="554">
      <x:c r="A554" s="14" t="str">
        <x:v>W3-282</x:v>
      </x:c>
      <x:c r="B554" s="14" t="str">
        <x:v>Prozorro winners — 24.08</x:v>
      </x:c>
      <x:c r="C554" s="14" t="str">
        <x:v>КУЗИК РУСЛАН ВАСИЛЬОВИЧ</x:v>
      </x:c>
      <x:c r="D554" s="14" t="str">
        <x:v>Безпека / СКУД / CCTV</x:v>
      </x:c>
      <x:c r="E554" s="14" t="str">
        <x:v>Expansion discovery</x:v>
      </x:c>
      <x:c r="F554" s="17" t="str">
        <x:f>IF(E554="Pilot now",IF(P554&gt;=84,"P1",IF(P554&gt;=72,"P2","P3")),IF(E554="Expansion discovery",IF(Q554&gt;=88,"D1",IF(Q554&gt;=78,"D2","D3")),IF(E554="Later / requirements","L","Legacy")))</x:f>
        <x:v>D2</x:v>
      </x:c>
      <x:c r="G554" s="14" t="str"/>
      <x:c r="H554" s="14" t="str">
        <x:v>Discovery розширення — 2 тижні</x:v>
      </x:c>
      <x:c r="I554" s="16" t="n">
        <x:v>1</x:v>
      </x:c>
      <x:c r="J554" s="16" t="n">
        <x:v>5</x:v>
      </x:c>
      <x:c r="K554" s="16" t="n">
        <x:v>4</x:v>
      </x:c>
      <x:c r="L554" s="16" t="n">
        <x:v>1</x:v>
      </x:c>
      <x:c r="M554" s="16" t="n">
        <x:v>5</x:v>
      </x:c>
      <x:c r="N554" s="16" t="n">
        <x:v>3</x:v>
      </x:c>
      <x:c r="O554" s="16" t="n">
        <x:v>5</x:v>
      </x:c>
      <x:c r="P554" s="16" t="n">
        <x:f>IF(COUNT(I554:O554)&lt;7,"",I554*8+J554*3+K554*2+L554*2+M554*2+N554*2+O554)</x:f>
        <x:v>54</x:v>
      </x:c>
      <x:c r="Q554" s="16" t="n">
        <x:f>IF(COUNT(J554:O554)&lt;6,"",J554*5+K554*4+M554*4+L554*3+N554*2+O554*2)</x:f>
        <x:v>80</x:v>
      </x:c>
      <x:c r="R554" s="14" t="str">
        <x:v>high</x:v>
      </x:c>
      <x:c r="S554" s="14" t="str">
        <x:v>official_prozorro_award_2025_2026</x:v>
      </x:c>
      <x:c r="T554" s="14" t="str">
        <x:v>official_prozorro_api</x:v>
      </x:c>
      <x:c r="U554" s="14" t="str">
        <x:v>Не контактували</x:v>
      </x:c>
      <x:c r="V554" s="15" t="str">
        <x:v>Workflow-audit outreach по UA-2026-08-06-011736-a; попросити 1 пакет здачі та вимоги проєкту</x:v>
      </x:c>
      <x:c r="W554" s="15" t="str">
        <x:v>Власник / виконавець; відповідальний за договір</x:v>
      </x:c>
      <x:c r="X554" s="15" t="str">
        <x:v>1 підтверджених перемог/договорів у Prozorro на 29 735 грн; 1 проєктів зі строком виконання не раніше 24.08.2026.</x:v>
      </x:c>
      <x:c r="Y554" s="15" t="str">
        <x:v>Послуги зі встановлення, монтажу та налаштування системи відеоспостереження в ЗДО; строк до 2026-08-31. Попросити один знеособлений пакет здачі за цим workflow.</x:v>
      </x:c>
      <x:c r="Z554" s="15" t="str">
        <x:v>https://prozorro.gov.ua/tender/UA-2026-08-06-011736-a</x:v>
      </x:c>
      <x:c r="AA554" s="14" t="str">
        <x:v>3315410237</x:v>
      </x:c>
      <x:c r="AB554" s="14" t="str">
        <x:v>2026-08-24</x:v>
      </x:c>
      <x:c r="AC554" s="14" t="str"/>
      <x:c r="AD554" s="20" t="str"/>
      <x:c r="AE554" s="14" t="str"/>
      <x:c r="AF554" s="14" t="n">
        <x:v>49</x:v>
      </x:c>
      <x:c r="AG554" s="14" t="str">
        <x:v>I3</x:v>
      </x:c>
      <x:c r="AH554" s="14" t="n">
        <x:v>1</x:v>
      </x:c>
      <x:c r="AI554" s="14" t="n">
        <x:v>1</x:v>
      </x:c>
      <x:c r="AJ554" s="18" t="n">
        <x:v>29735</x:v>
      </x:c>
      <x:c r="AK554" s="14" t="str">
        <x:v>https://prozorro.gov.ua/tender/UA-2026-08-06-011736-a</x:v>
      </x:c>
      <x:c r="AL554" s="19" t="n">
        <x:v>46240.683941585645</x:v>
      </x:c>
      <x:c r="AM554" s="19" t="n">
        <x:v>46265</x:v>
      </x:c>
      <x:c r="AN554" s="15" t="str">
        <x:v>Безпека / СКУД / CCTV</x:v>
      </x:c>
      <x:c r="AO554" s="15" t="str">
        <x:v>not_found_in_top_search</x:v>
      </x:c>
    </x:row>
    <x:row r="555">
      <x:c r="A555" s="14" t="str">
        <x:v>W3-283</x:v>
      </x:c>
      <x:c r="B555" s="14" t="str">
        <x:v>Prozorro winners — 24.08</x:v>
      </x:c>
      <x:c r="C555" s="14" t="str">
        <x:v>ФОП Фоменкова О.В.</x:v>
      </x:c>
      <x:c r="D555" s="14" t="str">
        <x:v>Мости / інфраструктура</x:v>
      </x:c>
      <x:c r="E555" s="14" t="str">
        <x:v>Expansion discovery</x:v>
      </x:c>
      <x:c r="F555" s="17" t="str">
        <x:f>IF(E555="Pilot now",IF(P555&gt;=84,"P1",IF(P555&gt;=72,"P2","P3")),IF(E555="Expansion discovery",IF(Q555&gt;=88,"D1",IF(Q555&gt;=78,"D2","D3")),IF(E555="Later / requirements","L","Legacy")))</x:f>
        <x:v>D2</x:v>
      </x:c>
      <x:c r="G555" s="14" t="str"/>
      <x:c r="H555" s="14" t="str">
        <x:v>Discovery розширення — 2 тижні</x:v>
      </x:c>
      <x:c r="I555" s="16" t="n">
        <x:v>1</x:v>
      </x:c>
      <x:c r="J555" s="16" t="n">
        <x:v>5</x:v>
      </x:c>
      <x:c r="K555" s="16" t="n">
        <x:v>4</x:v>
      </x:c>
      <x:c r="L555" s="16" t="n">
        <x:v>1</x:v>
      </x:c>
      <x:c r="M555" s="16" t="n">
        <x:v>5</x:v>
      </x:c>
      <x:c r="N555" s="16" t="n">
        <x:v>3</x:v>
      </x:c>
      <x:c r="O555" s="16" t="n">
        <x:v>5</x:v>
      </x:c>
      <x:c r="P555" s="16" t="n">
        <x:f>IF(COUNT(I555:O555)&lt;7,"",I555*8+J555*3+K555*2+L555*2+M555*2+N555*2+O555)</x:f>
        <x:v>54</x:v>
      </x:c>
      <x:c r="Q555" s="16" t="n">
        <x:f>IF(COUNT(J555:O555)&lt;6,"",J555*5+K555*4+M555*4+L555*3+N555*2+O555*2)</x:f>
        <x:v>80</x:v>
      </x:c>
      <x:c r="R555" s="14" t="str">
        <x:v>high</x:v>
      </x:c>
      <x:c r="S555" s="14" t="str">
        <x:v>official_prozorro_award_2025_2026</x:v>
      </x:c>
      <x:c r="T555" s="14" t="str">
        <x:v>official_prozorro_api</x:v>
      </x:c>
      <x:c r="U555" s="14" t="str">
        <x:v>Не контактували</x:v>
      </x:c>
      <x:c r="V555" s="15" t="str">
        <x:v>Workflow-audit outreach по UA-2026-07-13-011130-a; попросити 1 пакет здачі та вимоги проєкту</x:v>
      </x:c>
      <x:c r="W555" s="15" t="str">
        <x:v>Власник / виконавець; відповідальний за договір</x:v>
      </x:c>
      <x:c r="X555" s="15" t="str">
        <x:v>1 підтверджених перемог/договорів у Prozorro на 25 000 грн; 1 проєктів зі строком виконання не раніше 24.08.2026.</x:v>
      </x:c>
      <x:c r="Y555" s="15" t="str">
        <x:v>ПКД на "Поточний ремонт дорожнього покриття по вул.Українська,(від мосту через р.Верхня терса  до перетину з вул.Магістральна) смт Новомиколаївка,Запорізького району Запорізької області"; строк до 2026-12-31. Попросити один знеособлений пакет здачі за цим workflow.</x:v>
      </x:c>
      <x:c r="Z555" s="15" t="str">
        <x:v>https://prozorro.gov.ua/tender/UA-2026-07-13-011130-a</x:v>
      </x:c>
      <x:c r="AA555" s="14" t="str">
        <x:v>2715111789</x:v>
      </x:c>
      <x:c r="AB555" s="14" t="str">
        <x:v>2026-08-24</x:v>
      </x:c>
      <x:c r="AC555" s="14" t="str"/>
      <x:c r="AD555" s="20" t="str"/>
      <x:c r="AE555" s="14" t="str"/>
      <x:c r="AF555" s="14" t="n">
        <x:v>49</x:v>
      </x:c>
      <x:c r="AG555" s="14" t="str">
        <x:v>I3</x:v>
      </x:c>
      <x:c r="AH555" s="14" t="n">
        <x:v>1</x:v>
      </x:c>
      <x:c r="AI555" s="14" t="n">
        <x:v>1</x:v>
      </x:c>
      <x:c r="AJ555" s="18" t="n">
        <x:v>25000</x:v>
      </x:c>
      <x:c r="AK555" s="14" t="str">
        <x:v>https://prozorro.gov.ua/tender/UA-2026-07-13-011130-a</x:v>
      </x:c>
      <x:c r="AL555" s="19" t="n">
        <x:v>46216.628633657405</x:v>
      </x:c>
      <x:c r="AM555" s="19" t="n">
        <x:v>46387.67122685185</x:v>
      </x:c>
      <x:c r="AN555" s="15" t="str">
        <x:v>Мости / інфраструктура</x:v>
      </x:c>
      <x:c r="AO555" s="15" t="str">
        <x:v>not_found_in_top_search</x:v>
      </x:c>
    </x:row>
    <x:row r="556">
      <x:c r="A556" s="14" t="str">
        <x:v>W3-284</x:v>
      </x:c>
      <x:c r="B556" s="14" t="str">
        <x:v>Prozorro winners — 24.08</x:v>
      </x:c>
      <x:c r="C556" s="14" t="str">
        <x:v>Геба Володимир Антонович</x:v>
      </x:c>
      <x:c r="D556" s="14" t="str">
        <x:v>HVAC / ОВіК</x:v>
      </x:c>
      <x:c r="E556" s="14" t="str">
        <x:v>Pilot now</x:v>
      </x:c>
      <x:c r="F556" s="17" t="str">
        <x:f>IF(E556="Pilot now",IF(P556&gt;=84,"P1",IF(P556&gt;=72,"P2","P3")),IF(E556="Expansion discovery",IF(Q556&gt;=88,"D1",IF(Q556&gt;=78,"D2","D3")),IF(E556="Later / requirements","L","Legacy")))</x:f>
        <x:v>P1</x:v>
      </x:c>
      <x:c r="G556" s="14" t="str"/>
      <x:c r="H556" s="14" t="str">
        <x:v>Пілот зараз — Н.14</x:v>
      </x:c>
      <x:c r="I556" s="16" t="n">
        <x:v>5</x:v>
      </x:c>
      <x:c r="J556" s="16" t="n">
        <x:v>5</x:v>
      </x:c>
      <x:c r="K556" s="16" t="n">
        <x:v>5</x:v>
      </x:c>
      <x:c r="L556" s="16" t="n">
        <x:v>1</x:v>
      </x:c>
      <x:c r="M556" s="16" t="n">
        <x:v>5</x:v>
      </x:c>
      <x:c r="N556" s="16" t="n">
        <x:v>3</x:v>
      </x:c>
      <x:c r="O556" s="16" t="n">
        <x:v>5</x:v>
      </x:c>
      <x:c r="P556" s="16" t="n">
        <x:f>IF(COUNT(I556:O556)&lt;7,"",I556*8+J556*3+K556*2+L556*2+M556*2+N556*2+O556)</x:f>
        <x:v>88</x:v>
      </x:c>
      <x:c r="Q556" s="16" t="n">
        <x:f>IF(COUNT(J556:O556)&lt;6,"",J556*5+K556*4+M556*4+L556*3+N556*2+O556*2)</x:f>
        <x:v>84</x:v>
      </x:c>
      <x:c r="R556" s="14" t="str">
        <x:v>high</x:v>
      </x:c>
      <x:c r="S556" s="14" t="str">
        <x:v>official_prozorro_award_2025_2026</x:v>
      </x:c>
      <x:c r="T556" s="14" t="str">
        <x:v>official_prozorro_api</x:v>
      </x:c>
      <x:c r="U556" s="14" t="str">
        <x:v>Не контактували</x:v>
      </x:c>
      <x:c r="V556" s="15" t="str">
        <x:v>Персоналізований free-pilot outreach по UA-2026-08-03-002707-a; попросити 1 пакет Н.14/Н.15</x:v>
      </x:c>
      <x:c r="W556" s="15" t="str">
        <x:v>Власник / виконавець; відповідальний за договір</x:v>
      </x:c>
      <x:c r="X556" s="15" t="str">
        <x:v>1 підтверджених перемог/договорів у Prozorro на 23 377 грн; 1 проєктів зі строком виконання не раніше 24.08.2026.</x:v>
      </x:c>
      <x:c r="Y556" s="15" t="str">
        <x:v>Послуги з поточного ремонту системи опалення (демонтаж, монтаж радіаторів системи опалення); строк до 2026-08-24. Попросити один знеособлений пакет здачі за цим workflow.</x:v>
      </x:c>
      <x:c r="Z556" s="15" t="str">
        <x:v>https://prozorro.gov.ua/tender/UA-2026-08-03-002707-a</x:v>
      </x:c>
      <x:c r="AA556" s="14" t="str">
        <x:v>3079916295</x:v>
      </x:c>
      <x:c r="AB556" s="14" t="str">
        <x:v>2026-08-24</x:v>
      </x:c>
      <x:c r="AC556" s="14" t="str"/>
      <x:c r="AD556" s="20" t="str"/>
      <x:c r="AE556" s="14" t="str"/>
      <x:c r="AF556" s="14" t="n">
        <x:v>49</x:v>
      </x:c>
      <x:c r="AG556" s="14" t="str">
        <x:v>I3</x:v>
      </x:c>
      <x:c r="AH556" s="14" t="n">
        <x:v>1</x:v>
      </x:c>
      <x:c r="AI556" s="14" t="n">
        <x:v>1</x:v>
      </x:c>
      <x:c r="AJ556" s="18" t="n">
        <x:v>23376.62</x:v>
      </x:c>
      <x:c r="AK556" s="14" t="str">
        <x:v>https://prozorro.gov.ua/tender/UA-2026-08-03-002707-a</x:v>
      </x:c>
      <x:c r="AL556" s="19" t="n">
        <x:v>46237.34082188657</x:v>
      </x:c>
      <x:c r="AM556" s="19" t="n">
        <x:v>46258.34303240741</x:v>
      </x:c>
      <x:c r="AN556" s="15" t="str">
        <x:v>HVAC / ОВіК</x:v>
      </x:c>
      <x:c r="AO556" s="15" t="str">
        <x:v>not_found_in_top_search</x:v>
      </x:c>
    </x:row>
    <x:row r="557">
      <x:c r="A557" s="14" t="str">
        <x:v>W3-285</x:v>
      </x:c>
      <x:c r="B557" s="14" t="str">
        <x:v>Prozorro winners — 24.08</x:v>
      </x:c>
      <x:c r="C557" s="14" t="str">
        <x:v>ЯСИНСЬКИЙ ВІТАЛІЙ ВОЛОДИМИРОВИЧ</x:v>
      </x:c>
      <x:c r="D557" s="14" t="str">
        <x:v>Безпека / СКУД / CCTV</x:v>
      </x:c>
      <x:c r="E557" s="14" t="str">
        <x:v>Expansion discovery</x:v>
      </x:c>
      <x:c r="F557" s="17" t="str">
        <x:f>IF(E557="Pilot now",IF(P557&gt;=84,"P1",IF(P557&gt;=72,"P2","P3")),IF(E557="Expansion discovery",IF(Q557&gt;=88,"D1",IF(Q557&gt;=78,"D2","D3")),IF(E557="Later / requirements","L","Legacy")))</x:f>
        <x:v>D2</x:v>
      </x:c>
      <x:c r="G557" s="14" t="str"/>
      <x:c r="H557" s="14" t="str">
        <x:v>Discovery розширення — 2 тижні</x:v>
      </x:c>
      <x:c r="I557" s="16" t="n">
        <x:v>1</x:v>
      </x:c>
      <x:c r="J557" s="16" t="n">
        <x:v>5</x:v>
      </x:c>
      <x:c r="K557" s="16" t="n">
        <x:v>4</x:v>
      </x:c>
      <x:c r="L557" s="16" t="n">
        <x:v>1</x:v>
      </x:c>
      <x:c r="M557" s="16" t="n">
        <x:v>5</x:v>
      </x:c>
      <x:c r="N557" s="16" t="n">
        <x:v>3</x:v>
      </x:c>
      <x:c r="O557" s="16" t="n">
        <x:v>5</x:v>
      </x:c>
      <x:c r="P557" s="16" t="n">
        <x:f>IF(COUNT(I557:O557)&lt;7,"",I557*8+J557*3+K557*2+L557*2+M557*2+N557*2+O557)</x:f>
        <x:v>54</x:v>
      </x:c>
      <x:c r="Q557" s="16" t="n">
        <x:f>IF(COUNT(J557:O557)&lt;6,"",J557*5+K557*4+M557*4+L557*3+N557*2+O557*2)</x:f>
        <x:v>80</x:v>
      </x:c>
      <x:c r="R557" s="14" t="str">
        <x:v>high</x:v>
      </x:c>
      <x:c r="S557" s="14" t="str">
        <x:v>official_prozorro_award_2025_2026</x:v>
      </x:c>
      <x:c r="T557" s="14" t="str">
        <x:v>official_prozorro_api</x:v>
      </x:c>
      <x:c r="U557" s="14" t="str">
        <x:v>Не контактували</x:v>
      </x:c>
      <x:c r="V557" s="15" t="str">
        <x:v>Workflow-audit outreach по UA-2026-08-24-000723-a; попросити 1 пакет здачі та вимоги проєкту</x:v>
      </x:c>
      <x:c r="W557" s="15" t="str">
        <x:v>Власник / виконавець; відповідальний за договір</x:v>
      </x:c>
      <x:c r="X557" s="15" t="str">
        <x:v>1 підтверджених перемог/договорів у Prozorro на 22 076 грн; 1 проєктів зі строком виконання не раніше 24.08.2026.</x:v>
      </x:c>
      <x:c r="Y557" s="15" t="str">
        <x:v>Послуги з монтажу та налаштування системи відеоспостереження; строк до 2026-12-31. Попросити один знеособлений пакет здачі за цим workflow.</x:v>
      </x:c>
      <x:c r="Z557" s="15" t="str">
        <x:v>https://prozorro.gov.ua/tender/UA-2026-08-24-000723-a</x:v>
      </x:c>
      <x:c r="AA557" s="14" t="str">
        <x:v>3094208552</x:v>
      </x:c>
      <x:c r="AB557" s="14" t="str">
        <x:v>2026-08-24</x:v>
      </x:c>
      <x:c r="AC557" s="14" t="str"/>
      <x:c r="AD557" s="20" t="str"/>
      <x:c r="AE557" s="14" t="str"/>
      <x:c r="AF557" s="14" t="n">
        <x:v>49</x:v>
      </x:c>
      <x:c r="AG557" s="14" t="str">
        <x:v>I3</x:v>
      </x:c>
      <x:c r="AH557" s="14" t="n">
        <x:v>1</x:v>
      </x:c>
      <x:c r="AI557" s="14" t="n">
        <x:v>1</x:v>
      </x:c>
      <x:c r="AJ557" s="18" t="n">
        <x:v>22076</x:v>
      </x:c>
      <x:c r="AK557" s="14" t="str">
        <x:v>https://prozorro.gov.ua/tender/UA-2026-08-24-000723-a</x:v>
      </x:c>
      <x:c r="AL557" s="19" t="n">
        <x:v>46258.271759780095</x:v>
      </x:c>
      <x:c r="AM557" s="19" t="n">
        <x:v>46387</x:v>
      </x:c>
      <x:c r="AN557" s="15" t="str">
        <x:v>Безпека / СКУД / CCTV</x:v>
      </x:c>
      <x:c r="AO557" s="15" t="str">
        <x:v>not_found_in_top_search</x:v>
      </x:c>
    </x:row>
    <x:row r="558">
      <x:c r="A558" s="14" t="str">
        <x:v>W3-286</x:v>
      </x:c>
      <x:c r="B558" s="14" t="str">
        <x:v>Prozorro winners — 24.08</x:v>
      </x:c>
      <x:c r="C558" s="14" t="str">
        <x:v>КУЧЕРЕНКО МИХАЙЛО ОЛЕКСАНДРОВИЧ</x:v>
      </x:c>
      <x:c r="D558" s="14" t="str">
        <x:v>HVAC / ОВіК</x:v>
      </x:c>
      <x:c r="E558" s="14" t="str">
        <x:v>Pilot now</x:v>
      </x:c>
      <x:c r="F558" s="17" t="str">
        <x:f>IF(E558="Pilot now",IF(P558&gt;=84,"P1",IF(P558&gt;=72,"P2","P3")),IF(E558="Expansion discovery",IF(Q558&gt;=88,"D1",IF(Q558&gt;=78,"D2","D3")),IF(E558="Later / requirements","L","Legacy")))</x:f>
        <x:v>P1</x:v>
      </x:c>
      <x:c r="G558" s="14" t="str"/>
      <x:c r="H558" s="14" t="str">
        <x:v>Пілот зараз — Н.14</x:v>
      </x:c>
      <x:c r="I558" s="16" t="n">
        <x:v>5</x:v>
      </x:c>
      <x:c r="J558" s="16" t="n">
        <x:v>5</x:v>
      </x:c>
      <x:c r="K558" s="16" t="n">
        <x:v>5</x:v>
      </x:c>
      <x:c r="L558" s="16" t="n">
        <x:v>1</x:v>
      </x:c>
      <x:c r="M558" s="16" t="n">
        <x:v>5</x:v>
      </x:c>
      <x:c r="N558" s="16" t="n">
        <x:v>3</x:v>
      </x:c>
      <x:c r="O558" s="16" t="n">
        <x:v>5</x:v>
      </x:c>
      <x:c r="P558" s="16" t="n">
        <x:f>IF(COUNT(I558:O558)&lt;7,"",I558*8+J558*3+K558*2+L558*2+M558*2+N558*2+O558)</x:f>
        <x:v>88</x:v>
      </x:c>
      <x:c r="Q558" s="16" t="n">
        <x:f>IF(COUNT(J558:O558)&lt;6,"",J558*5+K558*4+M558*4+L558*3+N558*2+O558*2)</x:f>
        <x:v>84</x:v>
      </x:c>
      <x:c r="R558" s="14" t="str">
        <x:v>high</x:v>
      </x:c>
      <x:c r="S558" s="14" t="str">
        <x:v>official_prozorro_award_2025_2026</x:v>
      </x:c>
      <x:c r="T558" s="14" t="str">
        <x:v>official_prozorro_api</x:v>
      </x:c>
      <x:c r="U558" s="14" t="str">
        <x:v>Не контактували</x:v>
      </x:c>
      <x:c r="V558" s="15" t="str">
        <x:v>Персоналізований free-pilot outreach по UA-2026-07-22-002387-a; попросити 1 пакет Н.14/Н.15</x:v>
      </x:c>
      <x:c r="W558" s="15" t="str">
        <x:v>Власник / виконавець; відповідальний за договір</x:v>
      </x:c>
      <x:c r="X558" s="15" t="str">
        <x:v>1 підтверджених перемог/договорів у Prozorro на 21 837 грн; 1 проєктів зі строком виконання не раніше 24.08.2026.</x:v>
      </x:c>
      <x:c r="Y558" s="15" t="str">
        <x:v>Послуги з монтажу радіатора, насосу до системи опалення та зливного механізму; строк до 2026-12-31. Попросити один знеособлений пакет здачі за цим workflow.</x:v>
      </x:c>
      <x:c r="Z558" s="15" t="str">
        <x:v>https://prozorro.gov.ua/tender/UA-2026-07-22-002387-a</x:v>
      </x:c>
      <x:c r="AA558" s="14" t="str">
        <x:v>2885301995</x:v>
      </x:c>
      <x:c r="AB558" s="14" t="str">
        <x:v>2026-08-24</x:v>
      </x:c>
      <x:c r="AC558" s="14" t="str"/>
      <x:c r="AD558" s="20" t="str"/>
      <x:c r="AE558" s="14" t="str"/>
      <x:c r="AF558" s="14" t="n">
        <x:v>49</x:v>
      </x:c>
      <x:c r="AG558" s="14" t="str">
        <x:v>I3</x:v>
      </x:c>
      <x:c r="AH558" s="14" t="n">
        <x:v>1</x:v>
      </x:c>
      <x:c r="AI558" s="14" t="n">
        <x:v>1</x:v>
      </x:c>
      <x:c r="AJ558" s="18" t="n">
        <x:v>21837.42</x:v>
      </x:c>
      <x:c r="AK558" s="14" t="str">
        <x:v>https://prozorro.gov.ua/tender/UA-2026-07-22-002387-a</x:v>
      </x:c>
      <x:c r="AL558" s="19" t="n">
        <x:v>46225.32407886574</x:v>
      </x:c>
      <x:c r="AM558" s="19" t="n">
        <x:v>46387</x:v>
      </x:c>
      <x:c r="AN558" s="15" t="str">
        <x:v>HVAC / ОВіК</x:v>
      </x:c>
      <x:c r="AO558" s="15" t="str">
        <x:v>not_found_in_top_search</x:v>
      </x:c>
    </x:row>
    <x:row r="559">
      <x:c r="A559" s="14" t="str">
        <x:v>W3-287</x:v>
      </x:c>
      <x:c r="B559" s="14" t="str">
        <x:v>Prozorro winners — 24.08</x:v>
      </x:c>
      <x:c r="C559" s="14" t="str">
        <x:v>Фізична особа-підприємець Стукалов Олександр Олександрович</x:v>
      </x:c>
      <x:c r="D559" s="14" t="str">
        <x:v>Безпека / СКУД / CCTV</x:v>
      </x:c>
      <x:c r="E559" s="14" t="str">
        <x:v>Expansion discovery</x:v>
      </x:c>
      <x:c r="F559" s="17" t="str">
        <x:f>IF(E559="Pilot now",IF(P559&gt;=84,"P1",IF(P559&gt;=72,"P2","P3")),IF(E559="Expansion discovery",IF(Q559&gt;=88,"D1",IF(Q559&gt;=78,"D2","D3")),IF(E559="Later / requirements","L","Legacy")))</x:f>
        <x:v>D2</x:v>
      </x:c>
      <x:c r="G559" s="14" t="str"/>
      <x:c r="H559" s="14" t="str">
        <x:v>Discovery розширення — 2 тижні</x:v>
      </x:c>
      <x:c r="I559" s="16" t="n">
        <x:v>1</x:v>
      </x:c>
      <x:c r="J559" s="16" t="n">
        <x:v>5</x:v>
      </x:c>
      <x:c r="K559" s="16" t="n">
        <x:v>4</x:v>
      </x:c>
      <x:c r="L559" s="16" t="n">
        <x:v>1</x:v>
      </x:c>
      <x:c r="M559" s="16" t="n">
        <x:v>5</x:v>
      </x:c>
      <x:c r="N559" s="16" t="n">
        <x:v>3</x:v>
      </x:c>
      <x:c r="O559" s="16" t="n">
        <x:v>5</x:v>
      </x:c>
      <x:c r="P559" s="16" t="n">
        <x:f>IF(COUNT(I559:O559)&lt;7,"",I559*8+J559*3+K559*2+L559*2+M559*2+N559*2+O559)</x:f>
        <x:v>54</x:v>
      </x:c>
      <x:c r="Q559" s="16" t="n">
        <x:f>IF(COUNT(J559:O559)&lt;6,"",J559*5+K559*4+M559*4+L559*3+N559*2+O559*2)</x:f>
        <x:v>80</x:v>
      </x:c>
      <x:c r="R559" s="14" t="str">
        <x:v>high</x:v>
      </x:c>
      <x:c r="S559" s="14" t="str">
        <x:v>official_prozorro_award_2025_2026</x:v>
      </x:c>
      <x:c r="T559" s="14" t="str">
        <x:v>official_prozorro_api</x:v>
      </x:c>
      <x:c r="U559" s="14" t="str">
        <x:v>Не контактували</x:v>
      </x:c>
      <x:c r="V559" s="15" t="str">
        <x:v>Workflow-audit outreach по UA-2026-08-14-001348-a; попросити 1 пакет здачі та вимоги проєкту</x:v>
      </x:c>
      <x:c r="W559" s="15" t="str">
        <x:v>Власник / виконавець; відповідальний за договір</x:v>
      </x:c>
      <x:c r="X559" s="15" t="str">
        <x:v>1 підтверджених перемог/договорів у Prozorro на 21 749 грн; 1 проєктів зі строком виконання не раніше 24.08.2026.</x:v>
      </x:c>
      <x:c r="Y559" s="15" t="str">
        <x:v>Поточний ремонт та облаштування споруд цивільного захисту (укриття, бомбосховища тощо), які увійшли до фонду захисних споруд цивільного захисту Чорноморської міської територіальної громади, як найпростіші укриття, монтаж систем контролю та дистанцйного керування доступом до укриття за адресою: м. Чорноморськ, вул. Захисників України, 8-А; строк до 2026-12-31. Попросити один знеособлений пакет здачі за цим workflow.</x:v>
      </x:c>
      <x:c r="Z559" s="15" t="str">
        <x:v>https://prozorro.gov.ua/tender/UA-2026-08-14-001348-a</x:v>
      </x:c>
      <x:c r="AA559" s="14" t="str">
        <x:v>3064321858</x:v>
      </x:c>
      <x:c r="AB559" s="14" t="str">
        <x:v>2026-08-24</x:v>
      </x:c>
      <x:c r="AC559" s="14" t="str"/>
      <x:c r="AD559" s="20" t="str"/>
      <x:c r="AE559" s="14" t="str"/>
      <x:c r="AF559" s="14" t="n">
        <x:v>49</x:v>
      </x:c>
      <x:c r="AG559" s="14" t="str">
        <x:v>I3</x:v>
      </x:c>
      <x:c r="AH559" s="14" t="n">
        <x:v>1</x:v>
      </x:c>
      <x:c r="AI559" s="14" t="n">
        <x:v>1</x:v>
      </x:c>
      <x:c r="AJ559" s="18" t="n">
        <x:v>21749.12</x:v>
      </x:c>
      <x:c r="AK559" s="14" t="str">
        <x:v>https://prozorro.gov.ua/tender/UA-2026-08-14-001348-a</x:v>
      </x:c>
      <x:c r="AL559" s="19" t="n">
        <x:v>46248.28367704861</x:v>
      </x:c>
      <x:c r="AM559" s="19" t="n">
        <x:v>46387</x:v>
      </x:c>
      <x:c r="AN559" s="15" t="str">
        <x:v>Безпека / СКУД / CCTV</x:v>
      </x:c>
      <x:c r="AO559" s="15" t="str">
        <x:v>not_found_in_top_search</x:v>
      </x:c>
    </x:row>
    <x:row r="560">
      <x:c r="A560" s="14" t="str">
        <x:v>W3-288</x:v>
      </x:c>
      <x:c r="B560" s="14" t="str">
        <x:v>Prozorro winners — 24.08</x:v>
      </x:c>
      <x:c r="C560" s="14" t="str">
        <x:v>ПОЖАЙРИБКО БОРИС ЄВГЕНІЙОВИЧ</x:v>
      </x:c>
      <x:c r="D560" s="14" t="str">
        <x:v>Сонячна енергетика</x:v>
      </x:c>
      <x:c r="E560" s="14" t="str">
        <x:v>Expansion discovery</x:v>
      </x:c>
      <x:c r="F560" s="17" t="str">
        <x:f>IF(E560="Pilot now",IF(P560&gt;=84,"P1",IF(P560&gt;=72,"P2","P3")),IF(E560="Expansion discovery",IF(Q560&gt;=88,"D1",IF(Q560&gt;=78,"D2","D3")),IF(E560="Later / requirements","L","Legacy")))</x:f>
        <x:v>D2</x:v>
      </x:c>
      <x:c r="G560" s="14" t="str"/>
      <x:c r="H560" s="14" t="str">
        <x:v>Discovery розширення — 2 тижні</x:v>
      </x:c>
      <x:c r="I560" s="16" t="n">
        <x:v>1</x:v>
      </x:c>
      <x:c r="J560" s="16" t="n">
        <x:v>5</x:v>
      </x:c>
      <x:c r="K560" s="16" t="n">
        <x:v>4</x:v>
      </x:c>
      <x:c r="L560" s="16" t="n">
        <x:v>1</x:v>
      </x:c>
      <x:c r="M560" s="16" t="n">
        <x:v>5</x:v>
      </x:c>
      <x:c r="N560" s="16" t="n">
        <x:v>3</x:v>
      </x:c>
      <x:c r="O560" s="16" t="n">
        <x:v>5</x:v>
      </x:c>
      <x:c r="P560" s="16" t="n">
        <x:f>IF(COUNT(I560:O560)&lt;7,"",I560*8+J560*3+K560*2+L560*2+M560*2+N560*2+O560)</x:f>
        <x:v>54</x:v>
      </x:c>
      <x:c r="Q560" s="16" t="n">
        <x:f>IF(COUNT(J560:O560)&lt;6,"",J560*5+K560*4+M560*4+L560*3+N560*2+O560*2)</x:f>
        <x:v>80</x:v>
      </x:c>
      <x:c r="R560" s="14" t="str">
        <x:v>high</x:v>
      </x:c>
      <x:c r="S560" s="14" t="str">
        <x:v>official_prozorro_award_2025_2026</x:v>
      </x:c>
      <x:c r="T560" s="14" t="str">
        <x:v>official_prozorro_api</x:v>
      </x:c>
      <x:c r="U560" s="14" t="str">
        <x:v>Не контактували</x:v>
      </x:c>
      <x:c r="V560" s="15" t="str">
        <x:v>Workflow-audit outreach по UA-2026-08-13-006658-a; попросити 1 пакет здачі та вимоги проєкту</x:v>
      </x:c>
      <x:c r="W560" s="15" t="str">
        <x:v>Власник / виконавець; відповідальний за договір</x:v>
      </x:c>
      <x:c r="X560" s="15" t="str">
        <x:v>1 підтверджених перемог/договорів у Prozorro на 20 822 грн; 1 проєктів зі строком виконання не раніше 24.08.2026.</x:v>
      </x:c>
      <x:c r="Y560" s="15" t="str">
        <x:v>Технічний нагляд за виконанням робіт «Реконструкція системи електропостачання (монтаж дахової сонячної електростанції для власних потреб) філії опорного закладу Початкова школа Ліцею імені Героїв 68-го батальйону Перечинської міської ради по вул. Ужанська, 9 в м. Перечин, Ужгородського району, Закарпатської області»; строк до 2026-12-31. Попросити один знеособлений пакет здачі за цим workflow.</x:v>
      </x:c>
      <x:c r="Z560" s="15" t="str">
        <x:v>https://prozorro.gov.ua/tender/UA-2026-08-13-006658-a</x:v>
      </x:c>
      <x:c r="AA560" s="14" t="str">
        <x:v>2104915998</x:v>
      </x:c>
      <x:c r="AB560" s="14" t="str">
        <x:v>2026-08-24</x:v>
      </x:c>
      <x:c r="AC560" s="14" t="str"/>
      <x:c r="AD560" s="20" t="str"/>
      <x:c r="AE560" s="14" t="str"/>
      <x:c r="AF560" s="14" t="n">
        <x:v>49</x:v>
      </x:c>
      <x:c r="AG560" s="14" t="str">
        <x:v>I3</x:v>
      </x:c>
      <x:c r="AH560" s="14" t="n">
        <x:v>1</x:v>
      </x:c>
      <x:c r="AI560" s="14" t="n">
        <x:v>1</x:v>
      </x:c>
      <x:c r="AJ560" s="18" t="n">
        <x:v>20822</x:v>
      </x:c>
      <x:c r="AK560" s="14" t="str">
        <x:v>https://prozorro.gov.ua/tender/UA-2026-08-13-006658-a</x:v>
      </x:c>
      <x:c r="AL560" s="19" t="n">
        <x:v>46247.44847260417</x:v>
      </x:c>
      <x:c r="AM560" s="19" t="n">
        <x:v>46387</x:v>
      </x:c>
      <x:c r="AN560" s="15" t="str">
        <x:v>Сонячна енергетика</x:v>
      </x:c>
      <x:c r="AO560" s="15" t="str">
        <x:v>not_found_in_top_search</x:v>
      </x:c>
    </x:row>
    <x:row r="561">
      <x:c r="A561" s="14" t="str">
        <x:v>W3-289</x:v>
      </x:c>
      <x:c r="B561" s="14" t="str">
        <x:v>Prozorro winners — 24.08</x:v>
      </x:c>
      <x:c r="C561" s="14" t="str">
        <x:v>КРАВЦОВ ЯКІВ ОЛЕГОВИЧ</x:v>
      </x:c>
      <x:c r="D561" s="14" t="str">
        <x:v>Насосні станції</x:v>
      </x:c>
      <x:c r="E561" s="14" t="str">
        <x:v>Expansion discovery</x:v>
      </x:c>
      <x:c r="F561" s="17" t="str">
        <x:f>IF(E561="Pilot now",IF(P561&gt;=84,"P1",IF(P561&gt;=72,"P2","P3")),IF(E561="Expansion discovery",IF(Q561&gt;=88,"D1",IF(Q561&gt;=78,"D2","D3")),IF(E561="Later / requirements","L","Legacy")))</x:f>
        <x:v>D2</x:v>
      </x:c>
      <x:c r="G561" s="14" t="str"/>
      <x:c r="H561" s="14" t="str">
        <x:v>Discovery розширення — 2 тижні</x:v>
      </x:c>
      <x:c r="I561" s="16" t="n">
        <x:v>1</x:v>
      </x:c>
      <x:c r="J561" s="16" t="n">
        <x:v>5</x:v>
      </x:c>
      <x:c r="K561" s="16" t="n">
        <x:v>4</x:v>
      </x:c>
      <x:c r="L561" s="16" t="n">
        <x:v>1</x:v>
      </x:c>
      <x:c r="M561" s="16" t="n">
        <x:v>5</x:v>
      </x:c>
      <x:c r="N561" s="16" t="n">
        <x:v>3</x:v>
      </x:c>
      <x:c r="O561" s="16" t="n">
        <x:v>5</x:v>
      </x:c>
      <x:c r="P561" s="16" t="n">
        <x:f>IF(COUNT(I561:O561)&lt;7,"",I561*8+J561*3+K561*2+L561*2+M561*2+N561*2+O561)</x:f>
        <x:v>54</x:v>
      </x:c>
      <x:c r="Q561" s="16" t="n">
        <x:f>IF(COUNT(J561:O561)&lt;6,"",J561*5+K561*4+M561*4+L561*3+N561*2+O561*2)</x:f>
        <x:v>80</x:v>
      </x:c>
      <x:c r="R561" s="14" t="str">
        <x:v>high</x:v>
      </x:c>
      <x:c r="S561" s="14" t="str">
        <x:v>official_prozorro_award_2025_2026</x:v>
      </x:c>
      <x:c r="T561" s="14" t="str">
        <x:v>official_prozorro_api</x:v>
      </x:c>
      <x:c r="U561" s="14" t="str">
        <x:v>Не контактували</x:v>
      </x:c>
      <x:c r="V561" s="15" t="str">
        <x:v>Workflow-audit outreach по UA-2026-08-10-004259-a; попросити 1 пакет здачі та вимоги проєкту</x:v>
      </x:c>
      <x:c r="W561" s="15" t="str">
        <x:v>Власник / виконавець; відповідальний за договір</x:v>
      </x:c>
      <x:c r="X561" s="15" t="str">
        <x:v>1 підтверджених перемог/договорів у Prozorro на 20 000 грн; 1 проєктів зі строком виконання не раніше 24.08.2026.</x:v>
      </x:c>
      <x:c r="Y561" s="15" t="str">
        <x:v>Контрольне геодезичне знімання на обʼєкті : «Реконструкція каналізаційної насосної станції в смт. Шкло по вул.Богдана Слободи, 1Новояворівська ТГ Яворівського району Львівської області»; строк до 2026-08-31. Попросити один знеособлений пакет здачі за цим workflow.</x:v>
      </x:c>
      <x:c r="Z561" s="15" t="str">
        <x:v>https://prozorro.gov.ua/tender/UA-2026-08-10-004259-a</x:v>
      </x:c>
      <x:c r="AA561" s="14" t="str">
        <x:v>3179623274</x:v>
      </x:c>
      <x:c r="AB561" s="14" t="str">
        <x:v>2026-08-24</x:v>
      </x:c>
      <x:c r="AC561" s="14" t="str"/>
      <x:c r="AD561" s="20" t="str"/>
      <x:c r="AE561" s="14" t="str"/>
      <x:c r="AF561" s="14" t="n">
        <x:v>49</x:v>
      </x:c>
      <x:c r="AG561" s="14" t="str">
        <x:v>I3</x:v>
      </x:c>
      <x:c r="AH561" s="14" t="n">
        <x:v>1</x:v>
      </x:c>
      <x:c r="AI561" s="14" t="n">
        <x:v>1</x:v>
      </x:c>
      <x:c r="AJ561" s="18" t="n">
        <x:v>20000</x:v>
      </x:c>
      <x:c r="AK561" s="14" t="str">
        <x:v>https://prozorro.gov.ua/tender/UA-2026-08-10-004259-a</x:v>
      </x:c>
      <x:c r="AL561" s="19" t="n">
        <x:v>46244.38618738426</x:v>
      </x:c>
      <x:c r="AM561" s="19" t="n">
        <x:v>46265</x:v>
      </x:c>
      <x:c r="AN561" s="15" t="str">
        <x:v>Насосні станції</x:v>
      </x:c>
      <x:c r="AO561" s="15" t="str">
        <x:v>not_found_in_top_search</x:v>
      </x:c>
    </x:row>
    <x:row r="562">
      <x:c r="A562" s="14" t="str">
        <x:v>W3-290</x:v>
      </x:c>
      <x:c r="B562" s="14" t="str">
        <x:v>Prozorro winners — 24.08</x:v>
      </x:c>
      <x:c r="C562" s="14" t="str">
        <x:v>ФОП Тертишник Сергій Миколайович</x:v>
      </x:c>
      <x:c r="D562" s="14" t="str">
        <x:v>Електромонтаж</x:v>
      </x:c>
      <x:c r="E562" s="14" t="str">
        <x:v>Pilot now</x:v>
      </x:c>
      <x:c r="F562" s="17" t="str">
        <x:f>IF(E562="Pilot now",IF(P562&gt;=84,"P1",IF(P562&gt;=72,"P2","P3")),IF(E562="Expansion discovery",IF(Q562&gt;=88,"D1",IF(Q562&gt;=78,"D2","D3")),IF(E562="Later / requirements","L","Legacy")))</x:f>
        <x:v>P1</x:v>
      </x:c>
      <x:c r="G562" s="14" t="str"/>
      <x:c r="H562" s="14" t="str">
        <x:v>Пілот зараз — Н.15</x:v>
      </x:c>
      <x:c r="I562" s="16" t="n">
        <x:v>5</x:v>
      </x:c>
      <x:c r="J562" s="16" t="n">
        <x:v>5</x:v>
      </x:c>
      <x:c r="K562" s="16" t="n">
        <x:v>5</x:v>
      </x:c>
      <x:c r="L562" s="16" t="n">
        <x:v>1</x:v>
      </x:c>
      <x:c r="M562" s="16" t="n">
        <x:v>5</x:v>
      </x:c>
      <x:c r="N562" s="16" t="n">
        <x:v>3</x:v>
      </x:c>
      <x:c r="O562" s="16" t="n">
        <x:v>5</x:v>
      </x:c>
      <x:c r="P562" s="16" t="n">
        <x:f>IF(COUNT(I562:O562)&lt;7,"",I562*8+J562*3+K562*2+L562*2+M562*2+N562*2+O562)</x:f>
        <x:v>88</x:v>
      </x:c>
      <x:c r="Q562" s="16" t="n">
        <x:f>IF(COUNT(J562:O562)&lt;6,"",J562*5+K562*4+M562*4+L562*3+N562*2+O562*2)</x:f>
        <x:v>84</x:v>
      </x:c>
      <x:c r="R562" s="14" t="str">
        <x:v>high</x:v>
      </x:c>
      <x:c r="S562" s="14" t="str">
        <x:v>official_prozorro_award_2025_2026</x:v>
      </x:c>
      <x:c r="T562" s="14" t="str">
        <x:v>official_prozorro_api</x:v>
      </x:c>
      <x:c r="U562" s="14" t="str">
        <x:v>Не контактували</x:v>
      </x:c>
      <x:c r="V562" s="15" t="str">
        <x:v>Персоналізований free-pilot outreach по UA-2026-08-20-001719-a; попросити 1 пакет Н.14/Н.15</x:v>
      </x:c>
      <x:c r="W562" s="15" t="str">
        <x:v>Власник / виконавець; відповідальний за договір</x:v>
      </x:c>
      <x:c r="X562" s="15" t="str">
        <x:v>1 підтверджених перемог/договорів у Prozorro на 19 953 грн; 1 проєктів зі строком виконання не раніше 24.08.2026.</x:v>
      </x:c>
      <x:c r="Y562" s="15" t="str">
        <x:v>Електромонтажні роботи; строк до 2026-12-31. Попросити один знеособлений пакет здачі за цим workflow.</x:v>
      </x:c>
      <x:c r="Z562" s="15" t="str">
        <x:v>https://prozorro.gov.ua/tender/UA-2026-08-20-001719-a</x:v>
      </x:c>
      <x:c r="AA562" s="14" t="str">
        <x:v>3633807710</x:v>
      </x:c>
      <x:c r="AB562" s="14" t="str">
        <x:v>2026-08-24</x:v>
      </x:c>
      <x:c r="AC562" s="14" t="str"/>
      <x:c r="AD562" s="20" t="str"/>
      <x:c r="AE562" s="14" t="str"/>
      <x:c r="AF562" s="14" t="n">
        <x:v>49</x:v>
      </x:c>
      <x:c r="AG562" s="14" t="str">
        <x:v>I3</x:v>
      </x:c>
      <x:c r="AH562" s="14" t="n">
        <x:v>1</x:v>
      </x:c>
      <x:c r="AI562" s="14" t="n">
        <x:v>1</x:v>
      </x:c>
      <x:c r="AJ562" s="18" t="n">
        <x:v>19952.96</x:v>
      </x:c>
      <x:c r="AK562" s="14" t="str">
        <x:v>https://prozorro.gov.ua/tender/UA-2026-08-20-001719-a</x:v>
      </x:c>
      <x:c r="AL562" s="19" t="n">
        <x:v>46254.29946659722</x:v>
      </x:c>
      <x:c r="AM562" s="19" t="n">
        <x:v>46387.34100694444</x:v>
      </x:c>
      <x:c r="AN562" s="15" t="str">
        <x:v>Електромонтаж</x:v>
      </x:c>
      <x:c r="AO562" s="15" t="str">
        <x:v>not_found_in_top_search</x:v>
      </x:c>
    </x:row>
    <x:row r="563">
      <x:c r="A563" s="14" t="str">
        <x:v>W3-291</x:v>
      </x:c>
      <x:c r="B563" s="14" t="str">
        <x:v>Prozorro winners — 24.08</x:v>
      </x:c>
      <x:c r="C563" s="14" t="str">
        <x:v>Шелінговський  Віктор Антонович</x:v>
      </x:c>
      <x:c r="D563" s="14" t="str">
        <x:v>HVAC / ОВіК</x:v>
      </x:c>
      <x:c r="E563" s="14" t="str">
        <x:v>Pilot now</x:v>
      </x:c>
      <x:c r="F563" s="17" t="str">
        <x:f>IF(E563="Pilot now",IF(P563&gt;=84,"P1",IF(P563&gt;=72,"P2","P3")),IF(E563="Expansion discovery",IF(Q563&gt;=88,"D1",IF(Q563&gt;=78,"D2","D3")),IF(E563="Later / requirements","L","Legacy")))</x:f>
        <x:v>P1</x:v>
      </x:c>
      <x:c r="G563" s="14" t="str"/>
      <x:c r="H563" s="14" t="str">
        <x:v>Пілот зараз — Н.14</x:v>
      </x:c>
      <x:c r="I563" s="16" t="n">
        <x:v>5</x:v>
      </x:c>
      <x:c r="J563" s="16" t="n">
        <x:v>5</x:v>
      </x:c>
      <x:c r="K563" s="16" t="n">
        <x:v>5</x:v>
      </x:c>
      <x:c r="L563" s="16" t="n">
        <x:v>1</x:v>
      </x:c>
      <x:c r="M563" s="16" t="n">
        <x:v>5</x:v>
      </x:c>
      <x:c r="N563" s="16" t="n">
        <x:v>3</x:v>
      </x:c>
      <x:c r="O563" s="16" t="n">
        <x:v>5</x:v>
      </x:c>
      <x:c r="P563" s="16" t="n">
        <x:f>IF(COUNT(I563:O563)&lt;7,"",I563*8+J563*3+K563*2+L563*2+M563*2+N563*2+O563)</x:f>
        <x:v>88</x:v>
      </x:c>
      <x:c r="Q563" s="16" t="n">
        <x:f>IF(COUNT(J563:O563)&lt;6,"",J563*5+K563*4+M563*4+L563*3+N563*2+O563*2)</x:f>
        <x:v>84</x:v>
      </x:c>
      <x:c r="R563" s="14" t="str">
        <x:v>high</x:v>
      </x:c>
      <x:c r="S563" s="14" t="str">
        <x:v>official_prozorro_award_2025_2026</x:v>
      </x:c>
      <x:c r="T563" s="14" t="str">
        <x:v>official_prozorro_api</x:v>
      </x:c>
      <x:c r="U563" s="14" t="str">
        <x:v>Не контактували</x:v>
      </x:c>
      <x:c r="V563" s="15" t="str">
        <x:v>Персоналізований free-pilot outreach по UA-2026-08-14-005615-a; попросити 1 пакет Н.14/Н.15</x:v>
      </x:c>
      <x:c r="W563" s="15" t="str">
        <x:v>Власник / виконавець; відповідальний за договір</x:v>
      </x:c>
      <x:c r="X563" s="15" t="str">
        <x:v>1 підтверджених перемог/договорів у Prozorro на 19 805 грн; 1 проєктів зі строком виконання не раніше 24.08.2026.</x:v>
      </x:c>
      <x:c r="Y563" s="15" t="str">
        <x:v>Ремонт  системи опалення закладу дошкільної освіти ( виконання робіт з демонтажу, монтажу радіаторів опалення, встановлення кранів, демонтажу та монтажу труби, ремонтно - зварювальні роботи); строк до 2026-12-31. Попросити один знеособлений пакет здачі за цим workflow.</x:v>
      </x:c>
      <x:c r="Z563" s="15" t="str">
        <x:v>https://prozorro.gov.ua/tender/UA-2026-08-14-005615-a</x:v>
      </x:c>
      <x:c r="AA563" s="14" t="str">
        <x:v>2333919831</x:v>
      </x:c>
      <x:c r="AB563" s="14" t="str">
        <x:v>2026-08-24</x:v>
      </x:c>
      <x:c r="AC563" s="14" t="str"/>
      <x:c r="AD563" s="20" t="str"/>
      <x:c r="AE563" s="14" t="str"/>
      <x:c r="AF563" s="14" t="n">
        <x:v>49</x:v>
      </x:c>
      <x:c r="AG563" s="14" t="str">
        <x:v>I3</x:v>
      </x:c>
      <x:c r="AH563" s="14" t="n">
        <x:v>1</x:v>
      </x:c>
      <x:c r="AI563" s="14" t="n">
        <x:v>1</x:v>
      </x:c>
      <x:c r="AJ563" s="18" t="n">
        <x:v>19805.2</x:v>
      </x:c>
      <x:c r="AK563" s="14" t="str">
        <x:v>https://prozorro.gov.ua/tender/UA-2026-08-14-005615-a</x:v>
      </x:c>
      <x:c r="AL563" s="19" t="n">
        <x:v>46248.40554746528</x:v>
      </x:c>
      <x:c r="AM563" s="19" t="n">
        <x:v>46387</x:v>
      </x:c>
      <x:c r="AN563" s="15" t="str">
        <x:v>HVAC / ОВіК</x:v>
      </x:c>
      <x:c r="AO563" s="15" t="str">
        <x:v>not_found_in_top_search</x:v>
      </x:c>
    </x:row>
    <x:row r="564">
      <x:c r="A564" s="14" t="str">
        <x:v>W3-292</x:v>
      </x:c>
      <x:c r="B564" s="14" t="str">
        <x:v>Prozorro winners — 24.08</x:v>
      </x:c>
      <x:c r="C564" s="14" t="str">
        <x:v>ФОП Чорнобай Ігор Анатолійович</x:v>
      </x:c>
      <x:c r="D564" s="14" t="str">
        <x:v>Електромонтаж</x:v>
      </x:c>
      <x:c r="E564" s="14" t="str">
        <x:v>Pilot now</x:v>
      </x:c>
      <x:c r="F564" s="17" t="str">
        <x:f>IF(E564="Pilot now",IF(P564&gt;=84,"P1",IF(P564&gt;=72,"P2","P3")),IF(E564="Expansion discovery",IF(Q564&gt;=88,"D1",IF(Q564&gt;=78,"D2","D3")),IF(E564="Later / requirements","L","Legacy")))</x:f>
        <x:v>P1</x:v>
      </x:c>
      <x:c r="G564" s="14" t="str"/>
      <x:c r="H564" s="14" t="str">
        <x:v>Пілот зараз — Н.15</x:v>
      </x:c>
      <x:c r="I564" s="16" t="n">
        <x:v>5</x:v>
      </x:c>
      <x:c r="J564" s="16" t="n">
        <x:v>5</x:v>
      </x:c>
      <x:c r="K564" s="16" t="n">
        <x:v>5</x:v>
      </x:c>
      <x:c r="L564" s="16" t="n">
        <x:v>1</x:v>
      </x:c>
      <x:c r="M564" s="16" t="n">
        <x:v>5</x:v>
      </x:c>
      <x:c r="N564" s="16" t="n">
        <x:v>3</x:v>
      </x:c>
      <x:c r="O564" s="16" t="n">
        <x:v>5</x:v>
      </x:c>
      <x:c r="P564" s="16" t="n">
        <x:f>IF(COUNT(I564:O564)&lt;7,"",I564*8+J564*3+K564*2+L564*2+M564*2+N564*2+O564)</x:f>
        <x:v>88</x:v>
      </x:c>
      <x:c r="Q564" s="16" t="n">
        <x:f>IF(COUNT(J564:O564)&lt;6,"",J564*5+K564*4+M564*4+L564*3+N564*2+O564*2)</x:f>
        <x:v>84</x:v>
      </x:c>
      <x:c r="R564" s="14" t="str">
        <x:v>high</x:v>
      </x:c>
      <x:c r="S564" s="14" t="str">
        <x:v>official_prozorro_award_2025_2026</x:v>
      </x:c>
      <x:c r="T564" s="14" t="str">
        <x:v>official_prozorro_api</x:v>
      </x:c>
      <x:c r="U564" s="14" t="str">
        <x:v>Не контактували</x:v>
      </x:c>
      <x:c r="V564" s="15" t="str">
        <x:v>Персоналізований free-pilot outreach по UA-2026-08-24-005216-a; попросити 1 пакет Н.14/Н.15</x:v>
      </x:c>
      <x:c r="W564" s="15" t="str">
        <x:v>Власник / виконавець; відповідальний за договір</x:v>
      </x:c>
      <x:c r="X564" s="15" t="str">
        <x:v>1 підтверджених перемог/договорів у Prozorro на 19 600 грн; 1 проєктів зі строком виконання не раніше 24.08.2026.</x:v>
      </x:c>
      <x:c r="Y564" s="15" t="str">
        <x:v>Електромонтажні роботи з  влаштування електроживлення бойлерів; строк до 2026-08-31. Попросити один знеособлений пакет здачі за цим workflow.</x:v>
      </x:c>
      <x:c r="Z564" s="15" t="str">
        <x:v>https://prozorro.gov.ua/tender/UA-2026-08-24-005216-a</x:v>
      </x:c>
      <x:c r="AA564" s="14" t="str">
        <x:v>2420414479</x:v>
      </x:c>
      <x:c r="AB564" s="14" t="str">
        <x:v>2026-08-24</x:v>
      </x:c>
      <x:c r="AC564" s="14" t="str"/>
      <x:c r="AD564" s="20" t="str"/>
      <x:c r="AE564" s="14" t="str"/>
      <x:c r="AF564" s="14" t="n">
        <x:v>49</x:v>
      </x:c>
      <x:c r="AG564" s="14" t="str">
        <x:v>I3</x:v>
      </x:c>
      <x:c r="AH564" s="14" t="n">
        <x:v>1</x:v>
      </x:c>
      <x:c r="AI564" s="14" t="n">
        <x:v>1</x:v>
      </x:c>
      <x:c r="AJ564" s="18" t="n">
        <x:v>19600</x:v>
      </x:c>
      <x:c r="AK564" s="14" t="str">
        <x:v>https://prozorro.gov.ua/tender/UA-2026-08-24-005216-a</x:v>
      </x:c>
      <x:c r="AL564" s="19" t="n">
        <x:v>46258.42393379629</x:v>
      </x:c>
      <x:c r="AM564" s="19" t="n">
        <x:v>46265.425775462965</x:v>
      </x:c>
      <x:c r="AN564" s="15" t="str">
        <x:v>Електромонтаж</x:v>
      </x:c>
      <x:c r="AO564" s="15" t="str">
        <x:v>not_found_in_top_search</x:v>
      </x:c>
    </x:row>
    <x:row r="565">
      <x:c r="A565" s="14" t="str">
        <x:v>W3-293</x:v>
      </x:c>
      <x:c r="B565" s="14" t="str">
        <x:v>Prozorro winners — 24.08</x:v>
      </x:c>
      <x:c r="C565" s="14" t="str">
        <x:v>МЕЛЬНИЧУК БОРИС МИХАЙЛОВИЧ</x:v>
      </x:c>
      <x:c r="D565" s="14" t="str">
        <x:v>Газопостачання / котельні</x:v>
      </x:c>
      <x:c r="E565" s="14" t="str">
        <x:v>Expansion discovery</x:v>
      </x:c>
      <x:c r="F565" s="17" t="str">
        <x:f>IF(E565="Pilot now",IF(P565&gt;=84,"P1",IF(P565&gt;=72,"P2","P3")),IF(E565="Expansion discovery",IF(Q565&gt;=88,"D1",IF(Q565&gt;=78,"D2","D3")),IF(E565="Later / requirements","L","Legacy")))</x:f>
        <x:v>D2</x:v>
      </x:c>
      <x:c r="G565" s="14" t="str"/>
      <x:c r="H565" s="14" t="str">
        <x:v>Discovery розширення — 2 тижні</x:v>
      </x:c>
      <x:c r="I565" s="16" t="n">
        <x:v>1</x:v>
      </x:c>
      <x:c r="J565" s="16" t="n">
        <x:v>5</x:v>
      </x:c>
      <x:c r="K565" s="16" t="n">
        <x:v>4</x:v>
      </x:c>
      <x:c r="L565" s="16" t="n">
        <x:v>1</x:v>
      </x:c>
      <x:c r="M565" s="16" t="n">
        <x:v>5</x:v>
      </x:c>
      <x:c r="N565" s="16" t="n">
        <x:v>3</x:v>
      </x:c>
      <x:c r="O565" s="16" t="n">
        <x:v>5</x:v>
      </x:c>
      <x:c r="P565" s="16" t="n">
        <x:f>IF(COUNT(I565:O565)&lt;7,"",I565*8+J565*3+K565*2+L565*2+M565*2+N565*2+O565)</x:f>
        <x:v>54</x:v>
      </x:c>
      <x:c r="Q565" s="16" t="n">
        <x:f>IF(COUNT(J565:O565)&lt;6,"",J565*5+K565*4+M565*4+L565*3+N565*2+O565*2)</x:f>
        <x:v>80</x:v>
      </x:c>
      <x:c r="R565" s="14" t="str">
        <x:v>high</x:v>
      </x:c>
      <x:c r="S565" s="14" t="str">
        <x:v>official_prozorro_award_2025_2026</x:v>
      </x:c>
      <x:c r="T565" s="14" t="str">
        <x:v>official_prozorro_api</x:v>
      </x:c>
      <x:c r="U565" s="14" t="str">
        <x:v>Не контактували</x:v>
      </x:c>
      <x:c r="V565" s="15" t="str">
        <x:v>Workflow-audit outreach по UA-2026-07-27-004333-a; попросити 1 пакет здачі та вимоги проєкту</x:v>
      </x:c>
      <x:c r="W565" s="15" t="str">
        <x:v>Власник / виконавець; відповідальний за договір</x:v>
      </x:c>
      <x:c r="X565" s="15" t="str">
        <x:v>1 підтверджених перемог/договорів у Prozorro на 17 810 грн; 1 проєктів зі строком виконання не раніше 24.08.2026.</x:v>
      </x:c>
      <x:c r="Y565" s="15" t="str">
        <x:v>Послуги по монтажу та налаштуванню роботи установки підготовки води в приміщенні котельні; строк до 2026-12-31. Попросити один знеособлений пакет здачі за цим workflow.</x:v>
      </x:c>
      <x:c r="Z565" s="15" t="str">
        <x:v>https://prozorro.gov.ua/tender/UA-2026-07-27-004333-a</x:v>
      </x:c>
      <x:c r="AA565" s="14" t="str">
        <x:v>2162304537</x:v>
      </x:c>
      <x:c r="AB565" s="14" t="str">
        <x:v>2026-08-24</x:v>
      </x:c>
      <x:c r="AC565" s="14" t="str"/>
      <x:c r="AD565" s="20" t="str"/>
      <x:c r="AE565" s="14" t="str"/>
      <x:c r="AF565" s="14" t="n">
        <x:v>49</x:v>
      </x:c>
      <x:c r="AG565" s="14" t="str">
        <x:v>I3</x:v>
      </x:c>
      <x:c r="AH565" s="14" t="n">
        <x:v>1</x:v>
      </x:c>
      <x:c r="AI565" s="14" t="n">
        <x:v>1</x:v>
      </x:c>
      <x:c r="AJ565" s="18" t="n">
        <x:v>17810</x:v>
      </x:c>
      <x:c r="AK565" s="14" t="str">
        <x:v>https://prozorro.gov.ua/tender/UA-2026-07-27-004333-a</x:v>
      </x:c>
      <x:c r="AL565" s="19" t="n">
        <x:v>46230.387015671295</x:v>
      </x:c>
      <x:c r="AM565" s="19" t="n">
        <x:v>46387</x:v>
      </x:c>
      <x:c r="AN565" s="15" t="str">
        <x:v>Газопостачання / котельні</x:v>
      </x:c>
      <x:c r="AO565" s="15" t="str">
        <x:v>not_found_in_top_search</x:v>
      </x:c>
    </x:row>
    <x:row r="566">
      <x:c r="A566" s="14" t="str">
        <x:v>W3-294</x:v>
      </x:c>
      <x:c r="B566" s="14" t="str">
        <x:v>Prozorro winners — 24.08</x:v>
      </x:c>
      <x:c r="C566" s="14" t="str">
        <x:v>КРЕПС КОСТЯНТИН ЛЕОНІДОВИЧ</x:v>
      </x:c>
      <x:c r="D566" s="14" t="str">
        <x:v>HVAC / ОВіК</x:v>
      </x:c>
      <x:c r="E566" s="14" t="str">
        <x:v>Pilot now</x:v>
      </x:c>
      <x:c r="F566" s="17" t="str">
        <x:f>IF(E566="Pilot now",IF(P566&gt;=84,"P1",IF(P566&gt;=72,"P2","P3")),IF(E566="Expansion discovery",IF(Q566&gt;=88,"D1",IF(Q566&gt;=78,"D2","D3")),IF(E566="Later / requirements","L","Legacy")))</x:f>
        <x:v>P1</x:v>
      </x:c>
      <x:c r="G566" s="14" t="str"/>
      <x:c r="H566" s="14" t="str">
        <x:v>Пілот зараз — Н.14</x:v>
      </x:c>
      <x:c r="I566" s="16" t="n">
        <x:v>5</x:v>
      </x:c>
      <x:c r="J566" s="16" t="n">
        <x:v>5</x:v>
      </x:c>
      <x:c r="K566" s="16" t="n">
        <x:v>5</x:v>
      </x:c>
      <x:c r="L566" s="16" t="n">
        <x:v>1</x:v>
      </x:c>
      <x:c r="M566" s="16" t="n">
        <x:v>5</x:v>
      </x:c>
      <x:c r="N566" s="16" t="n">
        <x:v>3</x:v>
      </x:c>
      <x:c r="O566" s="16" t="n">
        <x:v>5</x:v>
      </x:c>
      <x:c r="P566" s="16" t="n">
        <x:f>IF(COUNT(I566:O566)&lt;7,"",I566*8+J566*3+K566*2+L566*2+M566*2+N566*2+O566)</x:f>
        <x:v>88</x:v>
      </x:c>
      <x:c r="Q566" s="16" t="n">
        <x:f>IF(COUNT(J566:O566)&lt;6,"",J566*5+K566*4+M566*4+L566*3+N566*2+O566*2)</x:f>
        <x:v>84</x:v>
      </x:c>
      <x:c r="R566" s="14" t="str">
        <x:v>high</x:v>
      </x:c>
      <x:c r="S566" s="14" t="str">
        <x:v>official_prozorro_award_2025_2026</x:v>
      </x:c>
      <x:c r="T566" s="14" t="str">
        <x:v>official_prozorro_api</x:v>
      </x:c>
      <x:c r="U566" s="14" t="str">
        <x:v>Не контактували</x:v>
      </x:c>
      <x:c r="V566" s="15" t="str">
        <x:v>Персоналізований free-pilot outreach по UA-2026-07-16-004547-a; попросити 1 пакет Н.14/Н.15</x:v>
      </x:c>
      <x:c r="W566" s="15" t="str">
        <x:v>Власник / виконавець; відповідальний за договір</x:v>
      </x:c>
      <x:c r="X566" s="15" t="str">
        <x:v>1 підтверджених перемог/договорів у Prozorro на 16 992 грн; 1 проєктів зі строком виконання не раніше 24.08.2026.</x:v>
      </x:c>
      <x:c r="Y566" s="15" t="str">
        <x:v>Послуги з монтажу системи кондиціонування та вентиляції; строк до 2026-12-31. Попросити один знеособлений пакет здачі за цим workflow.</x:v>
      </x:c>
      <x:c r="Z566" s="15" t="str">
        <x:v>https://prozorro.gov.ua/tender/UA-2026-07-16-004547-a</x:v>
      </x:c>
      <x:c r="AA566" s="14" t="str">
        <x:v>3101901393</x:v>
      </x:c>
      <x:c r="AB566" s="14" t="str">
        <x:v>2026-08-24</x:v>
      </x:c>
      <x:c r="AC566" s="14" t="str"/>
      <x:c r="AD566" s="20" t="str"/>
      <x:c r="AE566" s="14" t="str"/>
      <x:c r="AF566" s="14" t="n">
        <x:v>49</x:v>
      </x:c>
      <x:c r="AG566" s="14" t="str">
        <x:v>I3</x:v>
      </x:c>
      <x:c r="AH566" s="14" t="n">
        <x:v>1</x:v>
      </x:c>
      <x:c r="AI566" s="14" t="n">
        <x:v>1</x:v>
      </x:c>
      <x:c r="AJ566" s="18" t="n">
        <x:v>16992</x:v>
      </x:c>
      <x:c r="AK566" s="14" t="str">
        <x:v>https://prozorro.gov.ua/tender/UA-2026-07-16-004547-a</x:v>
      </x:c>
      <x:c r="AL566" s="19" t="n">
        <x:v>46219.391331203704</x:v>
      </x:c>
      <x:c r="AM566" s="19" t="n">
        <x:v>46387</x:v>
      </x:c>
      <x:c r="AN566" s="15" t="str">
        <x:v>HVAC / ОВіК</x:v>
      </x:c>
      <x:c r="AO566" s="15" t="str">
        <x:v>not_found_in_top_search</x:v>
      </x:c>
    </x:row>
    <x:row r="567">
      <x:c r="A567" s="14" t="str">
        <x:v>W3-295</x:v>
      </x:c>
      <x:c r="B567" s="14" t="str">
        <x:v>Prozorro winners — 24.08</x:v>
      </x:c>
      <x:c r="C567" s="14" t="str">
        <x:v>Фізична особа-підприємець Кравченко Юлія Миколаївна</x:v>
      </x:c>
      <x:c r="D567" s="14" t="str">
        <x:v>Безпека / СКУД / CCTV</x:v>
      </x:c>
      <x:c r="E567" s="14" t="str">
        <x:v>Expansion discovery</x:v>
      </x:c>
      <x:c r="F567" s="17" t="str">
        <x:f>IF(E567="Pilot now",IF(P567&gt;=84,"P1",IF(P567&gt;=72,"P2","P3")),IF(E567="Expansion discovery",IF(Q567&gt;=88,"D1",IF(Q567&gt;=78,"D2","D3")),IF(E567="Later / requirements","L","Legacy")))</x:f>
        <x:v>D2</x:v>
      </x:c>
      <x:c r="G567" s="14" t="str"/>
      <x:c r="H567" s="14" t="str">
        <x:v>Discovery розширення — 2 тижні</x:v>
      </x:c>
      <x:c r="I567" s="16" t="n">
        <x:v>1</x:v>
      </x:c>
      <x:c r="J567" s="16" t="n">
        <x:v>5</x:v>
      </x:c>
      <x:c r="K567" s="16" t="n">
        <x:v>4</x:v>
      </x:c>
      <x:c r="L567" s="16" t="n">
        <x:v>1</x:v>
      </x:c>
      <x:c r="M567" s="16" t="n">
        <x:v>5</x:v>
      </x:c>
      <x:c r="N567" s="16" t="n">
        <x:v>3</x:v>
      </x:c>
      <x:c r="O567" s="16" t="n">
        <x:v>5</x:v>
      </x:c>
      <x:c r="P567" s="16" t="n">
        <x:f>IF(COUNT(I567:O567)&lt;7,"",I567*8+J567*3+K567*2+L567*2+M567*2+N567*2+O567)</x:f>
        <x:v>54</x:v>
      </x:c>
      <x:c r="Q567" s="16" t="n">
        <x:f>IF(COUNT(J567:O567)&lt;6,"",J567*5+K567*4+M567*4+L567*3+N567*2+O567*2)</x:f>
        <x:v>80</x:v>
      </x:c>
      <x:c r="R567" s="14" t="str">
        <x:v>high</x:v>
      </x:c>
      <x:c r="S567" s="14" t="str">
        <x:v>official_prozorro_award_2025_2026</x:v>
      </x:c>
      <x:c r="T567" s="14" t="str">
        <x:v>official_prozorro_api</x:v>
      </x:c>
      <x:c r="U567" s="14" t="str">
        <x:v>Не контактували</x:v>
      </x:c>
      <x:c r="V567" s="15" t="str">
        <x:v>Workflow-audit outreach по UA-2026-07-29-010910-a; попросити 1 пакет здачі та вимоги проєкту</x:v>
      </x:c>
      <x:c r="W567" s="15" t="str">
        <x:v>Власник / виконавець; відповідальний за договір</x:v>
      </x:c>
      <x:c r="X567" s="15" t="str">
        <x:v>1 підтверджених перемог/договорів у Prozorro на 16 850 грн; 1 проєктів зі строком виконання не раніше 24.08.2026.</x:v>
      </x:c>
      <x:c r="Y567" s="15" t="str">
        <x:v>Монтаж системи відеоспостереження; строк до 2026-12-31. Попросити один знеособлений пакет здачі за цим workflow.</x:v>
      </x:c>
      <x:c r="Z567" s="15" t="str">
        <x:v>https://prozorro.gov.ua/tender/UA-2026-07-29-010910-a</x:v>
      </x:c>
      <x:c r="AA567" s="14" t="str">
        <x:v>3034523404</x:v>
      </x:c>
      <x:c r="AB567" s="14" t="str">
        <x:v>2026-08-24</x:v>
      </x:c>
      <x:c r="AC567" s="14" t="str"/>
      <x:c r="AD567" s="20" t="str"/>
      <x:c r="AE567" s="14" t="str"/>
      <x:c r="AF567" s="14" t="n">
        <x:v>49</x:v>
      </x:c>
      <x:c r="AG567" s="14" t="str">
        <x:v>I3</x:v>
      </x:c>
      <x:c r="AH567" s="14" t="n">
        <x:v>1</x:v>
      </x:c>
      <x:c r="AI567" s="14" t="n">
        <x:v>1</x:v>
      </x:c>
      <x:c r="AJ567" s="18" t="n">
        <x:v>16850</x:v>
      </x:c>
      <x:c r="AK567" s="14" t="str">
        <x:v>https://prozorro.gov.ua/tender/UA-2026-07-29-010910-a</x:v>
      </x:c>
      <x:c r="AL567" s="19" t="n">
        <x:v>46232.629361875</x:v>
      </x:c>
      <x:c r="AM567" s="19" t="n">
        <x:v>46387.673368055555</x:v>
      </x:c>
      <x:c r="AN567" s="15" t="str">
        <x:v>Безпека / СКУД / CCTV</x:v>
      </x:c>
      <x:c r="AO567" s="15" t="str">
        <x:v>not_found_in_top_search</x:v>
      </x:c>
    </x:row>
    <x:row r="568">
      <x:c r="A568" s="14" t="str">
        <x:v>W3-296</x:v>
      </x:c>
      <x:c r="B568" s="14" t="str">
        <x:v>Prozorro winners — 24.08</x:v>
      </x:c>
      <x:c r="C568" s="14" t="str">
        <x:v>РУДЕНКО ВІТАЛІЙ ВАСИЛЬОВИЧ</x:v>
      </x:c>
      <x:c r="D568" s="14" t="str">
        <x:v>HVAC / ОВіК</x:v>
      </x:c>
      <x:c r="E568" s="14" t="str">
        <x:v>Pilot now</x:v>
      </x:c>
      <x:c r="F568" s="17" t="str">
        <x:f>IF(E568="Pilot now",IF(P568&gt;=84,"P1",IF(P568&gt;=72,"P2","P3")),IF(E568="Expansion discovery",IF(Q568&gt;=88,"D1",IF(Q568&gt;=78,"D2","D3")),IF(E568="Later / requirements","L","Legacy")))</x:f>
        <x:v>P1</x:v>
      </x:c>
      <x:c r="G568" s="14" t="str"/>
      <x:c r="H568" s="14" t="str">
        <x:v>Пілот зараз — Н.14</x:v>
      </x:c>
      <x:c r="I568" s="16" t="n">
        <x:v>5</x:v>
      </x:c>
      <x:c r="J568" s="16" t="n">
        <x:v>5</x:v>
      </x:c>
      <x:c r="K568" s="16" t="n">
        <x:v>5</x:v>
      </x:c>
      <x:c r="L568" s="16" t="n">
        <x:v>1</x:v>
      </x:c>
      <x:c r="M568" s="16" t="n">
        <x:v>5</x:v>
      </x:c>
      <x:c r="N568" s="16" t="n">
        <x:v>3</x:v>
      </x:c>
      <x:c r="O568" s="16" t="n">
        <x:v>5</x:v>
      </x:c>
      <x:c r="P568" s="16" t="n">
        <x:f>IF(COUNT(I568:O568)&lt;7,"",I568*8+J568*3+K568*2+L568*2+M568*2+N568*2+O568)</x:f>
        <x:v>88</x:v>
      </x:c>
      <x:c r="Q568" s="16" t="n">
        <x:f>IF(COUNT(J568:O568)&lt;6,"",J568*5+K568*4+M568*4+L568*3+N568*2+O568*2)</x:f>
        <x:v>84</x:v>
      </x:c>
      <x:c r="R568" s="14" t="str">
        <x:v>high</x:v>
      </x:c>
      <x:c r="S568" s="14" t="str">
        <x:v>official_prozorro_award_2025_2026</x:v>
      </x:c>
      <x:c r="T568" s="14" t="str">
        <x:v>official_prozorro_api</x:v>
      </x:c>
      <x:c r="U568" s="14" t="str">
        <x:v>Не контактували</x:v>
      </x:c>
      <x:c r="V568" s="15" t="str">
        <x:v>Персоналізований free-pilot outreach по UA-2026-08-06-010642-a; попросити 1 пакет Н.14/Н.15</x:v>
      </x:c>
      <x:c r="W568" s="15" t="str">
        <x:v>Власник / виконавець; відповідальний за договір</x:v>
      </x:c>
      <x:c r="X568" s="15" t="str">
        <x:v>1 підтверджених перемог/договорів у Prozorro на 14 700 грн; 1 проєктів зі строком виконання не раніше 24.08.2026.</x:v>
      </x:c>
      <x:c r="Y568" s="15" t="str">
        <x:v>послуги з проведення ремонтно-обслуговуючих робіт внутрішньої мережі (демонтаж та монтаж водопровідно-сантехнічного устаткування) в тепловому пункті за адресою: м. Вінниця, проспект Юності,4 код ДК 021:2015 -50720000-8 «Послуги з ремонту і технічного обслуговування систем центрального опалення»; строк до 2026-10-15. Попросити один знеособлений пакет здачі за цим workflow.</x:v>
      </x:c>
      <x:c r="Z568" s="15" t="str">
        <x:v>https://prozorro.gov.ua/tender/UA-2026-08-06-010642-a</x:v>
      </x:c>
      <x:c r="AA568" s="14" t="str">
        <x:v>3019104154</x:v>
      </x:c>
      <x:c r="AB568" s="14" t="str">
        <x:v>2026-08-24</x:v>
      </x:c>
      <x:c r="AC568" s="14" t="str"/>
      <x:c r="AD568" s="20" t="str"/>
      <x:c r="AE568" s="14" t="str"/>
      <x:c r="AF568" s="14" t="n">
        <x:v>49</x:v>
      </x:c>
      <x:c r="AG568" s="14" t="str">
        <x:v>I3</x:v>
      </x:c>
      <x:c r="AH568" s="14" t="n">
        <x:v>1</x:v>
      </x:c>
      <x:c r="AI568" s="14" t="n">
        <x:v>1</x:v>
      </x:c>
      <x:c r="AJ568" s="18" t="n">
        <x:v>14700</x:v>
      </x:c>
      <x:c r="AK568" s="14" t="str">
        <x:v>https://prozorro.gov.ua/tender/UA-2026-08-06-010642-a</x:v>
      </x:c>
      <x:c r="AL568" s="19" t="n">
        <x:v>46240.571095162035</x:v>
      </x:c>
      <x:c r="AM568" s="19" t="n">
        <x:v>46310</x:v>
      </x:c>
      <x:c r="AN568" s="15" t="str">
        <x:v>HVAC / ОВіК</x:v>
      </x:c>
      <x:c r="AO568" s="15" t="str">
        <x:v>not_found_in_top_search</x:v>
      </x:c>
    </x:row>
    <x:row r="569">
      <x:c r="A569" s="14" t="str">
        <x:v>W3-297</x:v>
      </x:c>
      <x:c r="B569" s="14" t="str">
        <x:v>Prozorro winners — 24.08</x:v>
      </x:c>
      <x:c r="C569" s="14" t="str">
        <x:v>ФОП Богоніс Юрій Романович</x:v>
      </x:c>
      <x:c r="D569" s="14" t="str">
        <x:v>Електромонтаж</x:v>
      </x:c>
      <x:c r="E569" s="14" t="str">
        <x:v>Pilot now</x:v>
      </x:c>
      <x:c r="F569" s="17" t="str">
        <x:f>IF(E569="Pilot now",IF(P569&gt;=84,"P1",IF(P569&gt;=72,"P2","P3")),IF(E569="Expansion discovery",IF(Q569&gt;=88,"D1",IF(Q569&gt;=78,"D2","D3")),IF(E569="Later / requirements","L","Legacy")))</x:f>
        <x:v>P1</x:v>
      </x:c>
      <x:c r="G569" s="14" t="str"/>
      <x:c r="H569" s="14" t="str">
        <x:v>Пілот зараз — Н.15</x:v>
      </x:c>
      <x:c r="I569" s="16" t="n">
        <x:v>5</x:v>
      </x:c>
      <x:c r="J569" s="16" t="n">
        <x:v>5</x:v>
      </x:c>
      <x:c r="K569" s="16" t="n">
        <x:v>5</x:v>
      </x:c>
      <x:c r="L569" s="16" t="n">
        <x:v>1</x:v>
      </x:c>
      <x:c r="M569" s="16" t="n">
        <x:v>5</x:v>
      </x:c>
      <x:c r="N569" s="16" t="n">
        <x:v>3</x:v>
      </x:c>
      <x:c r="O569" s="16" t="n">
        <x:v>5</x:v>
      </x:c>
      <x:c r="P569" s="16" t="n">
        <x:f>IF(COUNT(I569:O569)&lt;7,"",I569*8+J569*3+K569*2+L569*2+M569*2+N569*2+O569)</x:f>
        <x:v>88</x:v>
      </x:c>
      <x:c r="Q569" s="16" t="n">
        <x:f>IF(COUNT(J569:O569)&lt;6,"",J569*5+K569*4+M569*4+L569*3+N569*2+O569*2)</x:f>
        <x:v>84</x:v>
      </x:c>
      <x:c r="R569" s="14" t="str">
        <x:v>high</x:v>
      </x:c>
      <x:c r="S569" s="14" t="str">
        <x:v>official_prozorro_award_2025_2026</x:v>
      </x:c>
      <x:c r="T569" s="14" t="str">
        <x:v>official_prozorro_api</x:v>
      </x:c>
      <x:c r="U569" s="14" t="str">
        <x:v>Не контактували</x:v>
      </x:c>
      <x:c r="V569" s="15" t="str">
        <x:v>Персоналізований free-pilot outreach по UA-2026-07-23-010224-a; попросити 1 пакет Н.14/Н.15</x:v>
      </x:c>
      <x:c r="W569" s="15" t="str">
        <x:v>Власник / виконавець; відповідальний за договір</x:v>
      </x:c>
      <x:c r="X569" s="15" t="str">
        <x:v>1 підтверджених перемог/договорів у Prozorro на 14 500 грн; 1 проєктів зі строком виконання не раніше 24.08.2026.</x:v>
      </x:c>
      <x:c r="Y569" s="15" t="str">
        <x:v>Електромонтажні роботи; строк до 2026-12-31. Попросити один знеособлений пакет здачі за цим workflow.</x:v>
      </x:c>
      <x:c r="Z569" s="15" t="str">
        <x:v>https://prozorro.gov.ua/tender/UA-2026-07-23-010224-a</x:v>
      </x:c>
      <x:c r="AA569" s="14" t="str">
        <x:v>3768310975</x:v>
      </x:c>
      <x:c r="AB569" s="14" t="str">
        <x:v>2026-08-24</x:v>
      </x:c>
      <x:c r="AC569" s="14" t="str"/>
      <x:c r="AD569" s="20" t="str"/>
      <x:c r="AE569" s="14" t="str"/>
      <x:c r="AF569" s="14" t="n">
        <x:v>49</x:v>
      </x:c>
      <x:c r="AG569" s="14" t="str">
        <x:v>I3</x:v>
      </x:c>
      <x:c r="AH569" s="14" t="n">
        <x:v>1</x:v>
      </x:c>
      <x:c r="AI569" s="14" t="n">
        <x:v>1</x:v>
      </x:c>
      <x:c r="AJ569" s="18" t="n">
        <x:v>14500</x:v>
      </x:c>
      <x:c r="AK569" s="14" t="str">
        <x:v>https://prozorro.gov.ua/tender/UA-2026-07-23-010224-a</x:v>
      </x:c>
      <x:c r="AL569" s="19" t="n">
        <x:v>46226.547773101855</x:v>
      </x:c>
      <x:c r="AM569" s="19" t="n">
        <x:v>46387.591365740744</x:v>
      </x:c>
      <x:c r="AN569" s="15" t="str">
        <x:v>Електромонтаж</x:v>
      </x:c>
      <x:c r="AO569" s="15" t="str">
        <x:v>not_found_in_top_search</x:v>
      </x:c>
    </x:row>
    <x:row r="570">
      <x:c r="A570" s="14" t="str">
        <x:v>W3-298</x:v>
      </x:c>
      <x:c r="B570" s="14" t="str">
        <x:v>Prozorro winners — 24.08</x:v>
      </x:c>
      <x:c r="C570" s="14" t="str">
        <x:v>КАРПЕНКО СЕРГІЙ МИКОЛАЙОВИЧ</x:v>
      </x:c>
      <x:c r="D570" s="14" t="str">
        <x:v>Водоочищення / очисні споруди</x:v>
      </x:c>
      <x:c r="E570" s="14" t="str">
        <x:v>Expansion discovery</x:v>
      </x:c>
      <x:c r="F570" s="17" t="str">
        <x:f>IF(E570="Pilot now",IF(P570&gt;=84,"P1",IF(P570&gt;=72,"P2","P3")),IF(E570="Expansion discovery",IF(Q570&gt;=88,"D1",IF(Q570&gt;=78,"D2","D3")),IF(E570="Later / requirements","L","Legacy")))</x:f>
        <x:v>D2</x:v>
      </x:c>
      <x:c r="G570" s="14" t="str"/>
      <x:c r="H570" s="14" t="str">
        <x:v>Discovery розширення — 2 тижні</x:v>
      </x:c>
      <x:c r="I570" s="16" t="n">
        <x:v>1</x:v>
      </x:c>
      <x:c r="J570" s="16" t="n">
        <x:v>5</x:v>
      </x:c>
      <x:c r="K570" s="16" t="n">
        <x:v>4</x:v>
      </x:c>
      <x:c r="L570" s="16" t="n">
        <x:v>1</x:v>
      </x:c>
      <x:c r="M570" s="16" t="n">
        <x:v>5</x:v>
      </x:c>
      <x:c r="N570" s="16" t="n">
        <x:v>3</x:v>
      </x:c>
      <x:c r="O570" s="16" t="n">
        <x:v>5</x:v>
      </x:c>
      <x:c r="P570" s="16" t="n">
        <x:f>IF(COUNT(I570:O570)&lt;7,"",I570*8+J570*3+K570*2+L570*2+M570*2+N570*2+O570)</x:f>
        <x:v>54</x:v>
      </x:c>
      <x:c r="Q570" s="16" t="n">
        <x:f>IF(COUNT(J570:O570)&lt;6,"",J570*5+K570*4+M570*4+L570*3+N570*2+O570*2)</x:f>
        <x:v>80</x:v>
      </x:c>
      <x:c r="R570" s="14" t="str">
        <x:v>high</x:v>
      </x:c>
      <x:c r="S570" s="14" t="str">
        <x:v>official_prozorro_award_2025_2026</x:v>
      </x:c>
      <x:c r="T570" s="14" t="str">
        <x:v>official_prozorro_api</x:v>
      </x:c>
      <x:c r="U570" s="14" t="str">
        <x:v>Не контактували</x:v>
      </x:c>
      <x:c r="V570" s="15" t="str">
        <x:v>Workflow-audit outreach по UA-2026-07-14-011049-a; попросити 1 пакет здачі та вимоги проєкту</x:v>
      </x:c>
      <x:c r="W570" s="15" t="str">
        <x:v>Власник / виконавець; відповідальний за договір</x:v>
      </x:c>
      <x:c r="X570" s="15" t="str">
        <x:v>1 підтверджених перемог/договорів у Prozorro на 13 650 грн; 1 проєктів зі строком виконання не раніше 24.08.2026.</x:v>
      </x:c>
      <x:c r="Y570" s="15" t="str">
        <x:v>71240000-2 Архітектурні, інженерні та планувальні послуги (Авторський нагляд на об’єкті: "Реконструкція ПЛ-10кВ №23 "Технікум" для електропостачання каналізаційних очисних споруд Виконавчого комітету Немішаївської селищної ради с. Микуличі Бучанського району, Київської області кад. № 3221085500:05:001:0416" друга черга); строк до 2026-12-31. Попросити один знеособлений пакет здачі за цим workflow.</x:v>
      </x:c>
      <x:c r="Z570" s="15" t="str">
        <x:v>https://prozorro.gov.ua/tender/UA-2026-07-14-011049-a</x:v>
      </x:c>
      <x:c r="AA570" s="14" t="str">
        <x:v>2821711877</x:v>
      </x:c>
      <x:c r="AB570" s="14" t="str">
        <x:v>2026-08-24</x:v>
      </x:c>
      <x:c r="AC570" s="14" t="str"/>
      <x:c r="AD570" s="20" t="str"/>
      <x:c r="AE570" s="14" t="str"/>
      <x:c r="AF570" s="14" t="n">
        <x:v>49</x:v>
      </x:c>
      <x:c r="AG570" s="14" t="str">
        <x:v>I3</x:v>
      </x:c>
      <x:c r="AH570" s="14" t="n">
        <x:v>1</x:v>
      </x:c>
      <x:c r="AI570" s="14" t="n">
        <x:v>1</x:v>
      </x:c>
      <x:c r="AJ570" s="18" t="n">
        <x:v>13650</x:v>
      </x:c>
      <x:c r="AK570" s="14" t="str">
        <x:v>https://prozorro.gov.ua/tender/UA-2026-07-14-011049-a</x:v>
      </x:c>
      <x:c r="AL570" s="19" t="n">
        <x:v>46217.56952267361</x:v>
      </x:c>
      <x:c r="AM570" s="19" t="n">
        <x:v>46387</x:v>
      </x:c>
      <x:c r="AN570" s="15" t="str">
        <x:v>Водоочищення / очисні споруди</x:v>
      </x:c>
      <x:c r="AO570" s="15" t="str">
        <x:v>not_found_in_top_search</x:v>
      </x:c>
    </x:row>
    <x:row r="571">
      <x:c r="A571" s="14" t="str">
        <x:v>W3-299</x:v>
      </x:c>
      <x:c r="B571" s="14" t="str">
        <x:v>Prozorro winners — 24.08</x:v>
      </x:c>
      <x:c r="C571" s="14" t="str">
        <x:v>ФОП Курєнков Сергій Олександрович</x:v>
      </x:c>
      <x:c r="D571" s="14" t="str">
        <x:v>Безпека / СКУД / CCTV</x:v>
      </x:c>
      <x:c r="E571" s="14" t="str">
        <x:v>Expansion discovery</x:v>
      </x:c>
      <x:c r="F571" s="17" t="str">
        <x:f>IF(E571="Pilot now",IF(P571&gt;=84,"P1",IF(P571&gt;=72,"P2","P3")),IF(E571="Expansion discovery",IF(Q571&gt;=88,"D1",IF(Q571&gt;=78,"D2","D3")),IF(E571="Later / requirements","L","Legacy")))</x:f>
        <x:v>D2</x:v>
      </x:c>
      <x:c r="G571" s="14" t="str"/>
      <x:c r="H571" s="14" t="str">
        <x:v>Discovery розширення — 2 тижні</x:v>
      </x:c>
      <x:c r="I571" s="16" t="n">
        <x:v>1</x:v>
      </x:c>
      <x:c r="J571" s="16" t="n">
        <x:v>5</x:v>
      </x:c>
      <x:c r="K571" s="16" t="n">
        <x:v>4</x:v>
      </x:c>
      <x:c r="L571" s="16" t="n">
        <x:v>1</x:v>
      </x:c>
      <x:c r="M571" s="16" t="n">
        <x:v>5</x:v>
      </x:c>
      <x:c r="N571" s="16" t="n">
        <x:v>3</x:v>
      </x:c>
      <x:c r="O571" s="16" t="n">
        <x:v>5</x:v>
      </x:c>
      <x:c r="P571" s="16" t="n">
        <x:f>IF(COUNT(I571:O571)&lt;7,"",I571*8+J571*3+K571*2+L571*2+M571*2+N571*2+O571)</x:f>
        <x:v>54</x:v>
      </x:c>
      <x:c r="Q571" s="16" t="n">
        <x:f>IF(COUNT(J571:O571)&lt;6,"",J571*5+K571*4+M571*4+L571*3+N571*2+O571*2)</x:f>
        <x:v>80</x:v>
      </x:c>
      <x:c r="R571" s="14" t="str">
        <x:v>high</x:v>
      </x:c>
      <x:c r="S571" s="14" t="str">
        <x:v>official_prozorro_award_2025_2026</x:v>
      </x:c>
      <x:c r="T571" s="14" t="str">
        <x:v>official_prozorro_api</x:v>
      </x:c>
      <x:c r="U571" s="14" t="str">
        <x:v>Не контактували</x:v>
      </x:c>
      <x:c r="V571" s="15" t="str">
        <x:v>Workflow-audit outreach по UA-2026-07-22-007424-a; попросити 1 пакет здачі та вимоги проєкту</x:v>
      </x:c>
      <x:c r="W571" s="15" t="str">
        <x:v>Власник / виконавець; відповідальний за договір</x:v>
      </x:c>
      <x:c r="X571" s="15" t="str">
        <x:v>1 підтверджених перемог/договорів у Prozorro на 9 850 грн; 1 проєктів зі строком виконання не раніше 24.08.2026.</x:v>
      </x:c>
      <x:c r="Y571" s="15" t="str">
        <x:v>Послуги з монтажу системи відеоспостереження; строк до 2026-09-01. Попросити один знеособлений пакет здачі за цим workflow.</x:v>
      </x:c>
      <x:c r="Z571" s="15" t="str">
        <x:v>https://prozorro.gov.ua/tender/UA-2026-07-22-007424-a</x:v>
      </x:c>
      <x:c r="AA571" s="14" t="str">
        <x:v>3169902736</x:v>
      </x:c>
      <x:c r="AB571" s="14" t="str">
        <x:v>2026-08-24</x:v>
      </x:c>
      <x:c r="AC571" s="14" t="str"/>
      <x:c r="AD571" s="20" t="str"/>
      <x:c r="AE571" s="14" t="str"/>
      <x:c r="AF571" s="14" t="n">
        <x:v>49</x:v>
      </x:c>
      <x:c r="AG571" s="14" t="str">
        <x:v>I3</x:v>
      </x:c>
      <x:c r="AH571" s="14" t="n">
        <x:v>1</x:v>
      </x:c>
      <x:c r="AI571" s="14" t="n">
        <x:v>1</x:v>
      </x:c>
      <x:c r="AJ571" s="18" t="n">
        <x:v>9850</x:v>
      </x:c>
      <x:c r="AK571" s="14" t="str">
        <x:v>https://prozorro.gov.ua/tender/UA-2026-07-22-007424-a</x:v>
      </x:c>
      <x:c r="AL571" s="19" t="n">
        <x:v>46225.49115436342</x:v>
      </x:c>
      <x:c r="AM571" s="19" t="n">
        <x:v>46266.493113425924</x:v>
      </x:c>
      <x:c r="AN571" s="15" t="str">
        <x:v>Безпека / СКУД / CCTV</x:v>
      </x:c>
      <x:c r="AO571" s="15" t="str">
        <x:v>not_found_in_top_search</x:v>
      </x:c>
    </x:row>
    <x:row r="572">
      <x:c r="A572" s="14" t="str">
        <x:v>W3-300</x:v>
      </x:c>
      <x:c r="B572" s="14" t="str">
        <x:v>Prozorro winners — 24.08</x:v>
      </x:c>
      <x:c r="C572" s="14" t="str">
        <x:v>Макаров Сергій Вадимович</x:v>
      </x:c>
      <x:c r="D572" s="14" t="str">
        <x:v>Технологічні трубопроводи</x:v>
      </x:c>
      <x:c r="E572" s="14" t="str">
        <x:v>Expansion discovery</x:v>
      </x:c>
      <x:c r="F572" s="17" t="str">
        <x:f>IF(E572="Pilot now",IF(P572&gt;=84,"P1",IF(P572&gt;=72,"P2","P3")),IF(E572="Expansion discovery",IF(Q572&gt;=88,"D1",IF(Q572&gt;=78,"D2","D3")),IF(E572="Later / requirements","L","Legacy")))</x:f>
        <x:v>D2</x:v>
      </x:c>
      <x:c r="G572" s="14" t="str"/>
      <x:c r="H572" s="14" t="str">
        <x:v>Discovery розширення — 2 тижні</x:v>
      </x:c>
      <x:c r="I572" s="16" t="n">
        <x:v>1</x:v>
      </x:c>
      <x:c r="J572" s="16" t="n">
        <x:v>5</x:v>
      </x:c>
      <x:c r="K572" s="16" t="n">
        <x:v>4</x:v>
      </x:c>
      <x:c r="L572" s="16" t="n">
        <x:v>1</x:v>
      </x:c>
      <x:c r="M572" s="16" t="n">
        <x:v>5</x:v>
      </x:c>
      <x:c r="N572" s="16" t="n">
        <x:v>3</x:v>
      </x:c>
      <x:c r="O572" s="16" t="n">
        <x:v>5</x:v>
      </x:c>
      <x:c r="P572" s="16" t="n">
        <x:f>IF(COUNT(I572:O572)&lt;7,"",I572*8+J572*3+K572*2+L572*2+M572*2+N572*2+O572)</x:f>
        <x:v>54</x:v>
      </x:c>
      <x:c r="Q572" s="16" t="n">
        <x:f>IF(COUNT(J572:O572)&lt;6,"",J572*5+K572*4+M572*4+L572*3+N572*2+O572*2)</x:f>
        <x:v>80</x:v>
      </x:c>
      <x:c r="R572" s="14" t="str">
        <x:v>high</x:v>
      </x:c>
      <x:c r="S572" s="14" t="str">
        <x:v>official_prozorro_award_2025_2026</x:v>
      </x:c>
      <x:c r="T572" s="14" t="str">
        <x:v>official_prozorro_api</x:v>
      </x:c>
      <x:c r="U572" s="14" t="str">
        <x:v>Не контактували</x:v>
      </x:c>
      <x:c r="V572" s="15" t="str">
        <x:v>Workflow-audit outreach по UA-2026-08-18-010605-a; попросити 1 пакет здачі та вимоги проєкту</x:v>
      </x:c>
      <x:c r="W572" s="15" t="str">
        <x:v>Власник / виконавець; відповідальний за договір</x:v>
      </x:c>
      <x:c r="X572" s="15" t="str">
        <x:v>1 підтверджених перемог/договорів у Prozorro на 9 799 грн; 1 проєктів зі строком виконання не раніше 24.08.2026.</x:v>
      </x:c>
      <x:c r="Y572" s="15" t="str">
        <x:v>послуги з демонтажу зношених елементів та монтажу нових запірних вузлів (діаметром 25 мм та 32 мм), включаючи поточний ремонт та заміну супутніх технологічних ділянок трубопроводу для відновлення працездатності системи запірно-регулюючої арматури центральної магістралі ; строк до 2026-12-10. Попросити один знеособлений пакет здачі за цим workflow.</x:v>
      </x:c>
      <x:c r="Z572" s="15" t="str">
        <x:v>https://prozorro.gov.ua/tender/UA-2026-08-18-010605-a</x:v>
      </x:c>
      <x:c r="AA572" s="14" t="str">
        <x:v>2858805352</x:v>
      </x:c>
      <x:c r="AB572" s="14" t="str">
        <x:v>2026-08-24</x:v>
      </x:c>
      <x:c r="AC572" s="14" t="str"/>
      <x:c r="AD572" s="20" t="str"/>
      <x:c r="AE572" s="14" t="str"/>
      <x:c r="AF572" s="14" t="n">
        <x:v>49</x:v>
      </x:c>
      <x:c r="AG572" s="14" t="str">
        <x:v>I3</x:v>
      </x:c>
      <x:c r="AH572" s="14" t="n">
        <x:v>1</x:v>
      </x:c>
      <x:c r="AI572" s="14" t="n">
        <x:v>1</x:v>
      </x:c>
      <x:c r="AJ572" s="18" t="n">
        <x:v>9798.8</x:v>
      </x:c>
      <x:c r="AK572" s="14" t="str">
        <x:v>https://prozorro.gov.ua/tender/UA-2026-08-18-010605-a</x:v>
      </x:c>
      <x:c r="AL572" s="19" t="n">
        <x:v>46252.551709074076</x:v>
      </x:c>
      <x:c r="AM572" s="19" t="n">
        <x:v>46366</x:v>
      </x:c>
      <x:c r="AN572" s="15" t="str">
        <x:v>Технологічні трубопроводи</x:v>
      </x:c>
      <x:c r="AO572" s="15" t="str">
        <x:v>not_found_in_top_search</x:v>
      </x:c>
    </x:row>
    <x:row r="573">
      <x:c r="A573" s="14" t="str">
        <x:v>W3-301</x:v>
      </x:c>
      <x:c r="B573" s="14" t="str">
        <x:v>Prozorro winners — 24.08</x:v>
      </x:c>
      <x:c r="C573" s="14" t="str">
        <x:v>ФОП Кметюк В.М.</x:v>
      </x:c>
      <x:c r="D573" s="14" t="str">
        <x:v>Електромонтаж</x:v>
      </x:c>
      <x:c r="E573" s="14" t="str">
        <x:v>Pilot now</x:v>
      </x:c>
      <x:c r="F573" s="17" t="str">
        <x:f>IF(E573="Pilot now",IF(P573&gt;=84,"P1",IF(P573&gt;=72,"P2","P3")),IF(E573="Expansion discovery",IF(Q573&gt;=88,"D1",IF(Q573&gt;=78,"D2","D3")),IF(E573="Later / requirements","L","Legacy")))</x:f>
        <x:v>P1</x:v>
      </x:c>
      <x:c r="G573" s="14" t="str"/>
      <x:c r="H573" s="14" t="str">
        <x:v>Пілот зараз — Н.15</x:v>
      </x:c>
      <x:c r="I573" s="16" t="n">
        <x:v>5</x:v>
      </x:c>
      <x:c r="J573" s="16" t="n">
        <x:v>5</x:v>
      </x:c>
      <x:c r="K573" s="16" t="n">
        <x:v>5</x:v>
      </x:c>
      <x:c r="L573" s="16" t="n">
        <x:v>1</x:v>
      </x:c>
      <x:c r="M573" s="16" t="n">
        <x:v>5</x:v>
      </x:c>
      <x:c r="N573" s="16" t="n">
        <x:v>3</x:v>
      </x:c>
      <x:c r="O573" s="16" t="n">
        <x:v>5</x:v>
      </x:c>
      <x:c r="P573" s="16" t="n">
        <x:f>IF(COUNT(I573:O573)&lt;7,"",I573*8+J573*3+K573*2+L573*2+M573*2+N573*2+O573)</x:f>
        <x:v>88</x:v>
      </x:c>
      <x:c r="Q573" s="16" t="n">
        <x:f>IF(COUNT(J573:O573)&lt;6,"",J573*5+K573*4+M573*4+L573*3+N573*2+O573*2)</x:f>
        <x:v>84</x:v>
      </x:c>
      <x:c r="R573" s="14" t="str">
        <x:v>high</x:v>
      </x:c>
      <x:c r="S573" s="14" t="str">
        <x:v>official_prozorro_award_2025_2026</x:v>
      </x:c>
      <x:c r="T573" s="14" t="str">
        <x:v>official_prozorro_api</x:v>
      </x:c>
      <x:c r="U573" s="14" t="str">
        <x:v>Не контактували</x:v>
      </x:c>
      <x:c r="V573" s="15" t="str">
        <x:v>Персоналізований free-pilot outreach по UA-2026-08-24-003617-a; попросити 1 пакет Н.14/Н.15</x:v>
      </x:c>
      <x:c r="W573" s="15" t="str">
        <x:v>Власник / виконавець; відповідальний за договір</x:v>
      </x:c>
      <x:c r="X573" s="15" t="str">
        <x:v>1 підтверджених перемог/договорів у Prozorro на 8 938 грн; 1 проєктів зі строком виконання не раніше 24.08.2026.</x:v>
      </x:c>
      <x:c r="Y573" s="15" t="str">
        <x:v>електромонтажні роботи; строк до 2026-08-24. Попросити один знеособлений пакет здачі за цим workflow.</x:v>
      </x:c>
      <x:c r="Z573" s="15" t="str">
        <x:v>https://prozorro.gov.ua/tender/UA-2026-08-24-003617-a</x:v>
      </x:c>
      <x:c r="AA573" s="14" t="str">
        <x:v>3267715811</x:v>
      </x:c>
      <x:c r="AB573" s="14" t="str">
        <x:v>2026-08-24</x:v>
      </x:c>
      <x:c r="AC573" s="14" t="str"/>
      <x:c r="AD573" s="20" t="str"/>
      <x:c r="AE573" s="14" t="str"/>
      <x:c r="AF573" s="14" t="n">
        <x:v>49</x:v>
      </x:c>
      <x:c r="AG573" s="14" t="str">
        <x:v>I3</x:v>
      </x:c>
      <x:c r="AH573" s="14" t="n">
        <x:v>1</x:v>
      </x:c>
      <x:c r="AI573" s="14" t="n">
        <x:v>1</x:v>
      </x:c>
      <x:c r="AJ573" s="18" t="n">
        <x:v>8937.87</x:v>
      </x:c>
      <x:c r="AK573" s="14" t="str">
        <x:v>https://prozorro.gov.ua/tender/UA-2026-08-24-003617-a</x:v>
      </x:c>
      <x:c r="AL573" s="19" t="n">
        <x:v>46258.36646300926</x:v>
      </x:c>
      <x:c r="AM573" s="19" t="n">
        <x:v>46258</x:v>
      </x:c>
      <x:c r="AN573" s="15" t="str">
        <x:v>Електромонтаж</x:v>
      </x:c>
      <x:c r="AO573" s="15" t="str">
        <x:v>not_found_in_top_search</x:v>
      </x:c>
    </x:row>
    <x:row r="574">
      <x:c r="A574" s="14" t="str">
        <x:v>W3-302</x:v>
      </x:c>
      <x:c r="B574" s="14" t="str">
        <x:v>Prozorro winners — 24.08</x:v>
      </x:c>
      <x:c r="C574" s="14" t="str">
        <x:v>ФОП Бихно Віктор Віталійович</x:v>
      </x:c>
      <x:c r="D574" s="14" t="str">
        <x:v>Мости / інфраструктура</x:v>
      </x:c>
      <x:c r="E574" s="14" t="str">
        <x:v>Expansion discovery</x:v>
      </x:c>
      <x:c r="F574" s="17" t="str">
        <x:f>IF(E574="Pilot now",IF(P574&gt;=84,"P1",IF(P574&gt;=72,"P2","P3")),IF(E574="Expansion discovery",IF(Q574&gt;=88,"D1",IF(Q574&gt;=78,"D2","D3")),IF(E574="Later / requirements","L","Legacy")))</x:f>
        <x:v>D2</x:v>
      </x:c>
      <x:c r="G574" s="14" t="str"/>
      <x:c r="H574" s="14" t="str">
        <x:v>Discovery розширення — 2 тижні</x:v>
      </x:c>
      <x:c r="I574" s="16" t="n">
        <x:v>1</x:v>
      </x:c>
      <x:c r="J574" s="16" t="n">
        <x:v>5</x:v>
      </x:c>
      <x:c r="K574" s="16" t="n">
        <x:v>4</x:v>
      </x:c>
      <x:c r="L574" s="16" t="n">
        <x:v>1</x:v>
      </x:c>
      <x:c r="M574" s="16" t="n">
        <x:v>5</x:v>
      </x:c>
      <x:c r="N574" s="16" t="n">
        <x:v>3</x:v>
      </x:c>
      <x:c r="O574" s="16" t="n">
        <x:v>5</x:v>
      </x:c>
      <x:c r="P574" s="16" t="n">
        <x:f>IF(COUNT(I574:O574)&lt;7,"",I574*8+J574*3+K574*2+L574*2+M574*2+N574*2+O574)</x:f>
        <x:v>54</x:v>
      </x:c>
      <x:c r="Q574" s="16" t="n">
        <x:f>IF(COUNT(J574:O574)&lt;6,"",J574*5+K574*4+M574*4+L574*3+N574*2+O574*2)</x:f>
        <x:v>80</x:v>
      </x:c>
      <x:c r="R574" s="14" t="str">
        <x:v>high</x:v>
      </x:c>
      <x:c r="S574" s="14" t="str">
        <x:v>official_prozorro_award_2025_2026</x:v>
      </x:c>
      <x:c r="T574" s="14" t="str">
        <x:v>official_prozorro_api</x:v>
      </x:c>
      <x:c r="U574" s="14" t="str">
        <x:v>Не контактували</x:v>
      </x:c>
      <x:c r="V574" s="15" t="str">
        <x:v>Workflow-audit outreach по UA-2026-08-17-007037-a; попросити 1 пакет здачі та вимоги проєкту</x:v>
      </x:c>
      <x:c r="W574" s="15" t="str">
        <x:v>Власник / виконавець; відповідальний за договір</x:v>
      </x:c>
      <x:c r="X574" s="15" t="str">
        <x:v>1 підтверджених перемог/договорів у Prozorro на 8 327 грн; 1 проєктів зі строком виконання не раніше 24.08.2026.</x:v>
      </x:c>
      <x:c r="Y574" s="15" t="str">
        <x:v>Здійснення технічного нагляду за наданням послуг із поточного ремонту мосту через р. Саксагань на сел. Більшовик; строк до 2026-09-20. Попросити один знеособлений пакет здачі за цим workflow.</x:v>
      </x:c>
      <x:c r="Z574" s="15" t="str">
        <x:v>https://prozorro.gov.ua/tender/UA-2026-08-17-007037-a</x:v>
      </x:c>
      <x:c r="AA574" s="14" t="str">
        <x:v>3726400913</x:v>
      </x:c>
      <x:c r="AB574" s="14" t="str">
        <x:v>2026-08-24</x:v>
      </x:c>
      <x:c r="AC574" s="14" t="str"/>
      <x:c r="AD574" s="20" t="str"/>
      <x:c r="AE574" s="14" t="str"/>
      <x:c r="AF574" s="14" t="n">
        <x:v>49</x:v>
      </x:c>
      <x:c r="AG574" s="14" t="str">
        <x:v>I3</x:v>
      </x:c>
      <x:c r="AH574" s="14" t="n">
        <x:v>1</x:v>
      </x:c>
      <x:c r="AI574" s="14" t="n">
        <x:v>1</x:v>
      </x:c>
      <x:c r="AJ574" s="18" t="n">
        <x:v>8327</x:v>
      </x:c>
      <x:c r="AK574" s="14" t="str">
        <x:v>https://prozorro.gov.ua/tender/UA-2026-08-17-007037-a</x:v>
      </x:c>
      <x:c r="AL574" s="19" t="n">
        <x:v>46251.46706481482</x:v>
      </x:c>
      <x:c r="AM574" s="19" t="n">
        <x:v>46285</x:v>
      </x:c>
      <x:c r="AN574" s="15" t="str">
        <x:v>Мости / інфраструктура</x:v>
      </x:c>
      <x:c r="AO574" s="15" t="str">
        <x:v>not_found_in_top_search</x:v>
      </x:c>
    </x:row>
    <x:row r="575">
      <x:c r="A575" s="14" t="str">
        <x:v>W3-303</x:v>
      </x:c>
      <x:c r="B575" s="14" t="str">
        <x:v>Prozorro winners — 24.08</x:v>
      </x:c>
      <x:c r="C575" s="14" t="str">
        <x:v>ГУЗАР ІГОР МИРОСЛАВОВИЧ</x:v>
      </x:c>
      <x:c r="D575" s="14" t="str">
        <x:v>Електромонтаж</x:v>
      </x:c>
      <x:c r="E575" s="14" t="str">
        <x:v>Pilot now</x:v>
      </x:c>
      <x:c r="F575" s="17" t="str">
        <x:f>IF(E575="Pilot now",IF(P575&gt;=84,"P1",IF(P575&gt;=72,"P2","P3")),IF(E575="Expansion discovery",IF(Q575&gt;=88,"D1",IF(Q575&gt;=78,"D2","D3")),IF(E575="Later / requirements","L","Legacy")))</x:f>
        <x:v>P1</x:v>
      </x:c>
      <x:c r="G575" s="14" t="str"/>
      <x:c r="H575" s="14" t="str">
        <x:v>Пілот зараз — Н.15</x:v>
      </x:c>
      <x:c r="I575" s="16" t="n">
        <x:v>5</x:v>
      </x:c>
      <x:c r="J575" s="16" t="n">
        <x:v>5</x:v>
      </x:c>
      <x:c r="K575" s="16" t="n">
        <x:v>5</x:v>
      </x:c>
      <x:c r="L575" s="16" t="n">
        <x:v>1</x:v>
      </x:c>
      <x:c r="M575" s="16" t="n">
        <x:v>5</x:v>
      </x:c>
      <x:c r="N575" s="16" t="n">
        <x:v>3</x:v>
      </x:c>
      <x:c r="O575" s="16" t="n">
        <x:v>5</x:v>
      </x:c>
      <x:c r="P575" s="16" t="n">
        <x:f>IF(COUNT(I575:O575)&lt;7,"",I575*8+J575*3+K575*2+L575*2+M575*2+N575*2+O575)</x:f>
        <x:v>88</x:v>
      </x:c>
      <x:c r="Q575" s="16" t="n">
        <x:f>IF(COUNT(J575:O575)&lt;6,"",J575*5+K575*4+M575*4+L575*3+N575*2+O575*2)</x:f>
        <x:v>84</x:v>
      </x:c>
      <x:c r="R575" s="14" t="str">
        <x:v>high</x:v>
      </x:c>
      <x:c r="S575" s="14" t="str">
        <x:v>official_prozorro_award_2025_2026</x:v>
      </x:c>
      <x:c r="T575" s="14" t="str">
        <x:v>official_prozorro_api</x:v>
      </x:c>
      <x:c r="U575" s="14" t="str">
        <x:v>Не контактували</x:v>
      </x:c>
      <x:c r="V575" s="15" t="str">
        <x:v>Персоналізований free-pilot outreach по UA-2026-08-10-000273-a; попросити 1 пакет Н.14/Н.15</x:v>
      </x:c>
      <x:c r="W575" s="15" t="str">
        <x:v>Власник / виконавець; відповідальний за договір</x:v>
      </x:c>
      <x:c r="X575" s="15" t="str">
        <x:v>1 підтверджених перемог/договорів у Prozorro на 6 000 грн; 1 проєктів зі строком виконання не раніше 24.08.2026.</x:v>
      </x:c>
      <x:c r="Y575" s="15" t="str">
        <x:v>Електромонтажні роботи; строк до 2026-12-31. Попросити один знеособлений пакет здачі за цим workflow.</x:v>
      </x:c>
      <x:c r="Z575" s="15" t="str">
        <x:v>https://prozorro.gov.ua/tender/UA-2026-08-10-000273-a</x:v>
      </x:c>
      <x:c r="AA575" s="14" t="str">
        <x:v>2433815510</x:v>
      </x:c>
      <x:c r="AB575" s="14" t="str">
        <x:v>2026-08-24</x:v>
      </x:c>
      <x:c r="AC575" s="14" t="str"/>
      <x:c r="AD575" s="20" t="str"/>
      <x:c r="AE575" s="14" t="str"/>
      <x:c r="AF575" s="14" t="n">
        <x:v>49</x:v>
      </x:c>
      <x:c r="AG575" s="14" t="str">
        <x:v>I3</x:v>
      </x:c>
      <x:c r="AH575" s="14" t="n">
        <x:v>1</x:v>
      </x:c>
      <x:c r="AI575" s="14" t="n">
        <x:v>1</x:v>
      </x:c>
      <x:c r="AJ575" s="18" t="n">
        <x:v>6000</x:v>
      </x:c>
      <x:c r="AK575" s="14" t="str">
        <x:v>https://prozorro.gov.ua/tender/UA-2026-08-10-000273-a</x:v>
      </x:c>
      <x:c r="AL575" s="19" t="n">
        <x:v>46244.24487738426</x:v>
      </x:c>
      <x:c r="AM575" s="19" t="n">
        <x:v>46387</x:v>
      </x:c>
      <x:c r="AN575" s="15" t="str">
        <x:v>Електромонтаж</x:v>
      </x:c>
      <x:c r="AO575" s="15" t="str">
        <x:v>not_found_in_top_search</x:v>
      </x:c>
    </x:row>
    <x:row r="576">
      <x:c r="A576" s="14" t="str">
        <x:v>W3-304</x:v>
      </x:c>
      <x:c r="B576" s="14" t="str">
        <x:v>Prozorro winners — 24.08</x:v>
      </x:c>
      <x:c r="C576" s="14" t="str">
        <x:v>КОЧНОВ ОЛЕКСАНДР АНАТОЛІЙОВИЧ</x:v>
      </x:c>
      <x:c r="D576" s="14" t="str">
        <x:v>Електромонтаж</x:v>
      </x:c>
      <x:c r="E576" s="14" t="str">
        <x:v>Pilot now</x:v>
      </x:c>
      <x:c r="F576" s="17" t="str">
        <x:f>IF(E576="Pilot now",IF(P576&gt;=84,"P1",IF(P576&gt;=72,"P2","P3")),IF(E576="Expansion discovery",IF(Q576&gt;=88,"D1",IF(Q576&gt;=78,"D2","D3")),IF(E576="Later / requirements","L","Legacy")))</x:f>
        <x:v>P1</x:v>
      </x:c>
      <x:c r="G576" s="14" t="str"/>
      <x:c r="H576" s="14" t="str">
        <x:v>Пілот зараз — Н.15</x:v>
      </x:c>
      <x:c r="I576" s="16" t="n">
        <x:v>5</x:v>
      </x:c>
      <x:c r="J576" s="16" t="n">
        <x:v>5</x:v>
      </x:c>
      <x:c r="K576" s="16" t="n">
        <x:v>5</x:v>
      </x:c>
      <x:c r="L576" s="16" t="n">
        <x:v>1</x:v>
      </x:c>
      <x:c r="M576" s="16" t="n">
        <x:v>5</x:v>
      </x:c>
      <x:c r="N576" s="16" t="n">
        <x:v>3</x:v>
      </x:c>
      <x:c r="O576" s="16" t="n">
        <x:v>5</x:v>
      </x:c>
      <x:c r="P576" s="16" t="n">
        <x:f>IF(COUNT(I576:O576)&lt;7,"",I576*8+J576*3+K576*2+L576*2+M576*2+N576*2+O576)</x:f>
        <x:v>88</x:v>
      </x:c>
      <x:c r="Q576" s="16" t="n">
        <x:f>IF(COUNT(J576:O576)&lt;6,"",J576*5+K576*4+M576*4+L576*3+N576*2+O576*2)</x:f>
        <x:v>84</x:v>
      </x:c>
      <x:c r="R576" s="14" t="str">
        <x:v>high</x:v>
      </x:c>
      <x:c r="S576" s="14" t="str">
        <x:v>official_prozorro_award_2025_2026</x:v>
      </x:c>
      <x:c r="T576" s="14" t="str">
        <x:v>official_prozorro_api</x:v>
      </x:c>
      <x:c r="U576" s="14" t="str">
        <x:v>Не контактували</x:v>
      </x:c>
      <x:c r="V576" s="15" t="str">
        <x:v>Персоналізований free-pilot outreach по UA-2026-07-27-007322-a; попросити 1 пакет Н.14/Н.15</x:v>
      </x:c>
      <x:c r="W576" s="15" t="str">
        <x:v>Власник / виконавець; відповідальний за договір</x:v>
      </x:c>
      <x:c r="X576" s="15" t="str">
        <x:v>1 підтверджених перемог/договорів у Prozorro на 6 000 грн; 1 проєктів зі строком виконання не раніше 24.08.2026.</x:v>
      </x:c>
      <x:c r="Y576" s="15" t="str">
        <x:v>Електромонтажні роботи; строк до 2026-12-31. Попросити один знеособлений пакет здачі за цим workflow.</x:v>
      </x:c>
      <x:c r="Z576" s="15" t="str">
        <x:v>https://prozorro.gov.ua/tender/UA-2026-07-27-007322-a</x:v>
      </x:c>
      <x:c r="AA576" s="14" t="str">
        <x:v>3210001651</x:v>
      </x:c>
      <x:c r="AB576" s="14" t="str">
        <x:v>2026-08-24</x:v>
      </x:c>
      <x:c r="AC576" s="14" t="str"/>
      <x:c r="AD576" s="20" t="str"/>
      <x:c r="AE576" s="14" t="str"/>
      <x:c r="AF576" s="14" t="n">
        <x:v>49</x:v>
      </x:c>
      <x:c r="AG576" s="14" t="str">
        <x:v>I3</x:v>
      </x:c>
      <x:c r="AH576" s="14" t="n">
        <x:v>1</x:v>
      </x:c>
      <x:c r="AI576" s="14" t="n">
        <x:v>1</x:v>
      </x:c>
      <x:c r="AJ576" s="18" t="n">
        <x:v>6000</x:v>
      </x:c>
      <x:c r="AK576" s="14" t="str">
        <x:v>https://prozorro.gov.ua/tender/UA-2026-07-27-007322-a</x:v>
      </x:c>
      <x:c r="AL576" s="19" t="n">
        <x:v>46230.49473087963</x:v>
      </x:c>
      <x:c r="AM576" s="19" t="n">
        <x:v>46387</x:v>
      </x:c>
      <x:c r="AN576" s="15" t="str">
        <x:v>Електромонтаж</x:v>
      </x:c>
      <x:c r="AO576" s="15" t="str">
        <x:v>not_found_in_top_search</x:v>
      </x:c>
    </x:row>
    <x:row r="577">
      <x:c r="A577" s="14" t="str">
        <x:v>W3-305</x:v>
      </x:c>
      <x:c r="B577" s="14" t="str">
        <x:v>Prozorro winners — 24.08</x:v>
      </x:c>
      <x:c r="C577" s="14" t="str">
        <x:v>ФОП Жданюк Андрій Васильйович</x:v>
      </x:c>
      <x:c r="D577" s="14" t="str">
        <x:v>Безпека / СКУД / CCTV</x:v>
      </x:c>
      <x:c r="E577" s="14" t="str">
        <x:v>Expansion discovery</x:v>
      </x:c>
      <x:c r="F577" s="17" t="str">
        <x:f>IF(E577="Pilot now",IF(P577&gt;=84,"P1",IF(P577&gt;=72,"P2","P3")),IF(E577="Expansion discovery",IF(Q577&gt;=88,"D1",IF(Q577&gt;=78,"D2","D3")),IF(E577="Later / requirements","L","Legacy")))</x:f>
        <x:v>D2</x:v>
      </x:c>
      <x:c r="G577" s="14" t="str"/>
      <x:c r="H577" s="14" t="str">
        <x:v>Discovery розширення — 2 тижні</x:v>
      </x:c>
      <x:c r="I577" s="16" t="n">
        <x:v>1</x:v>
      </x:c>
      <x:c r="J577" s="16" t="n">
        <x:v>5</x:v>
      </x:c>
      <x:c r="K577" s="16" t="n">
        <x:v>4</x:v>
      </x:c>
      <x:c r="L577" s="16" t="n">
        <x:v>1</x:v>
      </x:c>
      <x:c r="M577" s="16" t="n">
        <x:v>5</x:v>
      </x:c>
      <x:c r="N577" s="16" t="n">
        <x:v>3</x:v>
      </x:c>
      <x:c r="O577" s="16" t="n">
        <x:v>5</x:v>
      </x:c>
      <x:c r="P577" s="16" t="n">
        <x:f>IF(COUNT(I577:O577)&lt;7,"",I577*8+J577*3+K577*2+L577*2+M577*2+N577*2+O577)</x:f>
        <x:v>54</x:v>
      </x:c>
      <x:c r="Q577" s="16" t="n">
        <x:f>IF(COUNT(J577:O577)&lt;6,"",J577*5+K577*4+M577*4+L577*3+N577*2+O577*2)</x:f>
        <x:v>80</x:v>
      </x:c>
      <x:c r="R577" s="14" t="str">
        <x:v>high</x:v>
      </x:c>
      <x:c r="S577" s="14" t="str">
        <x:v>official_prozorro_award_2025_2026</x:v>
      </x:c>
      <x:c r="T577" s="14" t="str">
        <x:v>official_prozorro_api</x:v>
      </x:c>
      <x:c r="U577" s="14" t="str">
        <x:v>Не контактували</x:v>
      </x:c>
      <x:c r="V577" s="15" t="str">
        <x:v>Workflow-audit outreach по UA-2026-07-30-003780-a; попросити 1 пакет здачі та вимоги проєкту</x:v>
      </x:c>
      <x:c r="W577" s="15" t="str">
        <x:v>Власник / виконавець; відповідальний за договір</x:v>
      </x:c>
      <x:c r="X577" s="15" t="str">
        <x:v>1 підтверджених перемог/договорів у Prozorro на 4 950 грн; 1 проєктів зі строком виконання не раніше 24.08.2026.</x:v>
      </x:c>
      <x:c r="Y577" s="15" t="str">
        <x:v>Послуги із монтажу і ремонту систем відеоспостереження та систем контроля доступу; строк до 2026-12-31. Попросити один знеособлений пакет здачі за цим workflow.</x:v>
      </x:c>
      <x:c r="Z577" s="15" t="str">
        <x:v>https://prozorro.gov.ua/tender/UA-2026-07-30-003780-a</x:v>
      </x:c>
      <x:c r="AA577" s="14" t="str">
        <x:v>3050412072</x:v>
      </x:c>
      <x:c r="AB577" s="14" t="str">
        <x:v>2026-08-24</x:v>
      </x:c>
      <x:c r="AC577" s="14" t="str"/>
      <x:c r="AD577" s="20" t="str"/>
      <x:c r="AE577" s="14" t="str"/>
      <x:c r="AF577" s="14" t="n">
        <x:v>49</x:v>
      </x:c>
      <x:c r="AG577" s="14" t="str">
        <x:v>I3</x:v>
      </x:c>
      <x:c r="AH577" s="14" t="n">
        <x:v>1</x:v>
      </x:c>
      <x:c r="AI577" s="14" t="n">
        <x:v>1</x:v>
      </x:c>
      <x:c r="AJ577" s="18" t="n">
        <x:v>4950</x:v>
      </x:c>
      <x:c r="AK577" s="14" t="str">
        <x:v>https://prozorro.gov.ua/tender/UA-2026-07-30-003780-a</x:v>
      </x:c>
      <x:c r="AL577" s="19" t="n">
        <x:v>46233.424376319446</x:v>
      </x:c>
      <x:c r="AM577" s="19" t="n">
        <x:v>46387.41515046296</x:v>
      </x:c>
      <x:c r="AN577" s="15" t="str">
        <x:v>Безпека / СКУД / CCTV</x:v>
      </x:c>
      <x:c r="AO577" s="15" t="str">
        <x:v>not_found_in_top_search</x:v>
      </x:c>
    </x:row>
    <x:row r="578">
      <x:c r="A578" s="14" t="str">
        <x:v>W3-306</x:v>
      </x:c>
      <x:c r="B578" s="14" t="str">
        <x:v>Prozorro winners — 24.08</x:v>
      </x:c>
      <x:c r="C578" s="14" t="str">
        <x:v>ПІВТОРАК АНАТОЛІЙ МИКОЛАЙОВИЧ</x:v>
      </x:c>
      <x:c r="D578" s="14" t="str">
        <x:v>Електромонтаж</x:v>
      </x:c>
      <x:c r="E578" s="14" t="str">
        <x:v>Pilot now</x:v>
      </x:c>
      <x:c r="F578" s="17" t="str">
        <x:f>IF(E578="Pilot now",IF(P578&gt;=84,"P1",IF(P578&gt;=72,"P2","P3")),IF(E578="Expansion discovery",IF(Q578&gt;=88,"D1",IF(Q578&gt;=78,"D2","D3")),IF(E578="Later / requirements","L","Legacy")))</x:f>
        <x:v>P1</x:v>
      </x:c>
      <x:c r="G578" s="14" t="str"/>
      <x:c r="H578" s="14" t="str">
        <x:v>Пілот зараз — Н.15</x:v>
      </x:c>
      <x:c r="I578" s="16" t="n">
        <x:v>5</x:v>
      </x:c>
      <x:c r="J578" s="16" t="n">
        <x:v>5</x:v>
      </x:c>
      <x:c r="K578" s="16" t="n">
        <x:v>5</x:v>
      </x:c>
      <x:c r="L578" s="16" t="n">
        <x:v>1</x:v>
      </x:c>
      <x:c r="M578" s="16" t="n">
        <x:v>5</x:v>
      </x:c>
      <x:c r="N578" s="16" t="n">
        <x:v>3</x:v>
      </x:c>
      <x:c r="O578" s="16" t="n">
        <x:v>5</x:v>
      </x:c>
      <x:c r="P578" s="16" t="n">
        <x:f>IF(COUNT(I578:O578)&lt;7,"",I578*8+J578*3+K578*2+L578*2+M578*2+N578*2+O578)</x:f>
        <x:v>88</x:v>
      </x:c>
      <x:c r="Q578" s="16" t="n">
        <x:f>IF(COUNT(J578:O578)&lt;6,"",J578*5+K578*4+M578*4+L578*3+N578*2+O578*2)</x:f>
        <x:v>84</x:v>
      </x:c>
      <x:c r="R578" s="14" t="str">
        <x:v>high</x:v>
      </x:c>
      <x:c r="S578" s="14" t="str">
        <x:v>official_prozorro_award_2025_2026</x:v>
      </x:c>
      <x:c r="T578" s="14" t="str">
        <x:v>official_prozorro_api</x:v>
      </x:c>
      <x:c r="U578" s="14" t="str">
        <x:v>Не контактували</x:v>
      </x:c>
      <x:c r="V578" s="15" t="str">
        <x:v>Персоналізований free-pilot outreach по UA-2026-07-27-007001-a; попросити 1 пакет Н.14/Н.15</x:v>
      </x:c>
      <x:c r="W578" s="15" t="str">
        <x:v>Власник / виконавець; відповідальний за договір</x:v>
      </x:c>
      <x:c r="X578" s="15" t="str">
        <x:v>1 підтверджених перемог/договорів у Prozorro на 4 000 грн; 1 проєктів зі строком виконання не раніше 24.08.2026.</x:v>
      </x:c>
      <x:c r="Y578" s="15" t="str">
        <x:v>Електромонтажні роботи ; строк до 2026-12-31. Попросити один знеособлений пакет здачі за цим workflow.</x:v>
      </x:c>
      <x:c r="Z578" s="15" t="str">
        <x:v>https://prozorro.gov.ua/tender/UA-2026-07-27-007001-a</x:v>
      </x:c>
      <x:c r="AA578" s="14" t="str">
        <x:v>2411508616</x:v>
      </x:c>
      <x:c r="AB578" s="14" t="str">
        <x:v>2026-08-24</x:v>
      </x:c>
      <x:c r="AC578" s="14" t="str"/>
      <x:c r="AD578" s="20" t="str"/>
      <x:c r="AE578" s="14" t="str"/>
      <x:c r="AF578" s="14" t="n">
        <x:v>49</x:v>
      </x:c>
      <x:c r="AG578" s="14" t="str">
        <x:v>I3</x:v>
      </x:c>
      <x:c r="AH578" s="14" t="n">
        <x:v>1</x:v>
      </x:c>
      <x:c r="AI578" s="14" t="n">
        <x:v>1</x:v>
      </x:c>
      <x:c r="AJ578" s="18" t="n">
        <x:v>4000</x:v>
      </x:c>
      <x:c r="AK578" s="14" t="str">
        <x:v>https://prozorro.gov.ua/tender/UA-2026-07-27-007001-a</x:v>
      </x:c>
      <x:c r="AL578" s="19" t="n">
        <x:v>46230.48517842592</x:v>
      </x:c>
      <x:c r="AM578" s="19" t="n">
        <x:v>46387</x:v>
      </x:c>
      <x:c r="AN578" s="15" t="str">
        <x:v>Електромонтаж</x:v>
      </x:c>
      <x:c r="AO578" s="15" t="str">
        <x:v>not_found_in_top_search</x:v>
      </x:c>
    </x:row>
    <x:row r="579">
      <x:c r="A579" s="14" t="str">
        <x:v>W3-307</x:v>
      </x:c>
      <x:c r="B579" s="14" t="str">
        <x:v>Prozorro winners — 24.08</x:v>
      </x:c>
      <x:c r="C579" s="14" t="str">
        <x:v>Фізична особа-підприємець Ракчеєв Юрій В'ячеславович</x:v>
      </x:c>
      <x:c r="D579" s="14" t="str">
        <x:v>Електромонтаж</x:v>
      </x:c>
      <x:c r="E579" s="14" t="str">
        <x:v>Pilot now</x:v>
      </x:c>
      <x:c r="F579" s="17" t="str">
        <x:f>IF(E579="Pilot now",IF(P579&gt;=84,"P1",IF(P579&gt;=72,"P2","P3")),IF(E579="Expansion discovery",IF(Q579&gt;=88,"D1",IF(Q579&gt;=78,"D2","D3")),IF(E579="Later / requirements","L","Legacy")))</x:f>
        <x:v>P1</x:v>
      </x:c>
      <x:c r="G579" s="14" t="str"/>
      <x:c r="H579" s="14" t="str">
        <x:v>Пілот зараз — Н.15</x:v>
      </x:c>
      <x:c r="I579" s="16" t="n">
        <x:v>5</x:v>
      </x:c>
      <x:c r="J579" s="16" t="n">
        <x:v>5</x:v>
      </x:c>
      <x:c r="K579" s="16" t="n">
        <x:v>5</x:v>
      </x:c>
      <x:c r="L579" s="16" t="n">
        <x:v>1</x:v>
      </x:c>
      <x:c r="M579" s="16" t="n">
        <x:v>5</x:v>
      </x:c>
      <x:c r="N579" s="16" t="n">
        <x:v>3</x:v>
      </x:c>
      <x:c r="O579" s="16" t="n">
        <x:v>5</x:v>
      </x:c>
      <x:c r="P579" s="16" t="n">
        <x:f>IF(COUNT(I579:O579)&lt;7,"",I579*8+J579*3+K579*2+L579*2+M579*2+N579*2+O579)</x:f>
        <x:v>88</x:v>
      </x:c>
      <x:c r="Q579" s="16" t="n">
        <x:f>IF(COUNT(J579:O579)&lt;6,"",J579*5+K579*4+M579*4+L579*3+N579*2+O579*2)</x:f>
        <x:v>84</x:v>
      </x:c>
      <x:c r="R579" s="14" t="str">
        <x:v>high</x:v>
      </x:c>
      <x:c r="S579" s="14" t="str">
        <x:v>official_prozorro_award_2025_2026</x:v>
      </x:c>
      <x:c r="T579" s="14" t="str">
        <x:v>official_prozorro_api</x:v>
      </x:c>
      <x:c r="U579" s="14" t="str">
        <x:v>Не контактували</x:v>
      </x:c>
      <x:c r="V579" s="15" t="str">
        <x:v>Персоналізований free-pilot outreach по UA-2026-08-20-011768-a; попросити 1 пакет Н.14/Н.15</x:v>
      </x:c>
      <x:c r="W579" s="15" t="str">
        <x:v>Власник / виконавець; відповідальний за договір</x:v>
      </x:c>
      <x:c r="X579" s="15" t="str">
        <x:v>1 підтверджених перемог/договорів у Prozorro на 3 700 грн; 1 проєктів зі строком виконання не раніше 24.08.2026.</x:v>
      </x:c>
      <x:c r="Y579" s="15" t="str">
        <x:v>Електромонтажні та пусконалагоджувальні роботи; строк до 2026-09-15. Попросити один знеособлений пакет здачі за цим workflow.</x:v>
      </x:c>
      <x:c r="Z579" s="15" t="str">
        <x:v>https://prozorro.gov.ua/tender/UA-2026-08-20-011768-a</x:v>
      </x:c>
      <x:c r="AA579" s="14" t="str">
        <x:v>3013618459</x:v>
      </x:c>
      <x:c r="AB579" s="14" t="str">
        <x:v>2026-08-24</x:v>
      </x:c>
      <x:c r="AC579" s="14" t="str"/>
      <x:c r="AD579" s="20" t="str"/>
      <x:c r="AE579" s="14" t="str"/>
      <x:c r="AF579" s="14" t="n">
        <x:v>49</x:v>
      </x:c>
      <x:c r="AG579" s="14" t="str">
        <x:v>I3</x:v>
      </x:c>
      <x:c r="AH579" s="14" t="n">
        <x:v>1</x:v>
      </x:c>
      <x:c r="AI579" s="14" t="n">
        <x:v>1</x:v>
      </x:c>
      <x:c r="AJ579" s="18" t="n">
        <x:v>3700</x:v>
      </x:c>
      <x:c r="AK579" s="14" t="str">
        <x:v>https://prozorro.gov.ua/tender/UA-2026-08-20-011768-a</x:v>
      </x:c>
      <x:c r="AL579" s="19" t="n">
        <x:v>46254.557632337965</x:v>
      </x:c>
      <x:c r="AM579" s="19" t="n">
        <x:v>46280</x:v>
      </x:c>
      <x:c r="AN579" s="15" t="str">
        <x:v>Електромонтаж</x:v>
      </x:c>
      <x:c r="AO579" s="15" t="str">
        <x:v>not_found_in_top_search</x:v>
      </x:c>
    </x:row>
    <x:row r="580">
      <x:c r="A580" s="14" t="str">
        <x:v>W3-308</x:v>
      </x:c>
      <x:c r="B580" s="14" t="str">
        <x:v>Prozorro winners — 24.08</x:v>
      </x:c>
      <x:c r="C580" s="14" t="str">
        <x:v>ФОП "Охрімчук Людмила Володимирівна"</x:v>
      </x:c>
      <x:c r="D580" s="14" t="str">
        <x:v>Насосні станції</x:v>
      </x:c>
      <x:c r="E580" s="14" t="str">
        <x:v>Expansion discovery</x:v>
      </x:c>
      <x:c r="F580" s="17" t="str">
        <x:f>IF(E580="Pilot now",IF(P580&gt;=84,"P1",IF(P580&gt;=72,"P2","P3")),IF(E580="Expansion discovery",IF(Q580&gt;=88,"D1",IF(Q580&gt;=78,"D2","D3")),IF(E580="Later / requirements","L","Legacy")))</x:f>
        <x:v>D2</x:v>
      </x:c>
      <x:c r="G580" s="14" t="str"/>
      <x:c r="H580" s="14" t="str">
        <x:v>Discovery розширення — 2 тижні</x:v>
      </x:c>
      <x:c r="I580" s="16" t="n">
        <x:v>1</x:v>
      </x:c>
      <x:c r="J580" s="16" t="n">
        <x:v>5</x:v>
      </x:c>
      <x:c r="K580" s="16" t="n">
        <x:v>4</x:v>
      </x:c>
      <x:c r="L580" s="16" t="n">
        <x:v>1</x:v>
      </x:c>
      <x:c r="M580" s="16" t="n">
        <x:v>5</x:v>
      </x:c>
      <x:c r="N580" s="16" t="n">
        <x:v>3</x:v>
      </x:c>
      <x:c r="O580" s="16" t="n">
        <x:v>5</x:v>
      </x:c>
      <x:c r="P580" s="16" t="n">
        <x:f>IF(COUNT(I580:O580)&lt;7,"",I580*8+J580*3+K580*2+L580*2+M580*2+N580*2+O580)</x:f>
        <x:v>54</x:v>
      </x:c>
      <x:c r="Q580" s="16" t="n">
        <x:f>IF(COUNT(J580:O580)&lt;6,"",J580*5+K580*4+M580*4+L580*3+N580*2+O580*2)</x:f>
        <x:v>80</x:v>
      </x:c>
      <x:c r="R580" s="14" t="str">
        <x:v>high</x:v>
      </x:c>
      <x:c r="S580" s="14" t="str">
        <x:v>official_prozorro_award_2025_2026</x:v>
      </x:c>
      <x:c r="T580" s="14" t="str">
        <x:v>official_prozorro_api</x:v>
      </x:c>
      <x:c r="U580" s="14" t="str">
        <x:v>Не контактували</x:v>
      </x:c>
      <x:c r="V580" s="15" t="str">
        <x:v>Workflow-audit outreach по UA-2026-08-21-009995-a; попросити 1 пакет здачі та вимоги проєкту</x:v>
      </x:c>
      <x:c r="W580" s="15" t="str">
        <x:v>Власник / виконавець; відповідальний за договір</x:v>
      </x:c>
      <x:c r="X580" s="15" t="str">
        <x:v>1 підтверджених перемог/договорів у Prozorro на 3 560 грн; 1 проєктів зі строком виконання не раніше 24.08.2026.</x:v>
      </x:c>
      <x:c r="Y580" s="15" t="str">
        <x:v>Перевірка кошторисної документації учасників процедури закупівлі "Реконструкція системи електропостачання насосної станції 2-го підйому КП "Сквир-водоканал" по вул. Залізничній, 57 в м. Сквира з додатковим встановленням системи альтернативного електропостачання (сонячні панелі, інвертор і акумуляторні батареї) ДК 021:2015-71530000-2 Консультаційні послуги в галузі будівництва.; строк до 2026-08-27. Попросити один знеособлений пакет здачі за цим workflow.</x:v>
      </x:c>
      <x:c r="Z580" s="15" t="str">
        <x:v>https://prozorro.gov.ua/tender/UA-2026-08-21-009995-a</x:v>
      </x:c>
      <x:c r="AA580" s="14" t="str">
        <x:v>3165601120</x:v>
      </x:c>
      <x:c r="AB580" s="14" t="str">
        <x:v>2026-08-24</x:v>
      </x:c>
      <x:c r="AC580" s="14" t="str"/>
      <x:c r="AD580" s="20" t="str"/>
      <x:c r="AE580" s="14" t="str"/>
      <x:c r="AF580" s="14" t="n">
        <x:v>49</x:v>
      </x:c>
      <x:c r="AG580" s="14" t="str">
        <x:v>I3</x:v>
      </x:c>
      <x:c r="AH580" s="14" t="n">
        <x:v>1</x:v>
      </x:c>
      <x:c r="AI580" s="14" t="n">
        <x:v>1</x:v>
      </x:c>
      <x:c r="AJ580" s="18" t="n">
        <x:v>3560</x:v>
      </x:c>
      <x:c r="AK580" s="14" t="str">
        <x:v>https://prozorro.gov.ua/tender/UA-2026-08-21-009995-a</x:v>
      </x:c>
      <x:c r="AL580" s="19" t="n">
        <x:v>46255.510079976855</x:v>
      </x:c>
      <x:c r="AM580" s="19" t="n">
        <x:v>46261.51119212963</x:v>
      </x:c>
      <x:c r="AN580" s="15" t="str">
        <x:v>Насосні станції</x:v>
      </x:c>
      <x:c r="AO580" s="15" t="str">
        <x:v>not_found_in_top_search</x:v>
      </x:c>
    </x:row>
    <x:row r="581">
      <x:c r="A581" s="14" t="str">
        <x:v>W3-309</x:v>
      </x:c>
      <x:c r="B581" s="14" t="str">
        <x:v>Prozorro winners — 24.08</x:v>
      </x:c>
      <x:c r="C581" s="14" t="str">
        <x:v>Фізична особа-підприємець Бліщ Роман Дмитрович</x:v>
      </x:c>
      <x:c r="D581" s="14" t="str">
        <x:v>Мости / інфраструктура</x:v>
      </x:c>
      <x:c r="E581" s="14" t="str">
        <x:v>Expansion discovery</x:v>
      </x:c>
      <x:c r="F581" s="17" t="str">
        <x:f>IF(E581="Pilot now",IF(P581&gt;=84,"P1",IF(P581&gt;=72,"P2","P3")),IF(E581="Expansion discovery",IF(Q581&gt;=88,"D1",IF(Q581&gt;=78,"D2","D3")),IF(E581="Later / requirements","L","Legacy")))</x:f>
        <x:v>D2</x:v>
      </x:c>
      <x:c r="G581" s="14" t="str"/>
      <x:c r="H581" s="14" t="str">
        <x:v>Discovery розширення — 2 тижні</x:v>
      </x:c>
      <x:c r="I581" s="16" t="n">
        <x:v>1</x:v>
      </x:c>
      <x:c r="J581" s="16" t="n">
        <x:v>5</x:v>
      </x:c>
      <x:c r="K581" s="16" t="n">
        <x:v>4</x:v>
      </x:c>
      <x:c r="L581" s="16" t="n">
        <x:v>1</x:v>
      </x:c>
      <x:c r="M581" s="16" t="n">
        <x:v>5</x:v>
      </x:c>
      <x:c r="N581" s="16" t="n">
        <x:v>3</x:v>
      </x:c>
      <x:c r="O581" s="16" t="n">
        <x:v>5</x:v>
      </x:c>
      <x:c r="P581" s="16" t="n">
        <x:f>IF(COUNT(I581:O581)&lt;7,"",I581*8+J581*3+K581*2+L581*2+M581*2+N581*2+O581)</x:f>
        <x:v>54</x:v>
      </x:c>
      <x:c r="Q581" s="16" t="n">
        <x:f>IF(COUNT(J581:O581)&lt;6,"",J581*5+K581*4+M581*4+L581*3+N581*2+O581*2)</x:f>
        <x:v>80</x:v>
      </x:c>
      <x:c r="R581" s="14" t="str">
        <x:v>high</x:v>
      </x:c>
      <x:c r="S581" s="14" t="str">
        <x:v>official_prozorro_award_2025_2026</x:v>
      </x:c>
      <x:c r="T581" s="14" t="str">
        <x:v>official_prozorro_api</x:v>
      </x:c>
      <x:c r="U581" s="14" t="str">
        <x:v>Не контактували</x:v>
      </x:c>
      <x:c r="V581" s="15" t="str">
        <x:v>Workflow-audit outreach по UA-2026-08-13-011741-a; попросити 1 пакет здачі та вимоги проєкту</x:v>
      </x:c>
      <x:c r="W581" s="15" t="str">
        <x:v>Власник / виконавець; відповідальний за договір</x:v>
      </x:c>
      <x:c r="X581" s="15" t="str">
        <x:v>1 підтверджених перемог/договорів у Prozorro на 2 500 грн; 1 проєктів зі строком виконання не раніше 24.08.2026.</x:v>
      </x:c>
      <x:c r="Y581" s="15" t="str">
        <x:v>Послуги з технічного нагляду за поточним ремонтом дорожнього полотна на підходах до мосту по вул. Енергетична  в м. Шумськ Кременецького району Тернопільської області; строк до 2026-12-31. Попросити один знеособлений пакет здачі за цим workflow.</x:v>
      </x:c>
      <x:c r="Z581" s="15" t="str">
        <x:v>https://prozorro.gov.ua/tender/UA-2026-08-13-011741-a</x:v>
      </x:c>
      <x:c r="AA581" s="14" t="str">
        <x:v>2450716653</x:v>
      </x:c>
      <x:c r="AB581" s="14" t="str">
        <x:v>2026-08-24</x:v>
      </x:c>
      <x:c r="AC581" s="14" t="str"/>
      <x:c r="AD581" s="20" t="str"/>
      <x:c r="AE581" s="14" t="str"/>
      <x:c r="AF581" s="14" t="n">
        <x:v>49</x:v>
      </x:c>
      <x:c r="AG581" s="14" t="str">
        <x:v>I3</x:v>
      </x:c>
      <x:c r="AH581" s="14" t="n">
        <x:v>1</x:v>
      </x:c>
      <x:c r="AI581" s="14" t="n">
        <x:v>1</x:v>
      </x:c>
      <x:c r="AJ581" s="18" t="n">
        <x:v>2500</x:v>
      </x:c>
      <x:c r="AK581" s="14" t="str">
        <x:v>https://prozorro.gov.ua/tender/UA-2026-08-13-011741-a</x:v>
      </x:c>
      <x:c r="AL581" s="19" t="n">
        <x:v>46247.57161953704</x:v>
      </x:c>
      <x:c r="AM581" s="19" t="n">
        <x:v>46387</x:v>
      </x:c>
      <x:c r="AN581" s="15" t="str">
        <x:v>Мости / інфраструктура</x:v>
      </x:c>
      <x:c r="AO581" s="15" t="str">
        <x:v>not_found_in_top_search</x:v>
      </x:c>
    </x:row>
    <x:row r="582">
      <x:c r="A582" s="14" t="str">
        <x:v>W3-310</x:v>
      </x:c>
      <x:c r="B582" s="14" t="str">
        <x:v>Prozorro winners — 24.08</x:v>
      </x:c>
      <x:c r="C582" s="14" t="str">
        <x:v>ЯРЕМЧУК МАРІЯ АНДРІЇВНА</x:v>
      </x:c>
      <x:c r="D582" s="14" t="str">
        <x:v>HVAC / ОВіК</x:v>
      </x:c>
      <x:c r="E582" s="14" t="str">
        <x:v>Pilot now</x:v>
      </x:c>
      <x:c r="F582" s="17" t="str">
        <x:f>IF(E582="Pilot now",IF(P582&gt;=84,"P1",IF(P582&gt;=72,"P2","P3")),IF(E582="Expansion discovery",IF(Q582&gt;=88,"D1",IF(Q582&gt;=78,"D2","D3")),IF(E582="Later / requirements","L","Legacy")))</x:f>
        <x:v>P1</x:v>
      </x:c>
      <x:c r="G582" s="14" t="str"/>
      <x:c r="H582" s="14" t="str">
        <x:v>Пілот зараз — Н.14</x:v>
      </x:c>
      <x:c r="I582" s="16" t="n">
        <x:v>5</x:v>
      </x:c>
      <x:c r="J582" s="16" t="n">
        <x:v>5</x:v>
      </x:c>
      <x:c r="K582" s="16" t="n">
        <x:v>5</x:v>
      </x:c>
      <x:c r="L582" s="16" t="n">
        <x:v>1</x:v>
      </x:c>
      <x:c r="M582" s="16" t="n">
        <x:v>5</x:v>
      </x:c>
      <x:c r="N582" s="16" t="n">
        <x:v>3</x:v>
      </x:c>
      <x:c r="O582" s="16" t="n">
        <x:v>5</x:v>
      </x:c>
      <x:c r="P582" s="16" t="n">
        <x:f>IF(COUNT(I582:O582)&lt;7,"",I582*8+J582*3+K582*2+L582*2+M582*2+N582*2+O582)</x:f>
        <x:v>88</x:v>
      </x:c>
      <x:c r="Q582" s="16" t="n">
        <x:f>IF(COUNT(J582:O582)&lt;6,"",J582*5+K582*4+M582*4+L582*3+N582*2+O582*2)</x:f>
        <x:v>84</x:v>
      </x:c>
      <x:c r="R582" s="14" t="str">
        <x:v>high</x:v>
      </x:c>
      <x:c r="S582" s="14" t="str">
        <x:v>official_prozorro_award_2025_2026</x:v>
      </x:c>
      <x:c r="T582" s="14" t="str">
        <x:v>official_prozorro_api</x:v>
      </x:c>
      <x:c r="U582" s="14" t="str">
        <x:v>Не контактували</x:v>
      </x:c>
      <x:c r="V582" s="15" t="str">
        <x:v>Персоналізований free-pilot outreach по UA-2026-07-21-006404-a; попросити 1 пакет Н.14/Н.15</x:v>
      </x:c>
      <x:c r="W582" s="15" t="str">
        <x:v>Власник / виконавець; відповідальний за договір</x:v>
      </x:c>
      <x:c r="X582" s="15" t="str">
        <x:v>1 підтверджених перемог/договорів у Prozorro на 1 810 грн; 1 проєктів зі строком виконання не раніше 24.08.2026.</x:v>
      </x:c>
      <x:c r="Y582" s="15" t="str">
        <x:v>Матеріали та комплектуючі для монтажу системи водяного опалення.; строк до 2026-12-31. Попросити один знеособлений пакет здачі за цим workflow.</x:v>
      </x:c>
      <x:c r="Z582" s="15" t="str">
        <x:v>https://prozorro.gov.ua/tender/UA-2026-07-21-006404-a</x:v>
      </x:c>
      <x:c r="AA582" s="14" t="str">
        <x:v>2535503908</x:v>
      </x:c>
      <x:c r="AB582" s="14" t="str">
        <x:v>2026-08-24</x:v>
      </x:c>
      <x:c r="AC582" s="14" t="str"/>
      <x:c r="AD582" s="20" t="str"/>
      <x:c r="AE582" s="14" t="str"/>
      <x:c r="AF582" s="14" t="n">
        <x:v>49</x:v>
      </x:c>
      <x:c r="AG582" s="14" t="str">
        <x:v>I3</x:v>
      </x:c>
      <x:c r="AH582" s="14" t="n">
        <x:v>1</x:v>
      </x:c>
      <x:c r="AI582" s="14" t="n">
        <x:v>1</x:v>
      </x:c>
      <x:c r="AJ582" s="18" t="n">
        <x:v>1810</x:v>
      </x:c>
      <x:c r="AK582" s="14" t="str">
        <x:v>https://prozorro.gov.ua/tender/UA-2026-07-21-006404-a</x:v>
      </x:c>
      <x:c r="AL582" s="19" t="n">
        <x:v>46224.45935636574</x:v>
      </x:c>
      <x:c r="AM582" s="19" t="n">
        <x:v>46387</x:v>
      </x:c>
      <x:c r="AN582" s="15" t="str">
        <x:v>HVAC / ОВіК</x:v>
      </x:c>
      <x:c r="AO582" s="15" t="str">
        <x:v>not_found_in_top_search</x:v>
      </x:c>
    </x:row>
    <x:row r="583">
      <x:c r="A583" s="14" t="str">
        <x:v>W3-311</x:v>
      </x:c>
      <x:c r="B583" s="14" t="str">
        <x:v>Prozorro winners — 24.08</x:v>
      </x:c>
      <x:c r="C583" s="14" t="str">
        <x:v>ФОП Пінтеску Ірина Володимирівна</x:v>
      </x:c>
      <x:c r="D583" s="14" t="str">
        <x:v>Мости / інфраструктура</x:v>
      </x:c>
      <x:c r="E583" s="14" t="str">
        <x:v>Expansion discovery</x:v>
      </x:c>
      <x:c r="F583" s="17" t="str">
        <x:f>IF(E583="Pilot now",IF(P583&gt;=84,"P1",IF(P583&gt;=72,"P2","P3")),IF(E583="Expansion discovery",IF(Q583&gt;=88,"D1",IF(Q583&gt;=78,"D2","D3")),IF(E583="Later / requirements","L","Legacy")))</x:f>
        <x:v>D2</x:v>
      </x:c>
      <x:c r="G583" s="14" t="str"/>
      <x:c r="H583" s="14" t="str">
        <x:v>Discovery розширення — 2 тижні</x:v>
      </x:c>
      <x:c r="I583" s="16" t="n">
        <x:v>1</x:v>
      </x:c>
      <x:c r="J583" s="16" t="n">
        <x:v>5</x:v>
      </x:c>
      <x:c r="K583" s="16" t="n">
        <x:v>4</x:v>
      </x:c>
      <x:c r="L583" s="16" t="n">
        <x:v>2</x:v>
      </x:c>
      <x:c r="M583" s="16" t="n">
        <x:v>5</x:v>
      </x:c>
      <x:c r="N583" s="16" t="n">
        <x:v>3</x:v>
      </x:c>
      <x:c r="O583" s="16" t="n">
        <x:v>5</x:v>
      </x:c>
      <x:c r="P583" s="16" t="n">
        <x:f>IF(COUNT(I583:O583)&lt;7,"",I583*8+J583*3+K583*2+L583*2+M583*2+N583*2+O583)</x:f>
        <x:v>56</x:v>
      </x:c>
      <x:c r="Q583" s="16" t="n">
        <x:f>IF(COUNT(J583:O583)&lt;6,"",J583*5+K583*4+M583*4+L583*3+N583*2+O583*2)</x:f>
        <x:v>83</x:v>
      </x:c>
      <x:c r="R583" s="14" t="str">
        <x:v>high</x:v>
      </x:c>
      <x:c r="S583" s="14" t="str">
        <x:v>official_prozorro_award_2025_2026</x:v>
      </x:c>
      <x:c r="T583" s="14" t="str">
        <x:v>official_prozorro_api</x:v>
      </x:c>
      <x:c r="U583" s="14" t="str">
        <x:v>Не контактували</x:v>
      </x:c>
      <x:c r="V583" s="15" t="str">
        <x:v>Workflow-audit outreach по UA-2026-08-07-007492-a; попросити 1 пакет здачі та вимоги проєкту</x:v>
      </x:c>
      <x:c r="W583" s="15" t="str">
        <x:v>Власник / виконавець; відповідальний за договір</x:v>
      </x:c>
      <x:c r="X583" s="15" t="str">
        <x:v>1 підтверджених перемог/договорів у Prozorro на 272 400 грн; 0 проєктів зі строком виконання не раніше 24.08.2026.</x:v>
      </x:c>
      <x:c r="Y583" s="15" t="str">
        <x:v>послуги з ремонту автомобільного транспорту, а саме послуги з поточного (аварійного, позапланового) ремонту заднього мосту екскаватора-навантажувача Hyundai Н940S з запасними частинами, та матеріалами; строк до 2026-08-15. Попросити один знеособлений пакет здачі за цим workflow.</x:v>
      </x:c>
      <x:c r="Z583" s="15" t="str">
        <x:v>https://prozorro.gov.ua/tender/UA-2026-08-07-007492-a</x:v>
      </x:c>
      <x:c r="AA583" s="14" t="str">
        <x:v>3052119989</x:v>
      </x:c>
      <x:c r="AB583" s="14" t="str">
        <x:v>2026-08-24</x:v>
      </x:c>
      <x:c r="AC583" s="14" t="str"/>
      <x:c r="AD583" s="20" t="str"/>
      <x:c r="AE583" s="14" t="str"/>
      <x:c r="AF583" s="14" t="n">
        <x:v>48</x:v>
      </x:c>
      <x:c r="AG583" s="14" t="str">
        <x:v>I3</x:v>
      </x:c>
      <x:c r="AH583" s="14" t="n">
        <x:v>1</x:v>
      </x:c>
      <x:c r="AI583" s="14" t="n">
        <x:v>0</x:v>
      </x:c>
      <x:c r="AJ583" s="18" t="n">
        <x:v>272400</x:v>
      </x:c>
      <x:c r="AK583" s="14" t="str">
        <x:v>https://prozorro.gov.ua/tender/UA-2026-08-07-007492-a</x:v>
      </x:c>
      <x:c r="AL583" s="19" t="n">
        <x:v>46241.46543015046</x:v>
      </x:c>
      <x:c r="AM583" s="19" t="n">
        <x:v>46249</x:v>
      </x:c>
      <x:c r="AN583" s="15" t="str">
        <x:v>Мости / інфраструктура</x:v>
      </x:c>
      <x:c r="AO583" s="15" t="str">
        <x:v>not_found_in_top_search</x:v>
      </x:c>
    </x:row>
    <x:row r="584">
      <x:c r="A584" s="14" t="str">
        <x:v>W3-312</x:v>
      </x:c>
      <x:c r="B584" s="14" t="str">
        <x:v>Prozorro winners — 24.08</x:v>
      </x:c>
      <x:c r="C584" s="14" t="str">
        <x:v>БАРАН МИХАЙЛО МИРОНОВИЧ</x:v>
      </x:c>
      <x:c r="D584" s="14" t="str">
        <x:v>Промисловий холод</x:v>
      </x:c>
      <x:c r="E584" s="14" t="str">
        <x:v>Expansion discovery</x:v>
      </x:c>
      <x:c r="F584" s="17" t="str">
        <x:f>IF(E584="Pilot now",IF(P584&gt;=84,"P1",IF(P584&gt;=72,"P2","P3")),IF(E584="Expansion discovery",IF(Q584&gt;=88,"D1",IF(Q584&gt;=78,"D2","D3")),IF(E584="Later / requirements","L","Legacy")))</x:f>
        <x:v>D2</x:v>
      </x:c>
      <x:c r="G584" s="14" t="str"/>
      <x:c r="H584" s="14" t="str">
        <x:v>Discovery розширення — 2 тижні</x:v>
      </x:c>
      <x:c r="I584" s="16" t="n">
        <x:v>1</x:v>
      </x:c>
      <x:c r="J584" s="16" t="n">
        <x:v>5</x:v>
      </x:c>
      <x:c r="K584" s="16" t="n">
        <x:v>4</x:v>
      </x:c>
      <x:c r="L584" s="16" t="n">
        <x:v>2</x:v>
      </x:c>
      <x:c r="M584" s="16" t="n">
        <x:v>5</x:v>
      </x:c>
      <x:c r="N584" s="16" t="n">
        <x:v>3</x:v>
      </x:c>
      <x:c r="O584" s="16" t="n">
        <x:v>5</x:v>
      </x:c>
      <x:c r="P584" s="16" t="n">
        <x:f>IF(COUNT(I584:O584)&lt;7,"",I584*8+J584*3+K584*2+L584*2+M584*2+N584*2+O584)</x:f>
        <x:v>56</x:v>
      </x:c>
      <x:c r="Q584" s="16" t="n">
        <x:f>IF(COUNT(J584:O584)&lt;6,"",J584*5+K584*4+M584*4+L584*3+N584*2+O584*2)</x:f>
        <x:v>83</x:v>
      </x:c>
      <x:c r="R584" s="14" t="str">
        <x:v>high</x:v>
      </x:c>
      <x:c r="S584" s="14" t="str">
        <x:v>official_prozorro_award_2025_2026</x:v>
      </x:c>
      <x:c r="T584" s="14" t="str">
        <x:v>official_prozorro_api</x:v>
      </x:c>
      <x:c r="U584" s="14" t="str">
        <x:v>Не контактували</x:v>
      </x:c>
      <x:c r="V584" s="15" t="str">
        <x:v>Workflow-audit outreach по UA-2026-07-20-007339-a; попросити 1 пакет здачі та вимоги проєкту</x:v>
      </x:c>
      <x:c r="W584" s="15" t="str">
        <x:v>Власник / виконавець; відповідальний за договір</x:v>
      </x:c>
      <x:c r="X584" s="15" t="str">
        <x:v>1 підтверджених перемог/договорів у Prozorro на 128 160 грн; 0 проєктів зі строком виконання не раніше 24.08.2026.</x:v>
      </x:c>
      <x:c r="Y584" s="15" t="str">
        <x:v>Холодильний агрегат типу Аспера OP-MSHM026 надтихоходний, - 1 шт., випарник типу Гюнтер GDF 030.1В/24.EN150.E - 1 шт., пульт керування - 1 шт., монтаж холодильного обладнання пуско-налагоджувальні роботи - 1 послуга, монтажний комплект - 1 комплект.  ; строк до 2026-07-31. Попросити один знеособлений пакет здачі за цим workflow.</x:v>
      </x:c>
      <x:c r="Z584" s="15" t="str">
        <x:v>https://prozorro.gov.ua/tender/UA-2026-07-20-007339-a</x:v>
      </x:c>
      <x:c r="AA584" s="14" t="str">
        <x:v>3272605818</x:v>
      </x:c>
      <x:c r="AB584" s="14" t="str">
        <x:v>2026-08-24</x:v>
      </x:c>
      <x:c r="AC584" s="14" t="str"/>
      <x:c r="AD584" s="20" t="str"/>
      <x:c r="AE584" s="14" t="str"/>
      <x:c r="AF584" s="14" t="n">
        <x:v>48</x:v>
      </x:c>
      <x:c r="AG584" s="14" t="str">
        <x:v>I3</x:v>
      </x:c>
      <x:c r="AH584" s="14" t="n">
        <x:v>1</x:v>
      </x:c>
      <x:c r="AI584" s="14" t="n">
        <x:v>0</x:v>
      </x:c>
      <x:c r="AJ584" s="18" t="n">
        <x:v>128160</x:v>
      </x:c>
      <x:c r="AK584" s="14" t="str">
        <x:v>https://prozorro.gov.ua/tender/UA-2026-07-20-007339-a</x:v>
      </x:c>
      <x:c r="AL584" s="19" t="n">
        <x:v>46223.503721168985</x:v>
      </x:c>
      <x:c r="AM584" s="19" t="n">
        <x:v>46234</x:v>
      </x:c>
      <x:c r="AN584" s="15" t="str">
        <x:v>Промисловий холод</x:v>
      </x:c>
      <x:c r="AO584" s="15" t="str">
        <x:v>not_found_in_top_search</x:v>
      </x:c>
    </x:row>
    <x:row r="585">
      <x:c r="A585" s="14" t="str">
        <x:v>W3-313</x:v>
      </x:c>
      <x:c r="B585" s="14" t="str">
        <x:v>Prozorro winners — 24.08</x:v>
      </x:c>
      <x:c r="C585" s="14" t="str">
        <x:v>ТОВАРИСТВО З ОБМЕЖЕНОЮ ВІДПОВІДАЛЬНІСТЮ "ГЕОДЕЗИЧНА КОМПАНІЯ "ГЕОПРОМ"</x:v>
      </x:c>
      <x:c r="D585" s="14" t="str">
        <x:v>Водоочищення / очисні споруди</x:v>
      </x:c>
      <x:c r="E585" s="14" t="str">
        <x:v>Expansion discovery</x:v>
      </x:c>
      <x:c r="F585" s="17" t="str">
        <x:f>IF(E585="Pilot now",IF(P585&gt;=84,"P1",IF(P585&gt;=72,"P2","P3")),IF(E585="Expansion discovery",IF(Q585&gt;=88,"D1",IF(Q585&gt;=78,"D2","D3")),IF(E585="Later / requirements","L","Legacy")))</x:f>
        <x:v>D2</x:v>
      </x:c>
      <x:c r="G585" s="14" t="str"/>
      <x:c r="H585" s="14" t="str">
        <x:v>Discovery розширення — 2 тижні</x:v>
      </x:c>
      <x:c r="I585" s="16" t="n">
        <x:v>1</x:v>
      </x:c>
      <x:c r="J585" s="16" t="n">
        <x:v>5</x:v>
      </x:c>
      <x:c r="K585" s="16" t="n">
        <x:v>4</x:v>
      </x:c>
      <x:c r="L585" s="16" t="n">
        <x:v>1</x:v>
      </x:c>
      <x:c r="M585" s="16" t="n">
        <x:v>5</x:v>
      </x:c>
      <x:c r="N585" s="16" t="n">
        <x:v>5</x:v>
      </x:c>
      <x:c r="O585" s="16" t="n">
        <x:v>5</x:v>
      </x:c>
      <x:c r="P585" s="16" t="n">
        <x:f>IF(COUNT(I585:O585)&lt;7,"",I585*8+J585*3+K585*2+L585*2+M585*2+N585*2+O585)</x:f>
        <x:v>58</x:v>
      </x:c>
      <x:c r="Q585" s="16" t="n">
        <x:f>IF(COUNT(J585:O585)&lt;6,"",J585*5+K585*4+M585*4+L585*3+N585*2+O585*2)</x:f>
        <x:v>84</x:v>
      </x:c>
      <x:c r="R585" s="14" t="str">
        <x:v>high</x:v>
      </x:c>
      <x:c r="S585" s="14" t="str">
        <x:v>official_prozorro_award_2025_2026</x:v>
      </x:c>
      <x:c r="T585" s="14" t="str">
        <x:v>official_prozorro_api</x:v>
      </x:c>
      <x:c r="U585" s="14" t="str">
        <x:v>Не контактували</x:v>
      </x:c>
      <x:c r="V585" s="15" t="str">
        <x:v>Workflow-audit outreach по UA-2026-04-03-003509-a; попросити 1 пакет здачі та вимоги проєкту</x:v>
      </x:c>
      <x:c r="W585" s="15" t="str">
        <x:v>Власник / директор; керівник ПТО; відповідальний за договори</x:v>
      </x:c>
      <x:c r="X585" s="15" t="str">
        <x:v>2 підтверджених перемог/договорів у Prozorro на 89 763 грн; 2 проєктів зі строком виконання не раніше 24.08.2026.</x:v>
      </x:c>
      <x:c r="Y585" s="15" t="str">
        <x:v>Виконання інженерно-геологічних вишукувальних робіт по обє’кту: «Реконструкція каналізаційних очисних споруд та ліній по обробці мулу у м. Харків. Міські очисні споруди водовідведення №2. Комплекс «Харківводовідведення», пр. Гагаріна 354, Харків (ПК9)»; строк до 2026-12-31. Попросити один знеособлений пакет здачі за цим workflow.</x:v>
      </x:c>
      <x:c r="Z585" s="15" t="str">
        <x:v>https://prozorro.gov.ua/tender/UA-2026-04-03-003509-a</x:v>
      </x:c>
      <x:c r="AA585" s="14" t="str">
        <x:v>39747316</x:v>
      </x:c>
      <x:c r="AB585" s="14" t="str">
        <x:v>2026-08-24</x:v>
      </x:c>
      <x:c r="AC585" s="14" t="str"/>
      <x:c r="AD585" s="20" t="str"/>
      <x:c r="AE585" s="14" t="str"/>
      <x:c r="AF585" s="14" t="n">
        <x:v>48</x:v>
      </x:c>
      <x:c r="AG585" s="14" t="str">
        <x:v>I3</x:v>
      </x:c>
      <x:c r="AH585" s="14" t="n">
        <x:v>2</x:v>
      </x:c>
      <x:c r="AI585" s="14" t="n">
        <x:v>2</x:v>
      </x:c>
      <x:c r="AJ585" s="18" t="n">
        <x:v>89763</x:v>
      </x:c>
      <x:c r="AK585" s="14" t="str">
        <x:v>https://prozorro.gov.ua/tender/UA-2026-04-03-003509-a</x:v>
      </x:c>
      <x:c r="AL585" s="19" t="n">
        <x:v>46115.331812083336</x:v>
      </x:c>
      <x:c r="AM585" s="19" t="n">
        <x:v>46387</x:v>
      </x:c>
      <x:c r="AN585" s="15" t="str">
        <x:v>Водоочищення / очисні споруди</x:v>
      </x:c>
      <x:c r="AO585" s="15" t="str">
        <x:v>not_found_in_top_search</x:v>
      </x:c>
    </x:row>
    <x:row r="586">
      <x:c r="A586" s="14" t="str">
        <x:v>W3-314</x:v>
      </x:c>
      <x:c r="B586" s="14" t="str">
        <x:v>Prozorro winners — 24.08</x:v>
      </x:c>
      <x:c r="C586" s="14" t="str">
        <x:v>ФОП Городецький Володимир Володимирович</x:v>
      </x:c>
      <x:c r="D586" s="14" t="str">
        <x:v>Безпека / СКУД / CCTV</x:v>
      </x:c>
      <x:c r="E586" s="14" t="str">
        <x:v>Expansion discovery</x:v>
      </x:c>
      <x:c r="F586" s="17" t="str">
        <x:f>IF(E586="Pilot now",IF(P586&gt;=84,"P1",IF(P586&gt;=72,"P2","P3")),IF(E586="Expansion discovery",IF(Q586&gt;=88,"D1",IF(Q586&gt;=78,"D2","D3")),IF(E586="Later / requirements","L","Legacy")))</x:f>
        <x:v>D2</x:v>
      </x:c>
      <x:c r="G586" s="14" t="str"/>
      <x:c r="H586" s="14" t="str">
        <x:v>Discovery розширення — 2 тижні</x:v>
      </x:c>
      <x:c r="I586" s="16" t="n">
        <x:v>1</x:v>
      </x:c>
      <x:c r="J586" s="16" t="n">
        <x:v>5</x:v>
      </x:c>
      <x:c r="K586" s="16" t="n">
        <x:v>4</x:v>
      </x:c>
      <x:c r="L586" s="16" t="n">
        <x:v>1</x:v>
      </x:c>
      <x:c r="M586" s="16" t="n">
        <x:v>5</x:v>
      </x:c>
      <x:c r="N586" s="16" t="n">
        <x:v>3</x:v>
      </x:c>
      <x:c r="O586" s="16" t="n">
        <x:v>5</x:v>
      </x:c>
      <x:c r="P586" s="16" t="n">
        <x:f>IF(COUNT(I586:O586)&lt;7,"",I586*8+J586*3+K586*2+L586*2+M586*2+N586*2+O586)</x:f>
        <x:v>54</x:v>
      </x:c>
      <x:c r="Q586" s="16" t="n">
        <x:f>IF(COUNT(J586:O586)&lt;6,"",J586*5+K586*4+M586*4+L586*3+N586*2+O586*2)</x:f>
        <x:v>80</x:v>
      </x:c>
      <x:c r="R586" s="14" t="str">
        <x:v>high</x:v>
      </x:c>
      <x:c r="S586" s="14" t="str">
        <x:v>official_prozorro_award_2025_2026</x:v>
      </x:c>
      <x:c r="T586" s="14" t="str">
        <x:v>official_prozorro_api</x:v>
      </x:c>
      <x:c r="U586" s="14" t="str">
        <x:v>Не контактували</x:v>
      </x:c>
      <x:c r="V586" s="15" t="str">
        <x:v>Workflow-audit outreach по UA-2026-07-08-003023-a; попросити 1 пакет здачі та вимоги проєкту</x:v>
      </x:c>
      <x:c r="W586" s="15" t="str">
        <x:v>Власник / виконавець; відповідальний за договір</x:v>
      </x:c>
      <x:c r="X586" s="15" t="str">
        <x:v>2 підтверджених перемог/договорів у Prozorro на 86 418 грн; 1 проєктів зі строком виконання не раніше 24.08.2026.</x:v>
      </x:c>
      <x:c r="Y586" s="15" t="str">
        <x:v>Послуги з монтажу та налагодження системи відеоспостереження; строк до 2026-12-31. Попросити один знеособлений пакет здачі за цим workflow.</x:v>
      </x:c>
      <x:c r="Z586" s="15" t="str">
        <x:v>https://prozorro.gov.ua/tender/UA-2026-07-08-003023-a</x:v>
      </x:c>
      <x:c r="AA586" s="14" t="str">
        <x:v>3114503914</x:v>
      </x:c>
      <x:c r="AB586" s="14" t="str">
        <x:v>2026-08-24</x:v>
      </x:c>
      <x:c r="AC586" s="14" t="str"/>
      <x:c r="AD586" s="20" t="str"/>
      <x:c r="AE586" s="14" t="str"/>
      <x:c r="AF586" s="14" t="n">
        <x:v>48</x:v>
      </x:c>
      <x:c r="AG586" s="14" t="str">
        <x:v>I3</x:v>
      </x:c>
      <x:c r="AH586" s="14" t="n">
        <x:v>2</x:v>
      </x:c>
      <x:c r="AI586" s="14" t="n">
        <x:v>1</x:v>
      </x:c>
      <x:c r="AJ586" s="18" t="n">
        <x:v>86418</x:v>
      </x:c>
      <x:c r="AK586" s="14" t="str">
        <x:v>https://prozorro.gov.ua/tender/UA-2026-07-08-003023-a</x:v>
      </x:c>
      <x:c r="AL586" s="19" t="n">
        <x:v>46211.336785775464</x:v>
      </x:c>
      <x:c r="AM586" s="19" t="n">
        <x:v>46387.38082175926</x:v>
      </x:c>
      <x:c r="AN586" s="15" t="str">
        <x:v>Безпека / СКУД / CCTV</x:v>
      </x:c>
      <x:c r="AO586" s="15" t="str">
        <x:v>not_found_in_top_search</x:v>
      </x:c>
    </x:row>
    <x:row r="587">
      <x:c r="A587" s="14" t="str">
        <x:v>W3-315</x:v>
      </x:c>
      <x:c r="B587" s="14" t="str">
        <x:v>Prozorro winners — 24.08</x:v>
      </x:c>
      <x:c r="C587" s="14" t="str">
        <x:v>ПРИВАТНЕ ПІДПРИЄМСТВО "ППА-СЕРВІС"</x:v>
      </x:c>
      <x:c r="D587" s="14" t="str">
        <x:v>Безпека / СКУД / CCTV</x:v>
      </x:c>
      <x:c r="E587" s="14" t="str">
        <x:v>Expansion discovery</x:v>
      </x:c>
      <x:c r="F587" s="17" t="str">
        <x:f>IF(E587="Pilot now",IF(P587&gt;=84,"P1",IF(P587&gt;=72,"P2","P3")),IF(E587="Expansion discovery",IF(Q587&gt;=88,"D1",IF(Q587&gt;=78,"D2","D3")),IF(E587="Later / requirements","L","Legacy")))</x:f>
        <x:v>D2</x:v>
      </x:c>
      <x:c r="G587" s="14" t="str"/>
      <x:c r="H587" s="14" t="str">
        <x:v>Discovery розширення — 2 тижні</x:v>
      </x:c>
      <x:c r="I587" s="16" t="n">
        <x:v>1</x:v>
      </x:c>
      <x:c r="J587" s="16" t="n">
        <x:v>5</x:v>
      </x:c>
      <x:c r="K587" s="16" t="n">
        <x:v>4</x:v>
      </x:c>
      <x:c r="L587" s="16" t="n">
        <x:v>1</x:v>
      </x:c>
      <x:c r="M587" s="16" t="n">
        <x:v>5</x:v>
      </x:c>
      <x:c r="N587" s="16" t="n">
        <x:v>5</x:v>
      </x:c>
      <x:c r="O587" s="16" t="n">
        <x:v>5</x:v>
      </x:c>
      <x:c r="P587" s="16" t="n">
        <x:f>IF(COUNT(I587:O587)&lt;7,"",I587*8+J587*3+K587*2+L587*2+M587*2+N587*2+O587)</x:f>
        <x:v>58</x:v>
      </x:c>
      <x:c r="Q587" s="16" t="n">
        <x:f>IF(COUNT(J587:O587)&lt;6,"",J587*5+K587*4+M587*4+L587*3+N587*2+O587*2)</x:f>
        <x:v>84</x:v>
      </x:c>
      <x:c r="R587" s="14" t="str">
        <x:v>high</x:v>
      </x:c>
      <x:c r="S587" s="14" t="str">
        <x:v>official_prozorro_award_2025_2026</x:v>
      </x:c>
      <x:c r="T587" s="14" t="str">
        <x:v>official_prozorro_api</x:v>
      </x:c>
      <x:c r="U587" s="14" t="str">
        <x:v>Не контактували</x:v>
      </x:c>
      <x:c r="V587" s="15" t="str">
        <x:v>Workflow-audit outreach по UA-2026-04-08-000154-a; попросити 1 пакет здачі та вимоги проєкту</x:v>
      </x:c>
      <x:c r="W587" s="15" t="str">
        <x:v>Власник / директор; керівник ПТО; відповідальний за договори</x:v>
      </x:c>
      <x:c r="X587" s="15" t="str">
        <x:v>2 підтверджених перемог/договорів у Prozorro на 72 472 грн; 2 проєктів зі строком виконання не раніше 24.08.2026.</x:v>
      </x:c>
      <x:c r="Y587" s="15" t="str">
        <x:v>Послуги з монтажу та налаштування перепускної системи, а саме системи домофонного зв'язку та контролю доступу до неї; строк до 2026-12-31. Попросити один знеособлений пакет здачі за цим workflow.</x:v>
      </x:c>
      <x:c r="Z587" s="15" t="str">
        <x:v>https://prozorro.gov.ua/tender/UA-2026-04-08-000154-a</x:v>
      </x:c>
      <x:c r="AA587" s="14" t="str">
        <x:v>31188679</x:v>
      </x:c>
      <x:c r="AB587" s="14" t="str">
        <x:v>2026-08-24</x:v>
      </x:c>
      <x:c r="AC587" s="14" t="str"/>
      <x:c r="AD587" s="20" t="str"/>
      <x:c r="AE587" s="14" t="str"/>
      <x:c r="AF587" s="14" t="n">
        <x:v>48</x:v>
      </x:c>
      <x:c r="AG587" s="14" t="str">
        <x:v>I3</x:v>
      </x:c>
      <x:c r="AH587" s="14" t="n">
        <x:v>2</x:v>
      </x:c>
      <x:c r="AI587" s="14" t="n">
        <x:v>2</x:v>
      </x:c>
      <x:c r="AJ587" s="18" t="n">
        <x:v>72472</x:v>
      </x:c>
      <x:c r="AK587" s="14" t="str">
        <x:v>https://prozorro.gov.ua/tender/UA-2026-04-08-000154-a</x:v>
      </x:c>
      <x:c r="AL587" s="19" t="n">
        <x:v>46120.22883804398</x:v>
      </x:c>
      <x:c r="AM587" s="19" t="n">
        <x:v>46387</x:v>
      </x:c>
      <x:c r="AN587" s="15" t="str">
        <x:v>Безпека / СКУД / CCTV</x:v>
      </x:c>
      <x:c r="AO587" s="15" t="str">
        <x:v>not_found_in_top_search</x:v>
      </x:c>
    </x:row>
    <x:row r="588">
      <x:c r="A588" s="14" t="str">
        <x:v>W3-316</x:v>
      </x:c>
      <x:c r="B588" s="14" t="str">
        <x:v>Prozorro winners — 24.08</x:v>
      </x:c>
      <x:c r="C588" s="14" t="str">
        <x:v>Фізична особа-підприємець Петрук Олександр Володимирович</x:v>
      </x:c>
      <x:c r="D588" s="14" t="str">
        <x:v>Безпека / СКУД / CCTV</x:v>
      </x:c>
      <x:c r="E588" s="14" t="str">
        <x:v>Expansion discovery</x:v>
      </x:c>
      <x:c r="F588" s="17" t="str">
        <x:f>IF(E588="Pilot now",IF(P588&gt;=84,"P1",IF(P588&gt;=72,"P2","P3")),IF(E588="Expansion discovery",IF(Q588&gt;=88,"D1",IF(Q588&gt;=78,"D2","D3")),IF(E588="Later / requirements","L","Legacy")))</x:f>
        <x:v>D2</x:v>
      </x:c>
      <x:c r="G588" s="14" t="str"/>
      <x:c r="H588" s="14" t="str">
        <x:v>Discovery розширення — 2 тижні</x:v>
      </x:c>
      <x:c r="I588" s="16" t="n">
        <x:v>1</x:v>
      </x:c>
      <x:c r="J588" s="16" t="n">
        <x:v>5</x:v>
      </x:c>
      <x:c r="K588" s="16" t="n">
        <x:v>4</x:v>
      </x:c>
      <x:c r="L588" s="16" t="n">
        <x:v>1</x:v>
      </x:c>
      <x:c r="M588" s="16" t="n">
        <x:v>5</x:v>
      </x:c>
      <x:c r="N588" s="16" t="n">
        <x:v>3</x:v>
      </x:c>
      <x:c r="O588" s="16" t="n">
        <x:v>5</x:v>
      </x:c>
      <x:c r="P588" s="16" t="n">
        <x:f>IF(COUNT(I588:O588)&lt;7,"",I588*8+J588*3+K588*2+L588*2+M588*2+N588*2+O588)</x:f>
        <x:v>54</x:v>
      </x:c>
      <x:c r="Q588" s="16" t="n">
        <x:f>IF(COUNT(J588:O588)&lt;6,"",J588*5+K588*4+M588*4+L588*3+N588*2+O588*2)</x:f>
        <x:v>80</x:v>
      </x:c>
      <x:c r="R588" s="14" t="str">
        <x:v>high</x:v>
      </x:c>
      <x:c r="S588" s="14" t="str">
        <x:v>official_prozorro_award_2025_2026</x:v>
      </x:c>
      <x:c r="T588" s="14" t="str">
        <x:v>official_prozorro_api</x:v>
      </x:c>
      <x:c r="U588" s="14" t="str">
        <x:v>Не контактували</x:v>
      </x:c>
      <x:c r="V588" s="15" t="str">
        <x:v>Workflow-audit outreach по UA-2026-06-01-010801-a; попросити 1 пакет здачі та вимоги проєкту</x:v>
      </x:c>
      <x:c r="W588" s="15" t="str">
        <x:v>Власник / виконавець; відповідальний за договір</x:v>
      </x:c>
      <x:c r="X588" s="15" t="str">
        <x:v>2 підтверджених перемог/договорів у Prozorro на 28 866 грн; 1 проєктів зі строком виконання не раніше 24.08.2026.</x:v>
      </x:c>
      <x:c r="Y588" s="15" t="str">
        <x:v>Послуги з монтажу системи відеоспостереження; строк до 2026-06-30. Попросити один знеособлений пакет здачі за цим workflow.</x:v>
      </x:c>
      <x:c r="Z588" s="15" t="str">
        <x:v>https://prozorro.gov.ua/tender/UA-2026-06-01-010801-a</x:v>
      </x:c>
      <x:c r="AA588" s="14" t="str">
        <x:v>3283004214</x:v>
      </x:c>
      <x:c r="AB588" s="14" t="str">
        <x:v>2026-08-24</x:v>
      </x:c>
      <x:c r="AC588" s="14" t="str"/>
      <x:c r="AD588" s="20" t="str"/>
      <x:c r="AE588" s="14" t="str"/>
      <x:c r="AF588" s="14" t="n">
        <x:v>48</x:v>
      </x:c>
      <x:c r="AG588" s="14" t="str">
        <x:v>I3</x:v>
      </x:c>
      <x:c r="AH588" s="14" t="n">
        <x:v>2</x:v>
      </x:c>
      <x:c r="AI588" s="14" t="n">
        <x:v>1</x:v>
      </x:c>
      <x:c r="AJ588" s="18" t="n">
        <x:v>28866</x:v>
      </x:c>
      <x:c r="AK588" s="14" t="str">
        <x:v>https://prozorro.gov.ua/tender/UA-2026-06-01-010801-a</x:v>
      </x:c>
      <x:c r="AL588" s="19" t="n">
        <x:v>46174.57358927083</x:v>
      </x:c>
      <x:c r="AM588" s="19" t="n">
        <x:v>46203</x:v>
      </x:c>
      <x:c r="AN588" s="15" t="str">
        <x:v>Безпека / СКУД / CCTV</x:v>
      </x:c>
      <x:c r="AO588" s="15" t="str">
        <x:v>not_found_in_top_search</x:v>
      </x:c>
    </x:row>
    <x:row r="589">
      <x:c r="A589" s="14" t="str">
        <x:v>W3-317</x:v>
      </x:c>
      <x:c r="B589" s="14" t="str">
        <x:v>Prozorro winners — 24.08</x:v>
      </x:c>
      <x:c r="C589" s="14" t="str">
        <x:v>МОСТОВЕНКО ІГОР ВОЛОДИМИРОВИЧ</x:v>
      </x:c>
      <x:c r="D589" s="14" t="str">
        <x:v>Електромонтаж</x:v>
      </x:c>
      <x:c r="E589" s="14" t="str">
        <x:v>Pilot now</x:v>
      </x:c>
      <x:c r="F589" s="17" t="str">
        <x:f>IF(E589="Pilot now",IF(P589&gt;=84,"P1",IF(P589&gt;=72,"P2","P3")),IF(E589="Expansion discovery",IF(Q589&gt;=88,"D1",IF(Q589&gt;=78,"D2","D3")),IF(E589="Later / requirements","L","Legacy")))</x:f>
        <x:v>P1</x:v>
      </x:c>
      <x:c r="G589" s="14" t="str"/>
      <x:c r="H589" s="14" t="str">
        <x:v>Пілот зараз — Н.15</x:v>
      </x:c>
      <x:c r="I589" s="16" t="n">
        <x:v>5</x:v>
      </x:c>
      <x:c r="J589" s="16" t="n">
        <x:v>5</x:v>
      </x:c>
      <x:c r="K589" s="16" t="n">
        <x:v>5</x:v>
      </x:c>
      <x:c r="L589" s="16" t="n">
        <x:v>1</x:v>
      </x:c>
      <x:c r="M589" s="16" t="n">
        <x:v>5</x:v>
      </x:c>
      <x:c r="N589" s="16" t="n">
        <x:v>3</x:v>
      </x:c>
      <x:c r="O589" s="16" t="n">
        <x:v>5</x:v>
      </x:c>
      <x:c r="P589" s="16" t="n">
        <x:f>IF(COUNT(I589:O589)&lt;7,"",I589*8+J589*3+K589*2+L589*2+M589*2+N589*2+O589)</x:f>
        <x:v>88</x:v>
      </x:c>
      <x:c r="Q589" s="16" t="n">
        <x:f>IF(COUNT(J589:O589)&lt;6,"",J589*5+K589*4+M589*4+L589*3+N589*2+O589*2)</x:f>
        <x:v>84</x:v>
      </x:c>
      <x:c r="R589" s="14" t="str">
        <x:v>high</x:v>
      </x:c>
      <x:c r="S589" s="14" t="str">
        <x:v>official_prozorro_award_2025_2026</x:v>
      </x:c>
      <x:c r="T589" s="14" t="str">
        <x:v>official_prozorro_api</x:v>
      </x:c>
      <x:c r="U589" s="14" t="str">
        <x:v>Не контактували</x:v>
      </x:c>
      <x:c r="V589" s="15" t="str">
        <x:v>Персоналізований free-pilot outreach по UA-2026-07-08-007220-a; попросити 1 пакет Н.14/Н.15</x:v>
      </x:c>
      <x:c r="W589" s="15" t="str">
        <x:v>Власник / виконавець; відповідальний за договір</x:v>
      </x:c>
      <x:c r="X589" s="15" t="str">
        <x:v>2 підтверджених перемог/договорів у Prozorro на 5 000 грн; 1 проєктів зі строком виконання не раніше 24.08.2026.</x:v>
      </x:c>
      <x:c r="Y589" s="15" t="str">
        <x:v>Послуги з технічного обслуговування та утримання в належному стані внутрішніх та зовнішніх електромереж (Електровимірювальні роботи: вимірювання опору розтікання на основних заземлювачах і заземленнях магістралей і устаткування; перевірка ізоляції кабелів та проводів; перевірка повного опору петлі фаза-нуль); строк до 2026-12-31. Попросити один знеособлений пакет здачі за цим workflow.</x:v>
      </x:c>
      <x:c r="Z589" s="15" t="str">
        <x:v>https://prozorro.gov.ua/tender/UA-2026-07-08-007220-a</x:v>
      </x:c>
      <x:c r="AA589" s="14" t="str">
        <x:v>2925317359</x:v>
      </x:c>
      <x:c r="AB589" s="14" t="str">
        <x:v>2026-08-24</x:v>
      </x:c>
      <x:c r="AC589" s="14" t="str"/>
      <x:c r="AD589" s="20" t="str"/>
      <x:c r="AE589" s="14" t="str"/>
      <x:c r="AF589" s="14" t="n">
        <x:v>48</x:v>
      </x:c>
      <x:c r="AG589" s="14" t="str">
        <x:v>I3</x:v>
      </x:c>
      <x:c r="AH589" s="14" t="n">
        <x:v>2</x:v>
      </x:c>
      <x:c r="AI589" s="14" t="n">
        <x:v>1</x:v>
      </x:c>
      <x:c r="AJ589" s="18" t="n">
        <x:v>5000</x:v>
      </x:c>
      <x:c r="AK589" s="14" t="str">
        <x:v>https://prozorro.gov.ua/tender/UA-2026-07-08-007220-a</x:v>
      </x:c>
      <x:c r="AL589" s="19" t="n">
        <x:v>46211.47979754629</x:v>
      </x:c>
      <x:c r="AM589" s="19" t="n">
        <x:v>46387</x:v>
      </x:c>
      <x:c r="AN589" s="15" t="str">
        <x:v>Електромонтаж</x:v>
      </x:c>
      <x:c r="AO589" s="15" t="str">
        <x:v>not_found_in_top_search</x:v>
      </x:c>
    </x:row>
    <x:row r="590">
      <x:c r="A590" s="14" t="str">
        <x:v>W3-318</x:v>
      </x:c>
      <x:c r="B590" s="14" t="str">
        <x:v>Prozorro winners — 24.08</x:v>
      </x:c>
      <x:c r="C590" s="14" t="str">
        <x:v>Фізична особа - підприємець Гумен Ігор Ігорович</x:v>
      </x:c>
      <x:c r="D590" s="14" t="str">
        <x:v>Безпека / СКУД / CCTV</x:v>
      </x:c>
      <x:c r="E590" s="14" t="str">
        <x:v>Expansion discovery</x:v>
      </x:c>
      <x:c r="F590" s="17" t="str">
        <x:f>IF(E590="Pilot now",IF(P590&gt;=84,"P1",IF(P590&gt;=72,"P2","P3")),IF(E590="Expansion discovery",IF(Q590&gt;=88,"D1",IF(Q590&gt;=78,"D2","D3")),IF(E590="Later / requirements","L","Legacy")))</x:f>
        <x:v>D2</x:v>
      </x:c>
      <x:c r="G590" s="14" t="str"/>
      <x:c r="H590" s="14" t="str">
        <x:v>Discovery розширення — 2 тижні</x:v>
      </x:c>
      <x:c r="I590" s="16" t="n">
        <x:v>1</x:v>
      </x:c>
      <x:c r="J590" s="16" t="n">
        <x:v>5</x:v>
      </x:c>
      <x:c r="K590" s="16" t="n">
        <x:v>4</x:v>
      </x:c>
      <x:c r="L590" s="16" t="n">
        <x:v>1</x:v>
      </x:c>
      <x:c r="M590" s="16" t="n">
        <x:v>5</x:v>
      </x:c>
      <x:c r="N590" s="16" t="n">
        <x:v>3</x:v>
      </x:c>
      <x:c r="O590" s="16" t="n">
        <x:v>5</x:v>
      </x:c>
      <x:c r="P590" s="16" t="n">
        <x:f>IF(COUNT(I590:O590)&lt;7,"",I590*8+J590*3+K590*2+L590*2+M590*2+N590*2+O590)</x:f>
        <x:v>54</x:v>
      </x:c>
      <x:c r="Q590" s="16" t="n">
        <x:f>IF(COUNT(J590:O590)&lt;6,"",J590*5+K590*4+M590*4+L590*3+N590*2+O590*2)</x:f>
        <x:v>80</x:v>
      </x:c>
      <x:c r="R590" s="14" t="str">
        <x:v>high</x:v>
      </x:c>
      <x:c r="S590" s="14" t="str">
        <x:v>official_prozorro_award_2025_2026</x:v>
      </x:c>
      <x:c r="T590" s="14" t="str">
        <x:v>official_prozorro_api</x:v>
      </x:c>
      <x:c r="U590" s="14" t="str">
        <x:v>Не контактували</x:v>
      </x:c>
      <x:c r="V590" s="15" t="str">
        <x:v>Workflow-audit outreach по UA-2026-04-27-008025-a; попросити 1 пакет здачі та вимоги проєкту</x:v>
      </x:c>
      <x:c r="W590" s="15" t="str">
        <x:v>Власник / виконавець; відповідальний за договір</x:v>
      </x:c>
      <x:c r="X590" s="15" t="str">
        <x:v>3 підтверджених перемог/договорів у Prozorro на 2 130 грн; 0 проєктів зі строком виконання не раніше 24.08.2026.</x:v>
      </x:c>
      <x:c r="Y590" s="15" t="str">
        <x:v>Розетка "Luxel" для монтажу системи контролю доступу (домофонної системи) у ЗДО №75 Львівської міської ради (ДК 021:2015:31220000-4 - Елементи електричних схем); строк до 2026-07-30. Попросити один знеособлений пакет здачі за цим workflow.</x:v>
      </x:c>
      <x:c r="Z590" s="15" t="str">
        <x:v>https://prozorro.gov.ua/tender/UA-2026-04-27-008025-a</x:v>
      </x:c>
      <x:c r="AA590" s="14" t="str">
        <x:v>3346402459</x:v>
      </x:c>
      <x:c r="AB590" s="14" t="str">
        <x:v>2026-08-24</x:v>
      </x:c>
      <x:c r="AC590" s="14" t="str"/>
      <x:c r="AD590" s="20" t="str"/>
      <x:c r="AE590" s="14" t="str"/>
      <x:c r="AF590" s="14" t="n">
        <x:v>48</x:v>
      </x:c>
      <x:c r="AG590" s="14" t="str">
        <x:v>I3</x:v>
      </x:c>
      <x:c r="AH590" s="14" t="n">
        <x:v>3</x:v>
      </x:c>
      <x:c r="AI590" s="14" t="n">
        <x:v>0</x:v>
      </x:c>
      <x:c r="AJ590" s="18" t="n">
        <x:v>2130</x:v>
      </x:c>
      <x:c r="AK590" s="14" t="str">
        <x:v>https://prozorro.gov.ua/tender/UA-2026-04-27-008025-a</x:v>
      </x:c>
      <x:c r="AL590" s="19" t="n">
        <x:v>46139.473454189814</x:v>
      </x:c>
      <x:c r="AM590" s="19" t="n">
        <x:v>46233</x:v>
      </x:c>
      <x:c r="AN590" s="15" t="str">
        <x:v>Безпека / СКУД / CCTV</x:v>
      </x:c>
      <x:c r="AO590" s="15" t="str">
        <x:v>not_found_in_top_search</x:v>
      </x:c>
    </x:row>
    <x:row r="591">
      <x:c r="A591" s="14" t="str">
        <x:v>W3-319</x:v>
      </x:c>
      <x:c r="B591" s="14" t="str">
        <x:v>Prozorro winners — 24.08</x:v>
      </x:c>
      <x:c r="C591" s="14" t="str">
        <x:v>БРОДОВСЬКИЙ АНДРІЙ ПЕТРОВИЧ</x:v>
      </x:c>
      <x:c r="D591" s="14" t="str">
        <x:v>Газопостачання / котельні</x:v>
      </x:c>
      <x:c r="E591" s="14" t="str">
        <x:v>Expansion discovery</x:v>
      </x:c>
      <x:c r="F591" s="17" t="str">
        <x:f>IF(E591="Pilot now",IF(P591&gt;=84,"P1",IF(P591&gt;=72,"P2","P3")),IF(E591="Expansion discovery",IF(Q591&gt;=88,"D1",IF(Q591&gt;=78,"D2","D3")),IF(E591="Later / requirements","L","Legacy")))</x:f>
        <x:v>D1</x:v>
      </x:c>
      <x:c r="G591" s="14" t="str"/>
      <x:c r="H591" s="14" t="str">
        <x:v>Discovery розширення — 2 тижні</x:v>
      </x:c>
      <x:c r="I591" s="16" t="n">
        <x:v>1</x:v>
      </x:c>
      <x:c r="J591" s="16" t="n">
        <x:v>5</x:v>
      </x:c>
      <x:c r="K591" s="16" t="n">
        <x:v>4</x:v>
      </x:c>
      <x:c r="L591" s="16" t="n">
        <x:v>4</x:v>
      </x:c>
      <x:c r="M591" s="16" t="n">
        <x:v>5</x:v>
      </x:c>
      <x:c r="N591" s="16" t="n">
        <x:v>3</x:v>
      </x:c>
      <x:c r="O591" s="16" t="n">
        <x:v>5</x:v>
      </x:c>
      <x:c r="P591" s="16" t="n">
        <x:f>IF(COUNT(I591:O591)&lt;7,"",I591*8+J591*3+K591*2+L591*2+M591*2+N591*2+O591)</x:f>
        <x:v>60</x:v>
      </x:c>
      <x:c r="Q591" s="16" t="n">
        <x:f>IF(COUNT(J591:O591)&lt;6,"",J591*5+K591*4+M591*4+L591*3+N591*2+O591*2)</x:f>
        <x:v>89</x:v>
      </x:c>
      <x:c r="R591" s="14" t="str">
        <x:v>high</x:v>
      </x:c>
      <x:c r="S591" s="14" t="str">
        <x:v>official_prozorro_award_2025_2026</x:v>
      </x:c>
      <x:c r="T591" s="14" t="str">
        <x:v>official_prozorro_api</x:v>
      </x:c>
      <x:c r="U591" s="14" t="str">
        <x:v>Не контактували</x:v>
      </x:c>
      <x:c r="V591" s="15" t="str">
        <x:v>Workflow-audit outreach по UA-2026-04-22-013301-a; попросити 1 пакет здачі та вимоги проєкту</x:v>
      </x:c>
      <x:c r="W591" s="15" t="str">
        <x:v>Власник / виконавець; відповідальний за договір</x:v>
      </x:c>
      <x:c r="X591" s="15" t="str">
        <x:v>1 підтверджених перемог/договорів у Prozorro на 2 552 942 грн; 1 проєктів зі строком виконання не раніше 24.08.2026.</x:v>
      </x:c>
      <x:c r="Y591" s="15" t="str">
        <x:v>ДК 021:2015-45251000-1 Будівництво електростанцій і теплових станцій. Нове будівництво модульної  транспортабельної котельні в м.Харкові за адресою: **** (резервного живлення). Зворотна засипка фундаменту та монтаж ферми
; строк до 2026-08-31. Попросити один знеособлений пакет здачі за цим workflow.</x:v>
      </x:c>
      <x:c r="Z591" s="15" t="str">
        <x:v>https://prozorro.gov.ua/tender/UA-2026-04-22-013301-a</x:v>
      </x:c>
      <x:c r="AA591" s="14" t="str">
        <x:v>3223905592</x:v>
      </x:c>
      <x:c r="AB591" s="14" t="str">
        <x:v>2026-08-24</x:v>
      </x:c>
      <x:c r="AC591" s="14" t="str"/>
      <x:c r="AD591" s="20" t="str"/>
      <x:c r="AE591" s="14" t="str"/>
      <x:c r="AF591" s="14" t="n">
        <x:v>47</x:v>
      </x:c>
      <x:c r="AG591" s="14" t="str">
        <x:v>I3</x:v>
      </x:c>
      <x:c r="AH591" s="14" t="n">
        <x:v>1</x:v>
      </x:c>
      <x:c r="AI591" s="14" t="n">
        <x:v>1</x:v>
      </x:c>
      <x:c r="AJ591" s="18" t="n">
        <x:v>2552941.97</x:v>
      </x:c>
      <x:c r="AK591" s="14" t="str">
        <x:v>https://prozorro.gov.ua/tender/UA-2026-04-22-013301-a</x:v>
      </x:c>
      <x:c r="AL591" s="19" t="n">
        <x:v>46134.54516891204</x:v>
      </x:c>
      <x:c r="AM591" s="19" t="n">
        <x:v>46265</x:v>
      </x:c>
      <x:c r="AN591" s="15" t="str">
        <x:v>Газопостачання / котельні</x:v>
      </x:c>
      <x:c r="AO591" s="15" t="str">
        <x:v>not_found_in_top_search</x:v>
      </x:c>
    </x:row>
    <x:row r="592">
      <x:c r="A592" s="14" t="str">
        <x:v>W3-320</x:v>
      </x:c>
      <x:c r="B592" s="14" t="str">
        <x:v>Prozorro winners — 24.08</x:v>
      </x:c>
      <x:c r="C592" s="14" t="str">
        <x:v>ФОП Димидюк Олександр Миколайович</x:v>
      </x:c>
      <x:c r="D592" s="14" t="str">
        <x:v>Промисловий холод</x:v>
      </x:c>
      <x:c r="E592" s="14" t="str">
        <x:v>Expansion discovery</x:v>
      </x:c>
      <x:c r="F592" s="17" t="str">
        <x:f>IF(E592="Pilot now",IF(P592&gt;=84,"P1",IF(P592&gt;=72,"P2","P3")),IF(E592="Expansion discovery",IF(Q592&gt;=88,"D1",IF(Q592&gt;=78,"D2","D3")),IF(E592="Later / requirements","L","Legacy")))</x:f>
        <x:v>D1</x:v>
      </x:c>
      <x:c r="G592" s="14" t="str"/>
      <x:c r="H592" s="14" t="str">
        <x:v>Discovery розширення — 2 тижні</x:v>
      </x:c>
      <x:c r="I592" s="16" t="n">
        <x:v>1</x:v>
      </x:c>
      <x:c r="J592" s="16" t="n">
        <x:v>5</x:v>
      </x:c>
      <x:c r="K592" s="16" t="n">
        <x:v>4</x:v>
      </x:c>
      <x:c r="L592" s="16" t="n">
        <x:v>4</x:v>
      </x:c>
      <x:c r="M592" s="16" t="n">
        <x:v>5</x:v>
      </x:c>
      <x:c r="N592" s="16" t="n">
        <x:v>3</x:v>
      </x:c>
      <x:c r="O592" s="16" t="n">
        <x:v>5</x:v>
      </x:c>
      <x:c r="P592" s="16" t="n">
        <x:f>IF(COUNT(I592:O592)&lt;7,"",I592*8+J592*3+K592*2+L592*2+M592*2+N592*2+O592)</x:f>
        <x:v>60</x:v>
      </x:c>
      <x:c r="Q592" s="16" t="n">
        <x:f>IF(COUNT(J592:O592)&lt;6,"",J592*5+K592*4+M592*4+L592*3+N592*2+O592*2)</x:f>
        <x:v>89</x:v>
      </x:c>
      <x:c r="R592" s="14" t="str">
        <x:v>high</x:v>
      </x:c>
      <x:c r="S592" s="14" t="str">
        <x:v>official_prozorro_award_2025_2026</x:v>
      </x:c>
      <x:c r="T592" s="14" t="str">
        <x:v>official_prozorro_api</x:v>
      </x:c>
      <x:c r="U592" s="14" t="str">
        <x:v>Не контактували</x:v>
      </x:c>
      <x:c r="V592" s="15" t="str">
        <x:v>Workflow-audit outreach по UA-2026-04-05-000075-a; попросити 1 пакет здачі та вимоги проєкту</x:v>
      </x:c>
      <x:c r="W592" s="15" t="str">
        <x:v>Власник / виконавець; відповідальний за договір</x:v>
      </x:c>
      <x:c r="X592" s="15" t="str">
        <x:v>2 підтверджених перемог/договорів у Prozorro на 2 450 000 грн; 0 проєктів зі строком виконання не раніше 24.08.2026.</x:v>
      </x:c>
      <x:c r="Y592" s="15" t="str">
        <x:v>Послуги з виготовлення та встановлення холодильного обладнання в існуючому підвальному приміщенні; строк до 2026-07-01. Попросити один знеособлений пакет здачі за цим workflow.</x:v>
      </x:c>
      <x:c r="Z592" s="15" t="str">
        <x:v>https://prozorro.gov.ua/tender/UA-2026-04-05-000075-a</x:v>
      </x:c>
      <x:c r="AA592" s="14" t="str">
        <x:v>3218015659</x:v>
      </x:c>
      <x:c r="AB592" s="14" t="str">
        <x:v>2026-08-24</x:v>
      </x:c>
      <x:c r="AC592" s="14" t="str"/>
      <x:c r="AD592" s="20" t="str"/>
      <x:c r="AE592" s="14" t="str"/>
      <x:c r="AF592" s="14" t="n">
        <x:v>47</x:v>
      </x:c>
      <x:c r="AG592" s="14" t="str">
        <x:v>I3</x:v>
      </x:c>
      <x:c r="AH592" s="14" t="n">
        <x:v>2</x:v>
      </x:c>
      <x:c r="AI592" s="14" t="n">
        <x:v>0</x:v>
      </x:c>
      <x:c r="AJ592" s="18" t="n">
        <x:v>2450000</x:v>
      </x:c>
      <x:c r="AK592" s="14" t="str">
        <x:v>https://prozorro.gov.ua/tender/UA-2026-04-05-000075-a</x:v>
      </x:c>
      <x:c r="AL592" s="19" t="n">
        <x:v>46132.21822082176</x:v>
      </x:c>
      <x:c r="AM592" s="19" t="n">
        <x:v>46204.32021990741</x:v>
      </x:c>
      <x:c r="AN592" s="15" t="str">
        <x:v>Промисловий холод</x:v>
      </x:c>
      <x:c r="AO592" s="15" t="str">
        <x:v>not_found_in_top_search</x:v>
      </x:c>
    </x:row>
    <x:row r="593">
      <x:c r="A593" s="14" t="str">
        <x:v>W3-321</x:v>
      </x:c>
      <x:c r="B593" s="14" t="str">
        <x:v>Prozorro winners — 24.08</x:v>
      </x:c>
      <x:c r="C593" s="14" t="str">
        <x:v>ФІЗИЧНА ОСОБА-ПІДПРИЄМЕЦЬ  ВАРИВОД СВІТЛАНАОЛЕКСІЇВНА </x:v>
      </x:c>
      <x:c r="D593" s="14" t="str">
        <x:v>Резервне живлення</x:v>
      </x:c>
      <x:c r="E593" s="14" t="str">
        <x:v>Expansion discovery</x:v>
      </x:c>
      <x:c r="F593" s="17" t="str">
        <x:f>IF(E593="Pilot now",IF(P593&gt;=84,"P1",IF(P593&gt;=72,"P2","P3")),IF(E593="Expansion discovery",IF(Q593&gt;=88,"D1",IF(Q593&gt;=78,"D2","D3")),IF(E593="Later / requirements","L","Legacy")))</x:f>
        <x:v>D2</x:v>
      </x:c>
      <x:c r="G593" s="14" t="str"/>
      <x:c r="H593" s="14" t="str">
        <x:v>Discovery розширення — 2 тижні</x:v>
      </x:c>
      <x:c r="I593" s="16" t="n">
        <x:v>1</x:v>
      </x:c>
      <x:c r="J593" s="16" t="n">
        <x:v>5</x:v>
      </x:c>
      <x:c r="K593" s="16" t="n">
        <x:v>4</x:v>
      </x:c>
      <x:c r="L593" s="16" t="n">
        <x:v>2</x:v>
      </x:c>
      <x:c r="M593" s="16" t="n">
        <x:v>5</x:v>
      </x:c>
      <x:c r="N593" s="16" t="n">
        <x:v>3</x:v>
      </x:c>
      <x:c r="O593" s="16" t="n">
        <x:v>5</x:v>
      </x:c>
      <x:c r="P593" s="16" t="n">
        <x:f>IF(COUNT(I593:O593)&lt;7,"",I593*8+J593*3+K593*2+L593*2+M593*2+N593*2+O593)</x:f>
        <x:v>56</x:v>
      </x:c>
      <x:c r="Q593" s="16" t="n">
        <x:f>IF(COUNT(J593:O593)&lt;6,"",J593*5+K593*4+M593*4+L593*3+N593*2+O593*2)</x:f>
        <x:v>83</x:v>
      </x:c>
      <x:c r="R593" s="14" t="str">
        <x:v>high</x:v>
      </x:c>
      <x:c r="S593" s="14" t="str">
        <x:v>official_prozorro_award_2025_2026</x:v>
      </x:c>
      <x:c r="T593" s="14" t="str">
        <x:v>official_prozorro_api</x:v>
      </x:c>
      <x:c r="U593" s="14" t="str">
        <x:v>Не контактували</x:v>
      </x:c>
      <x:c r="V593" s="15" t="str">
        <x:v>Workflow-audit outreach по UA-2026-06-29-003504-a; попросити 1 пакет здачі та вимоги проєкту</x:v>
      </x:c>
      <x:c r="W593" s="15" t="str">
        <x:v>Власник / виконавець; відповідальний за договір</x:v>
      </x:c>
      <x:c r="X593" s="15" t="str">
        <x:v>1 підтверджених перемог/договорів у Prozorro на 400 000 грн; 1 проєктів зі строком виконання не раніше 24.08.2026.</x:v>
      </x:c>
      <x:c r="Y593" s="15" t="str">
        <x:v>«Придбання та встановлення, монтаж та пусконаладка на місці безпосередньої експлуатації (Смілянський міський будинок культури за адресою: вул.Соборна, буд. 100 м.Сміла, Смілянської територіальної громади, Черкаського району, Черкаської області) комплекту  безперебійної системи живлення у складі: гібридний інвертор /3- фазний, з чистою синусоїдою /, акумуляторні батареї, кабель живлення акамулятора, негативний кабель живлення акамулятора, кабель КГНВ, автоматичний вимикач,  перемикач навантаження , щит розподільчий або «еквівалент»  ( код ДК 021:2015 (CPV):   31150000-2 Баласти для розрядних ламп чи трубок );
; строк до 2026-12-31. Попросити один знеособлений пакет здачі за цим workflow.</x:v>
      </x:c>
      <x:c r="Z593" s="15" t="str">
        <x:v>https://prozorro.gov.ua/tender/UA-2026-06-29-003504-a</x:v>
      </x:c>
      <x:c r="AA593" s="14" t="str">
        <x:v>2394708105</x:v>
      </x:c>
      <x:c r="AB593" s="14" t="str">
        <x:v>2026-08-24</x:v>
      </x:c>
      <x:c r="AC593" s="14" t="str"/>
      <x:c r="AD593" s="20" t="str"/>
      <x:c r="AE593" s="14" t="str"/>
      <x:c r="AF593" s="14" t="n">
        <x:v>47</x:v>
      </x:c>
      <x:c r="AG593" s="14" t="str">
        <x:v>I3</x:v>
      </x:c>
      <x:c r="AH593" s="14" t="n">
        <x:v>1</x:v>
      </x:c>
      <x:c r="AI593" s="14" t="n">
        <x:v>1</x:v>
      </x:c>
      <x:c r="AJ593" s="18" t="n">
        <x:v>400000</x:v>
      </x:c>
      <x:c r="AK593" s="14" t="str">
        <x:v>https://prozorro.gov.ua/tender/UA-2026-06-29-003504-a</x:v>
      </x:c>
      <x:c r="AL593" s="19" t="n">
        <x:v>46202.35694439815</x:v>
      </x:c>
      <x:c r="AM593" s="19" t="n">
        <x:v>46387</x:v>
      </x:c>
      <x:c r="AN593" s="15" t="str">
        <x:v>Резервне живлення</x:v>
      </x:c>
      <x:c r="AO593" s="15" t="str">
        <x:v>not_found_in_top_search</x:v>
      </x:c>
    </x:row>
    <x:row r="594">
      <x:c r="A594" s="14" t="str">
        <x:v>W3-322</x:v>
      </x:c>
      <x:c r="B594" s="14" t="str">
        <x:v>Prozorro winners — 24.08</x:v>
      </x:c>
      <x:c r="C594" s="14" t="str">
        <x:v>ФОП "ДАЦКО ВОЛОДИМИР ОЛЕКСАНДРОВИЧ"</x:v>
      </x:c>
      <x:c r="D594" s="14" t="str">
        <x:v>Промисловий холод</x:v>
      </x:c>
      <x:c r="E594" s="14" t="str">
        <x:v>Expansion discovery</x:v>
      </x:c>
      <x:c r="F594" s="17" t="str">
        <x:f>IF(E594="Pilot now",IF(P594&gt;=84,"P1",IF(P594&gt;=72,"P2","P3")),IF(E594="Expansion discovery",IF(Q594&gt;=88,"D1",IF(Q594&gt;=78,"D2","D3")),IF(E594="Later / requirements","L","Legacy")))</x:f>
        <x:v>D2</x:v>
      </x:c>
      <x:c r="G594" s="14" t="str"/>
      <x:c r="H594" s="14" t="str">
        <x:v>Discovery розширення — 2 тижні</x:v>
      </x:c>
      <x:c r="I594" s="16" t="n">
        <x:v>1</x:v>
      </x:c>
      <x:c r="J594" s="16" t="n">
        <x:v>5</x:v>
      </x:c>
      <x:c r="K594" s="16" t="n">
        <x:v>4</x:v>
      </x:c>
      <x:c r="L594" s="16" t="n">
        <x:v>2</x:v>
      </x:c>
      <x:c r="M594" s="16" t="n">
        <x:v>5</x:v>
      </x:c>
      <x:c r="N594" s="16" t="n">
        <x:v>3</x:v>
      </x:c>
      <x:c r="O594" s="16" t="n">
        <x:v>5</x:v>
      </x:c>
      <x:c r="P594" s="16" t="n">
        <x:f>IF(COUNT(I594:O594)&lt;7,"",I594*8+J594*3+K594*2+L594*2+M594*2+N594*2+O594)</x:f>
        <x:v>56</x:v>
      </x:c>
      <x:c r="Q594" s="16" t="n">
        <x:f>IF(COUNT(J594:O594)&lt;6,"",J594*5+K594*4+M594*4+L594*3+N594*2+O594*2)</x:f>
        <x:v>83</x:v>
      </x:c>
      <x:c r="R594" s="14" t="str">
        <x:v>high</x:v>
      </x:c>
      <x:c r="S594" s="14" t="str">
        <x:v>official_prozorro_award_2025_2026</x:v>
      </x:c>
      <x:c r="T594" s="14" t="str">
        <x:v>official_prozorro_api</x:v>
      </x:c>
      <x:c r="U594" s="14" t="str">
        <x:v>Не контактували</x:v>
      </x:c>
      <x:c r="V594" s="15" t="str">
        <x:v>Workflow-audit outreach по UA-2026-06-22-002485-a; попросити 1 пакет здачі та вимоги проєкту</x:v>
      </x:c>
      <x:c r="W594" s="15" t="str">
        <x:v>Власник / виконавець; відповідальний за договір</x:v>
      </x:c>
      <x:c r="X594" s="15" t="str">
        <x:v>1 підтверджених перемог/договорів у Prozorro на 342 000 грн; 1 проєктів зі строком виконання не раніше 24.08.2026.</x:v>
      </x:c>
      <x:c r="Y594" s="15" t="str">
        <x:v>«Обладнання кондиціювання та рекуперації повітря з монтажем»(ДК 021:2015 «Єдиний закупівельний словник»код CPV 42510000-4 Теплообмінники, кондиціонери повітря, холодильне обладнання та фільтрувальні пристрої)
; строк до 2026-08-31. Попросити один знеособлений пакет здачі за цим workflow.</x:v>
      </x:c>
      <x:c r="Z594" s="15" t="str">
        <x:v>https://prozorro.gov.ua/tender/UA-2026-06-22-002485-a</x:v>
      </x:c>
      <x:c r="AA594" s="14" t="str">
        <x:v>3277407176</x:v>
      </x:c>
      <x:c r="AB594" s="14" t="str">
        <x:v>2026-08-24</x:v>
      </x:c>
      <x:c r="AC594" s="14" t="str"/>
      <x:c r="AD594" s="20" t="str"/>
      <x:c r="AE594" s="14" t="str"/>
      <x:c r="AF594" s="14" t="n">
        <x:v>47</x:v>
      </x:c>
      <x:c r="AG594" s="14" t="str">
        <x:v>I3</x:v>
      </x:c>
      <x:c r="AH594" s="14" t="n">
        <x:v>1</x:v>
      </x:c>
      <x:c r="AI594" s="14" t="n">
        <x:v>1</x:v>
      </x:c>
      <x:c r="AJ594" s="18" t="n">
        <x:v>342000</x:v>
      </x:c>
      <x:c r="AK594" s="14" t="str">
        <x:v>https://prozorro.gov.ua/tender/UA-2026-06-22-002485-a</x:v>
      </x:c>
      <x:c r="AL594" s="19" t="n">
        <x:v>46205.56342530093</x:v>
      </x:c>
      <x:c r="AM594" s="19" t="n">
        <x:v>46265</x:v>
      </x:c>
      <x:c r="AN594" s="15" t="str">
        <x:v>Промисловий холод</x:v>
      </x:c>
      <x:c r="AO594" s="15" t="str">
        <x:v>not_found_in_top_search</x:v>
      </x:c>
    </x:row>
    <x:row r="595">
      <x:c r="A595" s="14" t="str">
        <x:v>W3-323</x:v>
      </x:c>
      <x:c r="B595" s="14" t="str">
        <x:v>Prozorro winners — 24.08</x:v>
      </x:c>
      <x:c r="C595" s="14" t="str">
        <x:v>ФОП Притова Люсьєна Володимирівна</x:v>
      </x:c>
      <x:c r="D595" s="14" t="str">
        <x:v>Насосні станції</x:v>
      </x:c>
      <x:c r="E595" s="14" t="str">
        <x:v>Expansion discovery</x:v>
      </x:c>
      <x:c r="F595" s="17" t="str">
        <x:f>IF(E595="Pilot now",IF(P595&gt;=84,"P1",IF(P595&gt;=72,"P2","P3")),IF(E595="Expansion discovery",IF(Q595&gt;=88,"D1",IF(Q595&gt;=78,"D2","D3")),IF(E595="Later / requirements","L","Legacy")))</x:f>
        <x:v>D2</x:v>
      </x:c>
      <x:c r="G595" s="14" t="str"/>
      <x:c r="H595" s="14" t="str">
        <x:v>Discovery розширення — 2 тижні</x:v>
      </x:c>
      <x:c r="I595" s="16" t="n">
        <x:v>1</x:v>
      </x:c>
      <x:c r="J595" s="16" t="n">
        <x:v>5</x:v>
      </x:c>
      <x:c r="K595" s="16" t="n">
        <x:v>4</x:v>
      </x:c>
      <x:c r="L595" s="16" t="n">
        <x:v>2</x:v>
      </x:c>
      <x:c r="M595" s="16" t="n">
        <x:v>5</x:v>
      </x:c>
      <x:c r="N595" s="16" t="n">
        <x:v>3</x:v>
      </x:c>
      <x:c r="O595" s="16" t="n">
        <x:v>5</x:v>
      </x:c>
      <x:c r="P595" s="16" t="n">
        <x:f>IF(COUNT(I595:O595)&lt;7,"",I595*8+J595*3+K595*2+L595*2+M595*2+N595*2+O595)</x:f>
        <x:v>56</x:v>
      </x:c>
      <x:c r="Q595" s="16" t="n">
        <x:f>IF(COUNT(J595:O595)&lt;6,"",J595*5+K595*4+M595*4+L595*3+N595*2+O595*2)</x:f>
        <x:v>83</x:v>
      </x:c>
      <x:c r="R595" s="14" t="str">
        <x:v>high</x:v>
      </x:c>
      <x:c r="S595" s="14" t="str">
        <x:v>official_prozorro_award_2025_2026</x:v>
      </x:c>
      <x:c r="T595" s="14" t="str">
        <x:v>official_prozorro_api</x:v>
      </x:c>
      <x:c r="U595" s="14" t="str">
        <x:v>Не контактували</x:v>
      </x:c>
      <x:c r="V595" s="15" t="str">
        <x:v>Workflow-audit outreach по UA-2026-06-03-012857-a; попросити 1 пакет здачі та вимоги проєкту</x:v>
      </x:c>
      <x:c r="W595" s="15" t="str">
        <x:v>Власник / виконавець; відповідальний за договір</x:v>
      </x:c>
      <x:c r="X595" s="15" t="str">
        <x:v>1 підтверджених перемог/договорів у Prozorro на 220 000 грн; 1 проєктів зі строком виконання не раніше 24.08.2026.</x:v>
      </x:c>
      <x:c r="Y595" s="15" t="str">
        <x:v>Роботи з топографо-геодезичного знімання території в маштабі 1:500 для проектування об'єкту "Реконструкція першої нитки водогону вздовж Соборна-Строна від насосної станції II в/п (вул. Соборна, 95 а) до насосної станції III в/п із встановлення СЕС потужністю 200 кВт в місті Горішні Плавні; строк до 2026-12-31. Попросити один знеособлений пакет здачі за цим workflow.</x:v>
      </x:c>
      <x:c r="Z595" s="15" t="str">
        <x:v>https://prozorro.gov.ua/tender/UA-2026-06-03-012857-a</x:v>
      </x:c>
      <x:c r="AA595" s="14" t="str">
        <x:v>2944318767</x:v>
      </x:c>
      <x:c r="AB595" s="14" t="str">
        <x:v>2026-08-24</x:v>
      </x:c>
      <x:c r="AC595" s="14" t="str"/>
      <x:c r="AD595" s="20" t="str"/>
      <x:c r="AE595" s="14" t="str"/>
      <x:c r="AF595" s="14" t="n">
        <x:v>47</x:v>
      </x:c>
      <x:c r="AG595" s="14" t="str">
        <x:v>I3</x:v>
      </x:c>
      <x:c r="AH595" s="14" t="n">
        <x:v>1</x:v>
      </x:c>
      <x:c r="AI595" s="14" t="n">
        <x:v>1</x:v>
      </x:c>
      <x:c r="AJ595" s="18" t="n">
        <x:v>220000</x:v>
      </x:c>
      <x:c r="AK595" s="14" t="str">
        <x:v>https://prozorro.gov.ua/tender/UA-2026-06-03-012857-a</x:v>
      </x:c>
      <x:c r="AL595" s="19" t="n">
        <x:v>46176.571798703706</x:v>
      </x:c>
      <x:c r="AM595" s="19" t="n">
        <x:v>46387</x:v>
      </x:c>
      <x:c r="AN595" s="15" t="str">
        <x:v>Насосні станції</x:v>
      </x:c>
      <x:c r="AO595" s="15" t="str">
        <x:v>not_found_in_top_search</x:v>
      </x:c>
    </x:row>
    <x:row r="596">
      <x:c r="A596" s="14" t="str">
        <x:v>W3-324</x:v>
      </x:c>
      <x:c r="B596" s="14" t="str">
        <x:v>Prozorro winners — 24.08</x:v>
      </x:c>
      <x:c r="C596" s="14" t="str">
        <x:v>ЛИМАР ОЛЕКСАНДР АНАТОЛІЙОВИЧ</x:v>
      </x:c>
      <x:c r="D596" s="14" t="str">
        <x:v>Насосні станції</x:v>
      </x:c>
      <x:c r="E596" s="14" t="str">
        <x:v>Expansion discovery</x:v>
      </x:c>
      <x:c r="F596" s="17" t="str">
        <x:f>IF(E596="Pilot now",IF(P596&gt;=84,"P1",IF(P596&gt;=72,"P2","P3")),IF(E596="Expansion discovery",IF(Q596&gt;=88,"D1",IF(Q596&gt;=78,"D2","D3")),IF(E596="Later / requirements","L","Legacy")))</x:f>
        <x:v>D2</x:v>
      </x:c>
      <x:c r="G596" s="14" t="str"/>
      <x:c r="H596" s="14" t="str">
        <x:v>Discovery розширення — 2 тижні</x:v>
      </x:c>
      <x:c r="I596" s="16" t="n">
        <x:v>1</x:v>
      </x:c>
      <x:c r="J596" s="16" t="n">
        <x:v>5</x:v>
      </x:c>
      <x:c r="K596" s="16" t="n">
        <x:v>4</x:v>
      </x:c>
      <x:c r="L596" s="16" t="n">
        <x:v>2</x:v>
      </x:c>
      <x:c r="M596" s="16" t="n">
        <x:v>5</x:v>
      </x:c>
      <x:c r="N596" s="16" t="n">
        <x:v>3</x:v>
      </x:c>
      <x:c r="O596" s="16" t="n">
        <x:v>5</x:v>
      </x:c>
      <x:c r="P596" s="16" t="n">
        <x:f>IF(COUNT(I596:O596)&lt;7,"",I596*8+J596*3+K596*2+L596*2+M596*2+N596*2+O596)</x:f>
        <x:v>56</x:v>
      </x:c>
      <x:c r="Q596" s="16" t="n">
        <x:f>IF(COUNT(J596:O596)&lt;6,"",J596*5+K596*4+M596*4+L596*3+N596*2+O596*2)</x:f>
        <x:v>83</x:v>
      </x:c>
      <x:c r="R596" s="14" t="str">
        <x:v>high</x:v>
      </x:c>
      <x:c r="S596" s="14" t="str">
        <x:v>official_prozorro_award_2025_2026</x:v>
      </x:c>
      <x:c r="T596" s="14" t="str">
        <x:v>official_prozorro_api</x:v>
      </x:c>
      <x:c r="U596" s="14" t="str">
        <x:v>Не контактували</x:v>
      </x:c>
      <x:c r="V596" s="15" t="str">
        <x:v>Workflow-audit outreach по UA-2026-06-25-011409-a; попросити 1 пакет здачі та вимоги проєкту</x:v>
      </x:c>
      <x:c r="W596" s="15" t="str">
        <x:v>Власник / виконавець; відповідальний за договір</x:v>
      </x:c>
      <x:c r="X596" s="15" t="str">
        <x:v>1 підтверджених перемог/договорів у Prozorro на 149 427 грн; 1 проєктів зі строком виконання не раніше 24.08.2026.</x:v>
      </x:c>
      <x:c r="Y596" s="15" t="str">
        <x:v>Коригування проектної документації для об'єкту будівництва: «Реконструкція водоочисних споруд насосної станції ІІ підйому по вул. Київська 130 В м. Обухів, Київської області». Коригування; строк до 2027-01-29. Попросити один знеособлений пакет здачі за цим workflow.</x:v>
      </x:c>
      <x:c r="Z596" s="15" t="str">
        <x:v>https://prozorro.gov.ua/tender/UA-2026-06-25-011409-a</x:v>
      </x:c>
      <x:c r="AA596" s="14" t="str">
        <x:v>3035717452</x:v>
      </x:c>
      <x:c r="AB596" s="14" t="str">
        <x:v>2026-08-24</x:v>
      </x:c>
      <x:c r="AC596" s="14" t="str"/>
      <x:c r="AD596" s="20" t="str"/>
      <x:c r="AE596" s="14" t="str"/>
      <x:c r="AF596" s="14" t="n">
        <x:v>47</x:v>
      </x:c>
      <x:c r="AG596" s="14" t="str">
        <x:v>I3</x:v>
      </x:c>
      <x:c r="AH596" s="14" t="n">
        <x:v>1</x:v>
      </x:c>
      <x:c r="AI596" s="14" t="n">
        <x:v>1</x:v>
      </x:c>
      <x:c r="AJ596" s="18" t="n">
        <x:v>149426.52</x:v>
      </x:c>
      <x:c r="AK596" s="14" t="str">
        <x:v>https://prozorro.gov.ua/tender/UA-2026-06-25-011409-a</x:v>
      </x:c>
      <x:c r="AL596" s="19" t="n">
        <x:v>46198.55497143519</x:v>
      </x:c>
      <x:c r="AM596" s="19" t="n">
        <x:v>46416</x:v>
      </x:c>
      <x:c r="AN596" s="15" t="str">
        <x:v>Насосні станції</x:v>
      </x:c>
      <x:c r="AO596" s="15" t="str">
        <x:v>not_found_in_top_search</x:v>
      </x:c>
    </x:row>
    <x:row r="597">
      <x:c r="A597" s="14" t="str">
        <x:v>W3-325</x:v>
      </x:c>
      <x:c r="B597" s="14" t="str">
        <x:v>Prozorro winners — 24.08</x:v>
      </x:c>
      <x:c r="C597" s="14" t="str">
        <x:v>ФОП РАКИЧ ІВАН ВАЛЕРІЙОВИЧ</x:v>
      </x:c>
      <x:c r="D597" s="14" t="str">
        <x:v>Газопостачання / котельні</x:v>
      </x:c>
      <x:c r="E597" s="14" t="str">
        <x:v>Expansion discovery</x:v>
      </x:c>
      <x:c r="F597" s="17" t="str">
        <x:f>IF(E597="Pilot now",IF(P597&gt;=84,"P1",IF(P597&gt;=72,"P2","P3")),IF(E597="Expansion discovery",IF(Q597&gt;=88,"D1",IF(Q597&gt;=78,"D2","D3")),IF(E597="Later / requirements","L","Legacy")))</x:f>
        <x:v>D2</x:v>
      </x:c>
      <x:c r="G597" s="14" t="str"/>
      <x:c r="H597" s="14" t="str">
        <x:v>Discovery розширення — 2 тижні</x:v>
      </x:c>
      <x:c r="I597" s="16" t="n">
        <x:v>1</x:v>
      </x:c>
      <x:c r="J597" s="16" t="n">
        <x:v>5</x:v>
      </x:c>
      <x:c r="K597" s="16" t="n">
        <x:v>4</x:v>
      </x:c>
      <x:c r="L597" s="16" t="n">
        <x:v>2</x:v>
      </x:c>
      <x:c r="M597" s="16" t="n">
        <x:v>5</x:v>
      </x:c>
      <x:c r="N597" s="16" t="n">
        <x:v>3</x:v>
      </x:c>
      <x:c r="O597" s="16" t="n">
        <x:v>5</x:v>
      </x:c>
      <x:c r="P597" s="16" t="n">
        <x:f>IF(COUNT(I597:O597)&lt;7,"",I597*8+J597*3+K597*2+L597*2+M597*2+N597*2+O597)</x:f>
        <x:v>56</x:v>
      </x:c>
      <x:c r="Q597" s="16" t="n">
        <x:f>IF(COUNT(J597:O597)&lt;6,"",J597*5+K597*4+M597*4+L597*3+N597*2+O597*2)</x:f>
        <x:v>83</x:v>
      </x:c>
      <x:c r="R597" s="14" t="str">
        <x:v>high</x:v>
      </x:c>
      <x:c r="S597" s="14" t="str">
        <x:v>official_prozorro_award_2025_2026</x:v>
      </x:c>
      <x:c r="T597" s="14" t="str">
        <x:v>official_prozorro_api</x:v>
      </x:c>
      <x:c r="U597" s="14" t="str">
        <x:v>Не контактували</x:v>
      </x:c>
      <x:c r="V597" s="15" t="str">
        <x:v>Workflow-audit outreach по UA-2026-07-06-005716-a; попросити 1 пакет здачі та вимоги проєкту</x:v>
      </x:c>
      <x:c r="W597" s="15" t="str">
        <x:v>Власник / виконавець; відповідальний за договір</x:v>
      </x:c>
      <x:c r="X597" s="15" t="str">
        <x:v>1 підтверджених перемог/договорів у Prozorro на 102 553 грн; 1 проєктів зі строком виконання не раніше 24.08.2026.</x:v>
      </x:c>
      <x:c r="Y597" s="15" t="str">
        <x:v>Технічний нагляд за проведенням робіт по об’єкту: «Нове будівництво модульної транспортабельної котельні в м. Харкові за адресою: просп. *** (резервне живлення). Підготовчі роботи, будівельні роботи з улаштування фундаменту та монтаж ферми і димових труб»  (код ДК 021:2015 – 71520000-9 – Послуги з нагляду за виконанням будівельних робіт); строк до 2026-12-31. Попросити один знеособлений пакет здачі за цим workflow.</x:v>
      </x:c>
      <x:c r="Z597" s="15" t="str">
        <x:v>https://prozorro.gov.ua/tender/UA-2026-07-06-005716-a</x:v>
      </x:c>
      <x:c r="AA597" s="14" t="str">
        <x:v>2825816131</x:v>
      </x:c>
      <x:c r="AB597" s="14" t="str">
        <x:v>2026-08-24</x:v>
      </x:c>
      <x:c r="AC597" s="14" t="str"/>
      <x:c r="AD597" s="20" t="str"/>
      <x:c r="AE597" s="14" t="str"/>
      <x:c r="AF597" s="14" t="n">
        <x:v>47</x:v>
      </x:c>
      <x:c r="AG597" s="14" t="str">
        <x:v>I3</x:v>
      </x:c>
      <x:c r="AH597" s="14" t="n">
        <x:v>1</x:v>
      </x:c>
      <x:c r="AI597" s="14" t="n">
        <x:v>1</x:v>
      </x:c>
      <x:c r="AJ597" s="18" t="n">
        <x:v>102553.13</x:v>
      </x:c>
      <x:c r="AK597" s="14" t="str">
        <x:v>https://prozorro.gov.ua/tender/UA-2026-07-06-005716-a</x:v>
      </x:c>
      <x:c r="AL597" s="19" t="n">
        <x:v>46209.461327337965</x:v>
      </x:c>
      <x:c r="AM597" s="19" t="n">
        <x:v>46387</x:v>
      </x:c>
      <x:c r="AN597" s="15" t="str">
        <x:v>Газопостачання / котельні</x:v>
      </x:c>
      <x:c r="AO597" s="15" t="str">
        <x:v>not_found_in_top_search</x:v>
      </x:c>
    </x:row>
    <x:row r="598">
      <x:c r="A598" s="14" t="str">
        <x:v>W3-326</x:v>
      </x:c>
      <x:c r="B598" s="14" t="str">
        <x:v>Prozorro winners — 24.08</x:v>
      </x:c>
      <x:c r="C598" s="14" t="str">
        <x:v>ТОВАРИСТВО З ОБМЕЖЕНОЮ ВІДПОВІДАЛЬНІСТЮ "БЕЗПЕКА УНІВЕРСАЛ"</x:v>
      </x:c>
      <x:c r="D598" s="14" t="str">
        <x:v>Безпека / СКУД / CCTV</x:v>
      </x:c>
      <x:c r="E598" s="14" t="str">
        <x:v>Expansion discovery</x:v>
      </x:c>
      <x:c r="F598" s="17" t="str">
        <x:f>IF(E598="Pilot now",IF(P598&gt;=84,"P1",IF(P598&gt;=72,"P2","P3")),IF(E598="Expansion discovery",IF(Q598&gt;=88,"D1",IF(Q598&gt;=78,"D2","D3")),IF(E598="Later / requirements","L","Legacy")))</x:f>
        <x:v>D2</x:v>
      </x:c>
      <x:c r="G598" s="14" t="str"/>
      <x:c r="H598" s="14" t="str">
        <x:v>Discovery розширення — 2 тижні</x:v>
      </x:c>
      <x:c r="I598" s="16" t="n">
        <x:v>1</x:v>
      </x:c>
      <x:c r="J598" s="16" t="n">
        <x:v>5</x:v>
      </x:c>
      <x:c r="K598" s="16" t="n">
        <x:v>4</x:v>
      </x:c>
      <x:c r="L598" s="16" t="n">
        <x:v>1</x:v>
      </x:c>
      <x:c r="M598" s="16" t="n">
        <x:v>5</x:v>
      </x:c>
      <x:c r="N598" s="16" t="n">
        <x:v>5</x:v>
      </x:c>
      <x:c r="O598" s="16" t="n">
        <x:v>5</x:v>
      </x:c>
      <x:c r="P598" s="16" t="n">
        <x:f>IF(COUNT(I598:O598)&lt;7,"",I598*8+J598*3+K598*2+L598*2+M598*2+N598*2+O598)</x:f>
        <x:v>58</x:v>
      </x:c>
      <x:c r="Q598" s="16" t="n">
        <x:f>IF(COUNT(J598:O598)&lt;6,"",J598*5+K598*4+M598*4+L598*3+N598*2+O598*2)</x:f>
        <x:v>84</x:v>
      </x:c>
      <x:c r="R598" s="14" t="str">
        <x:v>high</x:v>
      </x:c>
      <x:c r="S598" s="14" t="str">
        <x:v>official_prozorro_award_2025_2026</x:v>
      </x:c>
      <x:c r="T598" s="14" t="str">
        <x:v>official_prozorro_api</x:v>
      </x:c>
      <x:c r="U598" s="14" t="str">
        <x:v>Не контактували</x:v>
      </x:c>
      <x:c r="V598" s="15" t="str">
        <x:v>Workflow-audit outreach по UA-2026-07-16-009633-a; попросити 1 пакет здачі та вимоги проєкту</x:v>
      </x:c>
      <x:c r="W598" s="15" t="str">
        <x:v>Власник / директор; керівник ПТО; відповідальний за договори</x:v>
      </x:c>
      <x:c r="X598" s="15" t="str">
        <x:v>1 підтверджених перемог/договорів у Prozorro на 61 468 грн; 0 проєктів зі строком виконання не раніше 24.08.2026.</x:v>
      </x:c>
      <x:c r="Y598" s="15" t="str">
        <x:v>послуги з монтажу та налаштування системи відеоспостереження; строк до 2026-07-26. Попросити один знеособлений пакет здачі за цим workflow.</x:v>
      </x:c>
      <x:c r="Z598" s="15" t="str">
        <x:v>https://prozorro.gov.ua/tender/UA-2026-07-16-009633-a</x:v>
      </x:c>
      <x:c r="AA598" s="14" t="str">
        <x:v>35798901</x:v>
      </x:c>
      <x:c r="AB598" s="14" t="str">
        <x:v>2026-08-24</x:v>
      </x:c>
      <x:c r="AC598" s="14" t="str"/>
      <x:c r="AD598" s="20" t="str"/>
      <x:c r="AE598" s="14" t="str"/>
      <x:c r="AF598" s="14" t="n">
        <x:v>47</x:v>
      </x:c>
      <x:c r="AG598" s="14" t="str">
        <x:v>I3</x:v>
      </x:c>
      <x:c r="AH598" s="14" t="n">
        <x:v>1</x:v>
      </x:c>
      <x:c r="AI598" s="14" t="n">
        <x:v>0</x:v>
      </x:c>
      <x:c r="AJ598" s="18" t="n">
        <x:v>61467.6</x:v>
      </x:c>
      <x:c r="AK598" s="14" t="str">
        <x:v>https://prozorro.gov.ua/tender/UA-2026-07-16-009633-a</x:v>
      </x:c>
      <x:c r="AL598" s="19" t="n">
        <x:v>46219.58351846065</x:v>
      </x:c>
      <x:c r="AM598" s="19" t="n">
        <x:v>46229</x:v>
      </x:c>
      <x:c r="AN598" s="15" t="str">
        <x:v>Безпека / СКУД / CCTV</x:v>
      </x:c>
      <x:c r="AO598" s="15" t="str">
        <x:v>not_found_in_top_search</x:v>
      </x:c>
    </x:row>
    <x:row r="599">
      <x:c r="A599" s="14" t="str">
        <x:v>W3-327</x:v>
      </x:c>
      <x:c r="B599" s="14" t="str">
        <x:v>Prozorro winners — 24.08</x:v>
      </x:c>
      <x:c r="C599" s="14" t="str">
        <x:v>ТОВАРИСТВО З ОБМЕЖЕНОЮ ВІДПОВІДАЛЬНІСТЮ "СІТІ - ХОЛДІНГ ІНСТАЛЯТОР"</x:v>
      </x:c>
      <x:c r="D599" s="14" t="str">
        <x:v>Безпека / СКУД / CCTV</x:v>
      </x:c>
      <x:c r="E599" s="14" t="str">
        <x:v>Expansion discovery</x:v>
      </x:c>
      <x:c r="F599" s="17" t="str">
        <x:f>IF(E599="Pilot now",IF(P599&gt;=84,"P1",IF(P599&gt;=72,"P2","P3")),IF(E599="Expansion discovery",IF(Q599&gt;=88,"D1",IF(Q599&gt;=78,"D2","D3")),IF(E599="Later / requirements","L","Legacy")))</x:f>
        <x:v>D2</x:v>
      </x:c>
      <x:c r="G599" s="14" t="str"/>
      <x:c r="H599" s="14" t="str">
        <x:v>Discovery розширення — 2 тижні</x:v>
      </x:c>
      <x:c r="I599" s="16" t="n">
        <x:v>1</x:v>
      </x:c>
      <x:c r="J599" s="16" t="n">
        <x:v>5</x:v>
      </x:c>
      <x:c r="K599" s="16" t="n">
        <x:v>4</x:v>
      </x:c>
      <x:c r="L599" s="16" t="n">
        <x:v>1</x:v>
      </x:c>
      <x:c r="M599" s="16" t="n">
        <x:v>5</x:v>
      </x:c>
      <x:c r="N599" s="16" t="n">
        <x:v>5</x:v>
      </x:c>
      <x:c r="O599" s="16" t="n">
        <x:v>5</x:v>
      </x:c>
      <x:c r="P599" s="16" t="n">
        <x:f>IF(COUNT(I599:O599)&lt;7,"",I599*8+J599*3+K599*2+L599*2+M599*2+N599*2+O599)</x:f>
        <x:v>58</x:v>
      </x:c>
      <x:c r="Q599" s="16" t="n">
        <x:f>IF(COUNT(J599:O599)&lt;6,"",J599*5+K599*4+M599*4+L599*3+N599*2+O599*2)</x:f>
        <x:v>84</x:v>
      </x:c>
      <x:c r="R599" s="14" t="str">
        <x:v>high</x:v>
      </x:c>
      <x:c r="S599" s="14" t="str">
        <x:v>official_prozorro_award_2025_2026</x:v>
      </x:c>
      <x:c r="T599" s="14" t="str">
        <x:v>official_prozorro_api</x:v>
      </x:c>
      <x:c r="U599" s="14" t="str">
        <x:v>Не контактували</x:v>
      </x:c>
      <x:c r="V599" s="15" t="str">
        <x:v>Workflow-audit outreach по UA-2026-07-20-008886-a; попросити 1 пакет здачі та вимоги проєкту</x:v>
      </x:c>
      <x:c r="W599" s="15" t="str">
        <x:v>Власник / директор; керівник ПТО; відповідальний за договори</x:v>
      </x:c>
      <x:c r="X599" s="15" t="str">
        <x:v>1 підтверджених перемог/договорів у Prozorro на 16 944 грн; 0 проєктів зі строком виконання не раніше 24.08.2026.</x:v>
      </x:c>
      <x:c r="Y599" s="15" t="str">
        <x:v>Послуги з монтажу та налаштування системи відеоспостереження; строк до 2026-07-31. Попросити один знеособлений пакет здачі за цим workflow.</x:v>
      </x:c>
      <x:c r="Z599" s="15" t="str">
        <x:v>https://prozorro.gov.ua/tender/UA-2026-07-20-008886-a</x:v>
      </x:c>
      <x:c r="AA599" s="14" t="str">
        <x:v>35496150</x:v>
      </x:c>
      <x:c r="AB599" s="14" t="str">
        <x:v>2026-08-24</x:v>
      </x:c>
      <x:c r="AC599" s="14" t="str"/>
      <x:c r="AD599" s="20" t="str"/>
      <x:c r="AE599" s="14" t="str"/>
      <x:c r="AF599" s="14" t="n">
        <x:v>47</x:v>
      </x:c>
      <x:c r="AG599" s="14" t="str">
        <x:v>I3</x:v>
      </x:c>
      <x:c r="AH599" s="14" t="n">
        <x:v>1</x:v>
      </x:c>
      <x:c r="AI599" s="14" t="n">
        <x:v>0</x:v>
      </x:c>
      <x:c r="AJ599" s="18" t="n">
        <x:v>16944</x:v>
      </x:c>
      <x:c r="AK599" s="14" t="str">
        <x:v>https://prozorro.gov.ua/tender/UA-2026-07-20-008886-a</x:v>
      </x:c>
      <x:c r="AL599" s="19" t="n">
        <x:v>46223.54157770833</x:v>
      </x:c>
      <x:c r="AM599" s="19" t="n">
        <x:v>46234</x:v>
      </x:c>
      <x:c r="AN599" s="15" t="str">
        <x:v>Безпека / СКУД / CCTV</x:v>
      </x:c>
      <x:c r="AO599" s="15" t="str">
        <x:v>not_found_in_top_search</x:v>
      </x:c>
    </x:row>
    <x:row r="600">
      <x:c r="A600" s="14" t="str">
        <x:v>W3-328</x:v>
      </x:c>
      <x:c r="B600" s="14" t="str">
        <x:v>Prozorro winners — 24.08</x:v>
      </x:c>
      <x:c r="C600" s="14" t="str">
        <x:v>ПРИВАТНЕ ПІДПРИЄМСТВО "БЕРКУТ-НП"</x:v>
      </x:c>
      <x:c r="D600" s="14" t="str">
        <x:v>Безпека / СКУД / CCTV</x:v>
      </x:c>
      <x:c r="E600" s="14" t="str">
        <x:v>Expansion discovery</x:v>
      </x:c>
      <x:c r="F600" s="17" t="str">
        <x:f>IF(E600="Pilot now",IF(P600&gt;=84,"P1",IF(P600&gt;=72,"P2","P3")),IF(E600="Expansion discovery",IF(Q600&gt;=88,"D1",IF(Q600&gt;=78,"D2","D3")),IF(E600="Later / requirements","L","Legacy")))</x:f>
        <x:v>D2</x:v>
      </x:c>
      <x:c r="G600" s="14" t="str"/>
      <x:c r="H600" s="14" t="str">
        <x:v>Discovery розширення — 2 тижні</x:v>
      </x:c>
      <x:c r="I600" s="16" t="n">
        <x:v>1</x:v>
      </x:c>
      <x:c r="J600" s="16" t="n">
        <x:v>5</x:v>
      </x:c>
      <x:c r="K600" s="16" t="n">
        <x:v>4</x:v>
      </x:c>
      <x:c r="L600" s="16" t="n">
        <x:v>1</x:v>
      </x:c>
      <x:c r="M600" s="16" t="n">
        <x:v>5</x:v>
      </x:c>
      <x:c r="N600" s="16" t="n">
        <x:v>5</x:v>
      </x:c>
      <x:c r="O600" s="16" t="n">
        <x:v>5</x:v>
      </x:c>
      <x:c r="P600" s="16" t="n">
        <x:f>IF(COUNT(I600:O600)&lt;7,"",I600*8+J600*3+K600*2+L600*2+M600*2+N600*2+O600)</x:f>
        <x:v>58</x:v>
      </x:c>
      <x:c r="Q600" s="16" t="n">
        <x:f>IF(COUNT(J600:O600)&lt;6,"",J600*5+K600*4+M600*4+L600*3+N600*2+O600*2)</x:f>
        <x:v>84</x:v>
      </x:c>
      <x:c r="R600" s="14" t="str">
        <x:v>high</x:v>
      </x:c>
      <x:c r="S600" s="14" t="str">
        <x:v>official_prozorro_award_2025_2026</x:v>
      </x:c>
      <x:c r="T600" s="14" t="str">
        <x:v>official_prozorro_api</x:v>
      </x:c>
      <x:c r="U600" s="14" t="str">
        <x:v>Не контактували</x:v>
      </x:c>
      <x:c r="V600" s="15" t="str">
        <x:v>Workflow-audit outreach по UA-2026-07-17-003668-a; попросити 1 пакет здачі та вимоги проєкту</x:v>
      </x:c>
      <x:c r="W600" s="15" t="str">
        <x:v>Власник / директор; керівник ПТО; відповідальний за договори</x:v>
      </x:c>
      <x:c r="X600" s="15" t="str">
        <x:v>1 підтверджених перемог/договорів у Prozorro на 16 655 грн; 0 проєктів зі строком виконання не раніше 24.08.2026.</x:v>
      </x:c>
      <x:c r="Y600" s="15" t="str">
        <x:v>Послуги з монтажу контрольного обладнання і пусконалагодження системи контролю та управління доступу (СКУД) в приміщення Житомирської окружної прокуратури за адресою м. Житомир, вул. Леха Качинського, 2; строк до 2026-07-31. Попросити один знеособлений пакет здачі за цим workflow.</x:v>
      </x:c>
      <x:c r="Z600" s="15" t="str">
        <x:v>https://prozorro.gov.ua/tender/UA-2026-07-17-003668-a</x:v>
      </x:c>
      <x:c r="AA600" s="14" t="str">
        <x:v>37857696</x:v>
      </x:c>
      <x:c r="AB600" s="14" t="str">
        <x:v>2026-08-24</x:v>
      </x:c>
      <x:c r="AC600" s="14" t="str"/>
      <x:c r="AD600" s="20" t="str"/>
      <x:c r="AE600" s="14" t="str"/>
      <x:c r="AF600" s="14" t="n">
        <x:v>47</x:v>
      </x:c>
      <x:c r="AG600" s="14" t="str">
        <x:v>I3</x:v>
      </x:c>
      <x:c r="AH600" s="14" t="n">
        <x:v>1</x:v>
      </x:c>
      <x:c r="AI600" s="14" t="n">
        <x:v>0</x:v>
      </x:c>
      <x:c r="AJ600" s="18" t="n">
        <x:v>16654.57</x:v>
      </x:c>
      <x:c r="AK600" s="14" t="str">
        <x:v>https://prozorro.gov.ua/tender/UA-2026-07-17-003668-a</x:v>
      </x:c>
      <x:c r="AL600" s="19" t="n">
        <x:v>46220.355459467595</x:v>
      </x:c>
      <x:c r="AM600" s="19" t="n">
        <x:v>46234</x:v>
      </x:c>
      <x:c r="AN600" s="15" t="str">
        <x:v>Безпека / СКУД / CCTV</x:v>
      </x:c>
      <x:c r="AO600" s="15" t="str">
        <x:v>not_found_in_top_search</x:v>
      </x:c>
    </x:row>
    <x:row r="601">
      <x:c r="A601" s="14" t="str">
        <x:v>W3-329</x:v>
      </x:c>
      <x:c r="B601" s="14" t="str">
        <x:v>Prozorro winners — 24.08</x:v>
      </x:c>
      <x:c r="C601" s="14" t="str">
        <x:v>ТОВАРИСТВО З ОБМЕЖЕНОЮ ВІДПОВІДАЛЬНІСТЮ "ПРОСТІР ЗАХИСТУ"</x:v>
      </x:c>
      <x:c r="D601" s="14" t="str">
        <x:v>Безпека / СКУД / CCTV</x:v>
      </x:c>
      <x:c r="E601" s="14" t="str">
        <x:v>Expansion discovery</x:v>
      </x:c>
      <x:c r="F601" s="17" t="str">
        <x:f>IF(E601="Pilot now",IF(P601&gt;=84,"P1",IF(P601&gt;=72,"P2","P3")),IF(E601="Expansion discovery",IF(Q601&gt;=88,"D1",IF(Q601&gt;=78,"D2","D3")),IF(E601="Later / requirements","L","Legacy")))</x:f>
        <x:v>D2</x:v>
      </x:c>
      <x:c r="G601" s="14" t="str"/>
      <x:c r="H601" s="14" t="str">
        <x:v>Discovery розширення — 2 тижні</x:v>
      </x:c>
      <x:c r="I601" s="16" t="n">
        <x:v>1</x:v>
      </x:c>
      <x:c r="J601" s="16" t="n">
        <x:v>5</x:v>
      </x:c>
      <x:c r="K601" s="16" t="n">
        <x:v>4</x:v>
      </x:c>
      <x:c r="L601" s="16" t="n">
        <x:v>1</x:v>
      </x:c>
      <x:c r="M601" s="16" t="n">
        <x:v>5</x:v>
      </x:c>
      <x:c r="N601" s="16" t="n">
        <x:v>5</x:v>
      </x:c>
      <x:c r="O601" s="16" t="n">
        <x:v>5</x:v>
      </x:c>
      <x:c r="P601" s="16" t="n">
        <x:f>IF(COUNT(I601:O601)&lt;7,"",I601*8+J601*3+K601*2+L601*2+M601*2+N601*2+O601)</x:f>
        <x:v>58</x:v>
      </x:c>
      <x:c r="Q601" s="16" t="n">
        <x:f>IF(COUNT(J601:O601)&lt;6,"",J601*5+K601*4+M601*4+L601*3+N601*2+O601*2)</x:f>
        <x:v>84</x:v>
      </x:c>
      <x:c r="R601" s="14" t="str">
        <x:v>high</x:v>
      </x:c>
      <x:c r="S601" s="14" t="str">
        <x:v>official_prozorro_award_2025_2026</x:v>
      </x:c>
      <x:c r="T601" s="14" t="str">
        <x:v>official_prozorro_api</x:v>
      </x:c>
      <x:c r="U601" s="14" t="str">
        <x:v>Не контактували</x:v>
      </x:c>
      <x:c r="V601" s="15" t="str">
        <x:v>Workflow-audit outreach по UA-2026-07-10-008786-a; попросити 1 пакет здачі та вимоги проєкту</x:v>
      </x:c>
      <x:c r="W601" s="15" t="str">
        <x:v>Власник / директор; керівник ПТО; відповідальний за договори</x:v>
      </x:c>
      <x:c r="X601" s="15" t="str">
        <x:v>1 підтверджених перемог/договорів у Prozorro на 7 600 грн; 0 проєктів зі строком виконання не раніше 24.08.2026.</x:v>
      </x:c>
      <x:c r="Y601" s="15" t="str">
        <x:v>Послуга з монтажу системи відеоспостереження (4 камери); строк до 2026-07-28. Попросити один знеособлений пакет здачі за цим workflow.</x:v>
      </x:c>
      <x:c r="Z601" s="15" t="str">
        <x:v>https://prozorro.gov.ua/tender/UA-2026-07-10-008786-a</x:v>
      </x:c>
      <x:c r="AA601" s="14" t="str">
        <x:v>46266443</x:v>
      </x:c>
      <x:c r="AB601" s="14" t="str">
        <x:v>2026-08-24</x:v>
      </x:c>
      <x:c r="AC601" s="14" t="str"/>
      <x:c r="AD601" s="20" t="str"/>
      <x:c r="AE601" s="14" t="str"/>
      <x:c r="AF601" s="14" t="n">
        <x:v>47</x:v>
      </x:c>
      <x:c r="AG601" s="14" t="str">
        <x:v>I3</x:v>
      </x:c>
      <x:c r="AH601" s="14" t="n">
        <x:v>1</x:v>
      </x:c>
      <x:c r="AI601" s="14" t="n">
        <x:v>0</x:v>
      </x:c>
      <x:c r="AJ601" s="18" t="n">
        <x:v>7600</x:v>
      </x:c>
      <x:c r="AK601" s="14" t="str">
        <x:v>https://prozorro.gov.ua/tender/UA-2026-07-10-008786-a</x:v>
      </x:c>
      <x:c r="AL601" s="19" t="n">
        <x:v>46213.51147287037</x:v>
      </x:c>
      <x:c r="AM601" s="19" t="n">
        <x:v>46231</x:v>
      </x:c>
      <x:c r="AN601" s="15" t="str">
        <x:v>Безпека / СКУД / CCTV</x:v>
      </x:c>
      <x:c r="AO601" s="15" t="str">
        <x:v>not_found_in_top_search</x:v>
      </x:c>
    </x:row>
    <x:row r="602">
      <x:c r="A602" s="14" t="str">
        <x:v>W3-330</x:v>
      </x:c>
      <x:c r="B602" s="14" t="str">
        <x:v>Prozorro winners — 24.08</x:v>
      </x:c>
      <x:c r="C602" s="14" t="str">
        <x:v>ПРИВАТНЕ АКЦІОНЕРНЕ ТОВАРИСТВО «УКРСТАЛЬ КОНСТРУКЦІЯ»</x:v>
      </x:c>
      <x:c r="D602" s="14" t="str">
        <x:v>Ремонт і підсилення бетону</x:v>
      </x:c>
      <x:c r="E602" s="14" t="str">
        <x:v>Expansion discovery</x:v>
      </x:c>
      <x:c r="F602" s="17" t="str">
        <x:f>IF(E602="Pilot now",IF(P602&gt;=84,"P1",IF(P602&gt;=72,"P2","P3")),IF(E602="Expansion discovery",IF(Q602&gt;=88,"D1",IF(Q602&gt;=78,"D2","D3")),IF(E602="Later / requirements","L","Legacy")))</x:f>
        <x:v>D1</x:v>
      </x:c>
      <x:c r="G602" s="14" t="str"/>
      <x:c r="H602" s="14" t="str">
        <x:v>Discovery розширення — 2 тижні</x:v>
      </x:c>
      <x:c r="I602" s="16" t="n">
        <x:v>1</x:v>
      </x:c>
      <x:c r="J602" s="16" t="n">
        <x:v>5</x:v>
      </x:c>
      <x:c r="K602" s="16" t="n">
        <x:v>4</x:v>
      </x:c>
      <x:c r="L602" s="16" t="n">
        <x:v>5</x:v>
      </x:c>
      <x:c r="M602" s="16" t="n">
        <x:v>5</x:v>
      </x:c>
      <x:c r="N602" s="16" t="n">
        <x:v>5</x:v>
      </x:c>
      <x:c r="O602" s="16" t="n">
        <x:v>5</x:v>
      </x:c>
      <x:c r="P602" s="16" t="n">
        <x:f>IF(COUNT(I602:O602)&lt;7,"",I602*8+J602*3+K602*2+L602*2+M602*2+N602*2+O602)</x:f>
        <x:v>66</x:v>
      </x:c>
      <x:c r="Q602" s="16" t="n">
        <x:f>IF(COUNT(J602:O602)&lt;6,"",J602*5+K602*4+M602*4+L602*3+N602*2+O602*2)</x:f>
        <x:v>96</x:v>
      </x:c>
      <x:c r="R602" s="14" t="str">
        <x:v>high</x:v>
      </x:c>
      <x:c r="S602" s="14" t="str">
        <x:v>official_prozorro_award_2025_2026</x:v>
      </x:c>
      <x:c r="T602" s="14" t="str">
        <x:v>official_prozorro_api</x:v>
      </x:c>
      <x:c r="U602" s="14" t="str">
        <x:v>Не контактували</x:v>
      </x:c>
      <x:c r="V602" s="15" t="str">
        <x:v>Workflow-audit outreach по UA-2025-12-19-018891-a; попросити 1 пакет здачі та вимоги проєкту</x:v>
      </x:c>
      <x:c r="W602" s="15" t="str">
        <x:v>Власник / директор; керівник ПТО; відповідальний за договори</x:v>
      </x:c>
      <x:c r="X602" s="15" t="str">
        <x:v>1 підтверджених перемог/договорів у Prozorro на 225 902 401 грн; 1 проєктів зі строком виконання не раніше 24.08.2026.</x:v>
      </x:c>
      <x:c r="Y602" s="15" t="str">
        <x:v>(ДК 021:2015 код 45220000-5 Інженерні та будівельні роботи) Протидроновий захист будівлі ГЕС. Підсилення залізобетонних конструкцій для філії "Кременчуцька ГЕС" ПрАТ "Укргідроенерго". Реконструкція; строк до 2026-12-31. Попросити один знеособлений пакет здачі за цим workflow.</x:v>
      </x:c>
      <x:c r="Z602" s="15" t="str">
        <x:v>https://prozorro.gov.ua/tender/UA-2025-12-19-018891-a</x:v>
      </x:c>
      <x:c r="AA602" s="14" t="str">
        <x:v>01412868</x:v>
      </x:c>
      <x:c r="AB602" s="14" t="str">
        <x:v>2026-08-24</x:v>
      </x:c>
      <x:c r="AC602" s="14" t="str"/>
      <x:c r="AD602" s="20" t="str"/>
      <x:c r="AE602" s="14" t="str"/>
      <x:c r="AF602" s="14" t="n">
        <x:v>46</x:v>
      </x:c>
      <x:c r="AG602" s="14" t="str">
        <x:v>I3</x:v>
      </x:c>
      <x:c r="AH602" s="14" t="n">
        <x:v>1</x:v>
      </x:c>
      <x:c r="AI602" s="14" t="n">
        <x:v>1</x:v>
      </x:c>
      <x:c r="AJ602" s="18" t="n">
        <x:v>225902400.84</x:v>
      </x:c>
      <x:c r="AK602" s="14" t="str">
        <x:v>https://prozorro.gov.ua/tender/UA-2025-12-19-018891-a</x:v>
      </x:c>
      <x:c r="AL602" s="19" t="n">
        <x:v>46010.56347040509</x:v>
      </x:c>
      <x:c r="AM602" s="19" t="n">
        <x:v>46387</x:v>
      </x:c>
      <x:c r="AN602" s="15" t="str">
        <x:v>Ремонт і підсилення бетону</x:v>
      </x:c>
      <x:c r="AO602" s="15" t="str">
        <x:v>not_found_in_top_search</x:v>
      </x:c>
    </x:row>
    <x:row r="603">
      <x:c r="A603" s="14" t="str">
        <x:v>W3-331</x:v>
      </x:c>
      <x:c r="B603" s="14" t="str">
        <x:v>Prozorro winners — 24.08</x:v>
      </x:c>
      <x:c r="C603" s="14" t="str">
        <x:v>ТОВАРИСТВО З ОБМЕЖЕНОЮ ВІДПОВІДАЛЬНІСТЮ "ЗЕМЛЕБУДСЕРВІС"</x:v>
      </x:c>
      <x:c r="D603" s="14" t="str">
        <x:v>ГНБ / безтраншейні роботи</x:v>
      </x:c>
      <x:c r="E603" s="14" t="str">
        <x:v>Expansion discovery</x:v>
      </x:c>
      <x:c r="F603" s="17" t="str">
        <x:f>IF(E603="Pilot now",IF(P603&gt;=84,"P1",IF(P603&gt;=72,"P2","P3")),IF(E603="Expansion discovery",IF(Q603&gt;=88,"D1",IF(Q603&gt;=78,"D2","D3")),IF(E603="Later / requirements","L","Legacy")))</x:f>
        <x:v>D1</x:v>
      </x:c>
      <x:c r="G603" s="14" t="str"/>
      <x:c r="H603" s="14" t="str">
        <x:v>Discovery розширення — 2 тижні</x:v>
      </x:c>
      <x:c r="I603" s="16" t="n">
        <x:v>1</x:v>
      </x:c>
      <x:c r="J603" s="16" t="n">
        <x:v>5</x:v>
      </x:c>
      <x:c r="K603" s="16" t="n">
        <x:v>4</x:v>
      </x:c>
      <x:c r="L603" s="16" t="n">
        <x:v>3</x:v>
      </x:c>
      <x:c r="M603" s="16" t="n">
        <x:v>5</x:v>
      </x:c>
      <x:c r="N603" s="16" t="n">
        <x:v>5</x:v>
      </x:c>
      <x:c r="O603" s="16" t="n">
        <x:v>5</x:v>
      </x:c>
      <x:c r="P603" s="16" t="n">
        <x:f>IF(COUNT(I603:O603)&lt;7,"",I603*8+J603*3+K603*2+L603*2+M603*2+N603*2+O603)</x:f>
        <x:v>62</x:v>
      </x:c>
      <x:c r="Q603" s="16" t="n">
        <x:f>IF(COUNT(J603:O603)&lt;6,"",J603*5+K603*4+M603*4+L603*3+N603*2+O603*2)</x:f>
        <x:v>90</x:v>
      </x:c>
      <x:c r="R603" s="14" t="str">
        <x:v>high</x:v>
      </x:c>
      <x:c r="S603" s="14" t="str">
        <x:v>official_prozorro_award_2025_2026</x:v>
      </x:c>
      <x:c r="T603" s="14" t="str">
        <x:v>official_prozorro_api</x:v>
      </x:c>
      <x:c r="U603" s="14" t="str">
        <x:v>Не контактували</x:v>
      </x:c>
      <x:c r="V603" s="15" t="str">
        <x:v>Workflow-audit outreach по UA-2026-03-10-005413-a; попросити 1 пакет здачі та вимоги проєкту</x:v>
      </x:c>
      <x:c r="W603" s="15" t="str">
        <x:v>Власник / директор; керівник ПТО; відповідальний за договори</x:v>
      </x:c>
      <x:c r="X603" s="15" t="str">
        <x:v>1 підтверджених перемог/договорів у Prozorro на 568 840 грн; 1 проєктів зі строком виконання не раніше 24.08.2026.</x:v>
      </x:c>
      <x:c r="Y603" s="15" t="str">
        <x:v>Влаштування футляру методом горизонтально направленого буріння по вул. Князів Коріатовичів,189 в м. Вінниця.
; строк до 2026-12-31. Попросити один знеособлений пакет здачі за цим workflow.</x:v>
      </x:c>
      <x:c r="Z603" s="15" t="str">
        <x:v>https://prozorro.gov.ua/tender/UA-2026-03-10-005413-a</x:v>
      </x:c>
      <x:c r="AA603" s="14" t="str">
        <x:v>40877796</x:v>
      </x:c>
      <x:c r="AB603" s="14" t="str">
        <x:v>2026-08-24</x:v>
      </x:c>
      <x:c r="AC603" s="14" t="str"/>
      <x:c r="AD603" s="20" t="str"/>
      <x:c r="AE603" s="14" t="str"/>
      <x:c r="AF603" s="14" t="n">
        <x:v>46</x:v>
      </x:c>
      <x:c r="AG603" s="14" t="str">
        <x:v>I3</x:v>
      </x:c>
      <x:c r="AH603" s="14" t="n">
        <x:v>1</x:v>
      </x:c>
      <x:c r="AI603" s="14" t="n">
        <x:v>1</x:v>
      </x:c>
      <x:c r="AJ603" s="18" t="n">
        <x:v>568839.71</x:v>
      </x:c>
      <x:c r="AK603" s="14" t="str">
        <x:v>https://prozorro.gov.ua/tender/UA-2026-03-10-005413-a</x:v>
      </x:c>
      <x:c r="AL603" s="19" t="n">
        <x:v>46091.593778622686</x:v>
      </x:c>
      <x:c r="AM603" s="19" t="n">
        <x:v>46387</x:v>
      </x:c>
      <x:c r="AN603" s="15" t="str">
        <x:v>ГНБ / безтраншейні роботи</x:v>
      </x:c>
      <x:c r="AO603" s="15" t="str">
        <x:v>not_found_in_top_search</x:v>
      </x:c>
    </x:row>
    <x:row r="604">
      <x:c r="A604" s="14" t="str">
        <x:v>W3-332</x:v>
      </x:c>
      <x:c r="B604" s="14" t="str">
        <x:v>Prozorro winners — 24.08</x:v>
      </x:c>
      <x:c r="C604" s="14" t="str">
        <x:v>ТОВ "Б КОМ"</x:v>
      </x:c>
      <x:c r="D604" s="14" t="str">
        <x:v>HVAC / ОВіК</x:v>
      </x:c>
      <x:c r="E604" s="14" t="str">
        <x:v>Pilot now</x:v>
      </x:c>
      <x:c r="F604" s="17" t="str">
        <x:f>IF(E604="Pilot now",IF(P604&gt;=84,"P1",IF(P604&gt;=72,"P2","P3")),IF(E604="Expansion discovery",IF(Q604&gt;=88,"D1",IF(Q604&gt;=78,"D2","D3")),IF(E604="Later / requirements","L","Legacy")))</x:f>
        <x:v>P1</x:v>
      </x:c>
      <x:c r="G604" s="14" t="str"/>
      <x:c r="H604" s="14" t="str">
        <x:v>Пілот зараз — Н.14</x:v>
      </x:c>
      <x:c r="I604" s="16" t="n">
        <x:v>5</x:v>
      </x:c>
      <x:c r="J604" s="16" t="n">
        <x:v>5</x:v>
      </x:c>
      <x:c r="K604" s="16" t="n">
        <x:v>5</x:v>
      </x:c>
      <x:c r="L604" s="16" t="n">
        <x:v>1</x:v>
      </x:c>
      <x:c r="M604" s="16" t="n">
        <x:v>5</x:v>
      </x:c>
      <x:c r="N604" s="16" t="n">
        <x:v>5</x:v>
      </x:c>
      <x:c r="O604" s="16" t="n">
        <x:v>5</x:v>
      </x:c>
      <x:c r="P604" s="16" t="n">
        <x:f>IF(COUNT(I604:O604)&lt;7,"",I604*8+J604*3+K604*2+L604*2+M604*2+N604*2+O604)</x:f>
        <x:v>92</x:v>
      </x:c>
      <x:c r="Q604" s="16" t="n">
        <x:f>IF(COUNT(J604:O604)&lt;6,"",J604*5+K604*4+M604*4+L604*3+N604*2+O604*2)</x:f>
        <x:v>88</x:v>
      </x:c>
      <x:c r="R604" s="14" t="str">
        <x:v>high</x:v>
      </x:c>
      <x:c r="S604" s="14" t="str">
        <x:v>official_prozorro_award_2025_2026</x:v>
      </x:c>
      <x:c r="T604" s="14" t="str">
        <x:v>official_prozorro_api</x:v>
      </x:c>
      <x:c r="U604" s="14" t="str">
        <x:v>Не контактували</x:v>
      </x:c>
      <x:c r="V604" s="15" t="str">
        <x:v>Персоналізований free-pilot outreach по UA-2026-05-21-011487-a; попросити 1 пакет Н.14/Н.15</x:v>
      </x:c>
      <x:c r="W604" s="15" t="str">
        <x:v>Власник / директор; керівник ПТО; відповідальний за договори</x:v>
      </x:c>
      <x:c r="X604" s="15" t="str">
        <x:v>1 підтверджених перемог/договорів у Prozorro на 99 930 грн; 1 проєктів зі строком виконання не раніше 24.08.2026.</x:v>
      </x:c>
      <x:c r="Y604" s="15" t="str">
        <x:v>Монтаж системи вентиляції в Хмельницький заклад дошкільної освіти № 15 "Червона шапочка" Хмельницької міської ради Хмельницької області за адресою: Хмельницька обл., м. Хмельницький, вул. Марії Трембовецької 23; строк до 2026-08-31. Попросити один знеособлений пакет здачі за цим workflow.</x:v>
      </x:c>
      <x:c r="Z604" s="15" t="str">
        <x:v>https://prozorro.gov.ua/tender/UA-2026-05-21-011487-a</x:v>
      </x:c>
      <x:c r="AA604" s="14" t="str">
        <x:v>44723522</x:v>
      </x:c>
      <x:c r="AB604" s="14" t="str">
        <x:v>2026-08-24</x:v>
      </x:c>
      <x:c r="AC604" s="14" t="str"/>
      <x:c r="AD604" s="20" t="str"/>
      <x:c r="AE604" s="14" t="str"/>
      <x:c r="AF604" s="14" t="n">
        <x:v>46</x:v>
      </x:c>
      <x:c r="AG604" s="14" t="str">
        <x:v>I3</x:v>
      </x:c>
      <x:c r="AH604" s="14" t="n">
        <x:v>1</x:v>
      </x:c>
      <x:c r="AI604" s="14" t="n">
        <x:v>1</x:v>
      </x:c>
      <x:c r="AJ604" s="18" t="n">
        <x:v>99930</x:v>
      </x:c>
      <x:c r="AK604" s="14" t="str">
        <x:v>https://prozorro.gov.ua/tender/UA-2026-05-21-011487-a</x:v>
      </x:c>
      <x:c r="AL604" s="19" t="n">
        <x:v>46163.544811087966</x:v>
      </x:c>
      <x:c r="AM604" s="19" t="n">
        <x:v>46265</x:v>
      </x:c>
      <x:c r="AN604" s="15" t="str">
        <x:v>HVAC / ОВіК</x:v>
      </x:c>
      <x:c r="AO604" s="15" t="str">
        <x:v>not_found_in_top_search</x:v>
      </x:c>
    </x:row>
    <x:row r="605">
      <x:c r="A605" s="14" t="str">
        <x:v>W3-333</x:v>
      </x:c>
      <x:c r="B605" s="14" t="str">
        <x:v>Prozorro winners — 24.08</x:v>
      </x:c>
      <x:c r="C605" s="14" t="str">
        <x:v>ТОВАРИСТВО З ОБМЕЖЕНОЮ ВІДПОВІДАЛЬНІСТЮ "ЖИТОМИРБУДПРОЕКТЕКСПЕРТИЗА"</x:v>
      </x:c>
      <x:c r="D605" s="14" t="str">
        <x:v>Насосні станції</x:v>
      </x:c>
      <x:c r="E605" s="14" t="str">
        <x:v>Expansion discovery</x:v>
      </x:c>
      <x:c r="F605" s="17" t="str">
        <x:f>IF(E605="Pilot now",IF(P605&gt;=84,"P1",IF(P605&gt;=72,"P2","P3")),IF(E605="Expansion discovery",IF(Q605&gt;=88,"D1",IF(Q605&gt;=78,"D2","D3")),IF(E605="Later / requirements","L","Legacy")))</x:f>
        <x:v>D2</x:v>
      </x:c>
      <x:c r="G605" s="14" t="str"/>
      <x:c r="H605" s="14" t="str">
        <x:v>Discovery розширення — 2 тижні</x:v>
      </x:c>
      <x:c r="I605" s="16" t="n">
        <x:v>1</x:v>
      </x:c>
      <x:c r="J605" s="16" t="n">
        <x:v>5</x:v>
      </x:c>
      <x:c r="K605" s="16" t="n">
        <x:v>4</x:v>
      </x:c>
      <x:c r="L605" s="16" t="n">
        <x:v>1</x:v>
      </x:c>
      <x:c r="M605" s="16" t="n">
        <x:v>5</x:v>
      </x:c>
      <x:c r="N605" s="16" t="n">
        <x:v>5</x:v>
      </x:c>
      <x:c r="O605" s="16" t="n">
        <x:v>5</x:v>
      </x:c>
      <x:c r="P605" s="16" t="n">
        <x:f>IF(COUNT(I605:O605)&lt;7,"",I605*8+J605*3+K605*2+L605*2+M605*2+N605*2+O605)</x:f>
        <x:v>58</x:v>
      </x:c>
      <x:c r="Q605" s="16" t="n">
        <x:f>IF(COUNT(J605:O605)&lt;6,"",J605*5+K605*4+M605*4+L605*3+N605*2+O605*2)</x:f>
        <x:v>84</x:v>
      </x:c>
      <x:c r="R605" s="14" t="str">
        <x:v>high</x:v>
      </x:c>
      <x:c r="S605" s="14" t="str">
        <x:v>official_prozorro_award_2025_2026</x:v>
      </x:c>
      <x:c r="T605" s="14" t="str">
        <x:v>official_prozorro_api</x:v>
      </x:c>
      <x:c r="U605" s="14" t="str">
        <x:v>Не контактували</x:v>
      </x:c>
      <x:c r="V605" s="15" t="str">
        <x:v>Workflow-audit outreach по UA-2026-05-19-005355-a; попросити 1 пакет здачі та вимоги проєкту</x:v>
      </x:c>
      <x:c r="W605" s="15" t="str">
        <x:v>Власник / директор; керівник ПТО; відповідальний за договори</x:v>
      </x:c>
      <x:c r="X605" s="15" t="str">
        <x:v>1 підтверджених перемог/договорів у Prozorro на 99 476 грн; 1 проєктів зі строком виконання не раніше 24.08.2026.</x:v>
      </x:c>
      <x:c r="Y605" s="15" t="str">
        <x:v>Виготовлення проектно-кошторисної документації по "Реконструкція каналізаційної мережі з влаштуванням каналізаційної насосної станції заглибленого типу від житлового масиву за адресою вул. Грушевського 105 в м.Житомир"; строк до 2026-09-16. Попросити один знеособлений пакет здачі за цим workflow.</x:v>
      </x:c>
      <x:c r="Z605" s="15" t="str">
        <x:v>https://prozorro.gov.ua/tender/UA-2026-05-19-005355-a</x:v>
      </x:c>
      <x:c r="AA605" s="14" t="str">
        <x:v>41523369</x:v>
      </x:c>
      <x:c r="AB605" s="14" t="str">
        <x:v>2026-08-24</x:v>
      </x:c>
      <x:c r="AC605" s="14" t="str"/>
      <x:c r="AD605" s="20" t="str"/>
      <x:c r="AE605" s="14" t="str"/>
      <x:c r="AF605" s="14" t="n">
        <x:v>46</x:v>
      </x:c>
      <x:c r="AG605" s="14" t="str">
        <x:v>I3</x:v>
      </x:c>
      <x:c r="AH605" s="14" t="n">
        <x:v>1</x:v>
      </x:c>
      <x:c r="AI605" s="14" t="n">
        <x:v>1</x:v>
      </x:c>
      <x:c r="AJ605" s="18" t="n">
        <x:v>99476.21</x:v>
      </x:c>
      <x:c r="AK605" s="14" t="str">
        <x:v>https://prozorro.gov.ua/tender/UA-2026-05-19-005355-a</x:v>
      </x:c>
      <x:c r="AL605" s="19" t="n">
        <x:v>46161.37153174768</x:v>
      </x:c>
      <x:c r="AM605" s="19" t="n">
        <x:v>46281</x:v>
      </x:c>
      <x:c r="AN605" s="15" t="str">
        <x:v>Насосні станції</x:v>
      </x:c>
      <x:c r="AO605" s="15" t="str">
        <x:v>not_found_in_top_search</x:v>
      </x:c>
    </x:row>
    <x:row r="606">
      <x:c r="A606" s="14" t="str">
        <x:v>W3-334</x:v>
      </x:c>
      <x:c r="B606" s="14" t="str">
        <x:v>Prozorro winners — 24.08</x:v>
      </x:c>
      <x:c r="C606" s="14" t="str">
        <x:v>МИКОЛАЇВСЬКЕ ОБЛАСНЕ СПЕЦІАЛІЗОВАНЕ РЕМОНТНО-БУДІВЕЛЬНЕ ПІДПРИЄМСТВО ПРОТИПОЖЕЖНИХ РОБІТ ДОБРОВІЛЬНОГО ПОЖЕЖНОГО ТОВАРИСТВА УКРАЇНИ</x:v>
      </x:c>
      <x:c r="D606" s="14" t="str">
        <x:v>Пожежогасіння</x:v>
      </x:c>
      <x:c r="E606" s="14" t="str">
        <x:v>Expansion discovery</x:v>
      </x:c>
      <x:c r="F606" s="17" t="str">
        <x:f>IF(E606="Pilot now",IF(P606&gt;=84,"P1",IF(P606&gt;=72,"P2","P3")),IF(E606="Expansion discovery",IF(Q606&gt;=88,"D1",IF(Q606&gt;=78,"D2","D3")),IF(E606="Later / requirements","L","Legacy")))</x:f>
        <x:v>D2</x:v>
      </x:c>
      <x:c r="G606" s="14" t="str"/>
      <x:c r="H606" s="14" t="str">
        <x:v>Discovery розширення — 2 тижні</x:v>
      </x:c>
      <x:c r="I606" s="16" t="n">
        <x:v>1</x:v>
      </x:c>
      <x:c r="J606" s="16" t="n">
        <x:v>5</x:v>
      </x:c>
      <x:c r="K606" s="16" t="n">
        <x:v>4</x:v>
      </x:c>
      <x:c r="L606" s="16" t="n">
        <x:v>1</x:v>
      </x:c>
      <x:c r="M606" s="16" t="n">
        <x:v>5</x:v>
      </x:c>
      <x:c r="N606" s="16" t="n">
        <x:v>5</x:v>
      </x:c>
      <x:c r="O606" s="16" t="n">
        <x:v>5</x:v>
      </x:c>
      <x:c r="P606" s="16" t="n">
        <x:f>IF(COUNT(I606:O606)&lt;7,"",I606*8+J606*3+K606*2+L606*2+M606*2+N606*2+O606)</x:f>
        <x:v>58</x:v>
      </x:c>
      <x:c r="Q606" s="16" t="n">
        <x:f>IF(COUNT(J606:O606)&lt;6,"",J606*5+K606*4+M606*4+L606*3+N606*2+O606*2)</x:f>
        <x:v>84</x:v>
      </x:c>
      <x:c r="R606" s="14" t="str">
        <x:v>high</x:v>
      </x:c>
      <x:c r="S606" s="14" t="str">
        <x:v>official_prozorro_award_2025_2026</x:v>
      </x:c>
      <x:c r="T606" s="14" t="str">
        <x:v>official_prozorro_api</x:v>
      </x:c>
      <x:c r="U606" s="14" t="str">
        <x:v>Не контактували</x:v>
      </x:c>
      <x:c r="V606" s="15" t="str">
        <x:v>Workflow-audit outreach по UA-2026-07-06-006772-a; попросити 1 пакет здачі та вимоги проєкту</x:v>
      </x:c>
      <x:c r="W606" s="15" t="str">
        <x:v>Власник / директор; керівник ПТО; відповідальний за договори</x:v>
      </x:c>
      <x:c r="X606" s="15" t="str">
        <x:v>1 підтверджених перемог/договорів у Prozorro на 99 253 грн; 1 проєктів зі строком виконання не раніше 24.08.2026.</x:v>
      </x:c>
      <x:c r="Y606" s="15" t="str">
        <x:v>Послуги з розроблення проектної документації з монтажу системи пожежної сигналізації; строк до 2026-12-31. Попросити один знеособлений пакет здачі за цим workflow.</x:v>
      </x:c>
      <x:c r="Z606" s="15" t="str">
        <x:v>https://prozorro.gov.ua/tender/UA-2026-07-06-006772-a</x:v>
      </x:c>
      <x:c r="AA606" s="14" t="str">
        <x:v>00183041</x:v>
      </x:c>
      <x:c r="AB606" s="14" t="str">
        <x:v>2026-08-24</x:v>
      </x:c>
      <x:c r="AC606" s="14" t="str"/>
      <x:c r="AD606" s="20" t="str"/>
      <x:c r="AE606" s="14" t="str"/>
      <x:c r="AF606" s="14" t="n">
        <x:v>46</x:v>
      </x:c>
      <x:c r="AG606" s="14" t="str">
        <x:v>I3</x:v>
      </x:c>
      <x:c r="AH606" s="14" t="n">
        <x:v>1</x:v>
      </x:c>
      <x:c r="AI606" s="14" t="n">
        <x:v>1</x:v>
      </x:c>
      <x:c r="AJ606" s="18" t="n">
        <x:v>99253</x:v>
      </x:c>
      <x:c r="AK606" s="14" t="str">
        <x:v>https://prozorro.gov.ua/tender/UA-2026-07-06-006772-a</x:v>
      </x:c>
      <x:c r="AL606" s="19" t="n">
        <x:v>46209.492044074075</x:v>
      </x:c>
      <x:c r="AM606" s="19" t="n">
        <x:v>46387</x:v>
      </x:c>
      <x:c r="AN606" s="15" t="str">
        <x:v>Пожежогасіння</x:v>
      </x:c>
      <x:c r="AO606" s="15" t="str">
        <x:v>not_found_in_top_search</x:v>
      </x:c>
    </x:row>
    <x:row r="607">
      <x:c r="A607" s="14" t="str">
        <x:v>W3-335</x:v>
      </x:c>
      <x:c r="B607" s="14" t="str">
        <x:v>Prozorro winners — 24.08</x:v>
      </x:c>
      <x:c r="C607" s="14" t="str">
        <x:v>Комунальне підприємство "Житло-Експлуатація" Роменської міської ради"</x:v>
      </x:c>
      <x:c r="D607" s="14" t="str">
        <x:v>Мости / інфраструктура</x:v>
      </x:c>
      <x:c r="E607" s="14" t="str">
        <x:v>Expansion discovery</x:v>
      </x:c>
      <x:c r="F607" s="17" t="str">
        <x:f>IF(E607="Pilot now",IF(P607&gt;=84,"P1",IF(P607&gt;=72,"P2","P3")),IF(E607="Expansion discovery",IF(Q607&gt;=88,"D1",IF(Q607&gt;=78,"D2","D3")),IF(E607="Later / requirements","L","Legacy")))</x:f>
        <x:v>D2</x:v>
      </x:c>
      <x:c r="G607" s="14" t="str"/>
      <x:c r="H607" s="14" t="str">
        <x:v>Discovery розширення — 2 тижні</x:v>
      </x:c>
      <x:c r="I607" s="16" t="n">
        <x:v>1</x:v>
      </x:c>
      <x:c r="J607" s="16" t="n">
        <x:v>5</x:v>
      </x:c>
      <x:c r="K607" s="16" t="n">
        <x:v>4</x:v>
      </x:c>
      <x:c r="L607" s="16" t="n">
        <x:v>1</x:v>
      </x:c>
      <x:c r="M607" s="16" t="n">
        <x:v>5</x:v>
      </x:c>
      <x:c r="N607" s="16" t="n">
        <x:v>5</x:v>
      </x:c>
      <x:c r="O607" s="16" t="n">
        <x:v>5</x:v>
      </x:c>
      <x:c r="P607" s="16" t="n">
        <x:f>IF(COUNT(I607:O607)&lt;7,"",I607*8+J607*3+K607*2+L607*2+M607*2+N607*2+O607)</x:f>
        <x:v>58</x:v>
      </x:c>
      <x:c r="Q607" s="16" t="n">
        <x:f>IF(COUNT(J607:O607)&lt;6,"",J607*5+K607*4+M607*4+L607*3+N607*2+O607*2)</x:f>
        <x:v>84</x:v>
      </x:c>
      <x:c r="R607" s="14" t="str">
        <x:v>high</x:v>
      </x:c>
      <x:c r="S607" s="14" t="str">
        <x:v>official_prozorro_award_2025_2026</x:v>
      </x:c>
      <x:c r="T607" s="14" t="str">
        <x:v>official_prozorro_api</x:v>
      </x:c>
      <x:c r="U607" s="14" t="str">
        <x:v>Не контактували</x:v>
      </x:c>
      <x:c r="V607" s="15" t="str">
        <x:v>Workflow-audit outreach по UA-2026-06-26-003746-a; попросити 1 пакет здачі та вимоги проєкту</x:v>
      </x:c>
      <x:c r="W607" s="15" t="str">
        <x:v>Власник / директор; керівник ПТО; відповідальний за договори</x:v>
      </x:c>
      <x:c r="X607" s="15" t="str">
        <x:v>1 підтверджених перемог/договорів у Prozorro на 98 979 грн; 1 проєктів зі строком виконання не раніше 24.08.2026.</x:v>
      </x:c>
      <x:c r="Y607" s="15" t="str">
        <x:v>Поточний ремонт мосту по вул. Покровський узвіз в м. Ромни Сумської області; строк до 2026-12-31. Попросити один знеособлений пакет здачі за цим workflow.</x:v>
      </x:c>
      <x:c r="Z607" s="15" t="str">
        <x:v>https://prozorro.gov.ua/tender/UA-2026-06-26-003746-a</x:v>
      </x:c>
      <x:c r="AA607" s="14" t="str">
        <x:v>34255061</x:v>
      </x:c>
      <x:c r="AB607" s="14" t="str">
        <x:v>2026-08-24</x:v>
      </x:c>
      <x:c r="AC607" s="14" t="str"/>
      <x:c r="AD607" s="20" t="str"/>
      <x:c r="AE607" s="14" t="str"/>
      <x:c r="AF607" s="14" t="n">
        <x:v>46</x:v>
      </x:c>
      <x:c r="AG607" s="14" t="str">
        <x:v>I3</x:v>
      </x:c>
      <x:c r="AH607" s="14" t="n">
        <x:v>1</x:v>
      </x:c>
      <x:c r="AI607" s="14" t="n">
        <x:v>1</x:v>
      </x:c>
      <x:c r="AJ607" s="18" t="n">
        <x:v>98979.06</x:v>
      </x:c>
      <x:c r="AK607" s="14" t="str">
        <x:v>https://prozorro.gov.ua/tender/UA-2026-06-26-003746-a</x:v>
      </x:c>
      <x:c r="AL607" s="19" t="n">
        <x:v>46199.346181469904</x:v>
      </x:c>
      <x:c r="AM607" s="19" t="n">
        <x:v>46387</x:v>
      </x:c>
      <x:c r="AN607" s="15" t="str">
        <x:v>Мости / інфраструктура</x:v>
      </x:c>
      <x:c r="AO607" s="15" t="str">
        <x:v>not_found_in_top_search</x:v>
      </x:c>
    </x:row>
    <x:row r="608">
      <x:c r="A608" s="14" t="str">
        <x:v>W3-336</x:v>
      </x:c>
      <x:c r="B608" s="14" t="str">
        <x:v>Prozorro winners — 24.08</x:v>
      </x:c>
      <x:c r="C608" s="14" t="str">
        <x:v>АТ"ІЦ"УКРГАЗТЕХНІКА"</x:v>
      </x:c>
      <x:c r="D608" s="14" t="str">
        <x:v>Газопостачання / котельні</x:v>
      </x:c>
      <x:c r="E608" s="14" t="str">
        <x:v>Expansion discovery</x:v>
      </x:c>
      <x:c r="F608" s="17" t="str">
        <x:f>IF(E608="Pilot now",IF(P608&gt;=84,"P1",IF(P608&gt;=72,"P2","P3")),IF(E608="Expansion discovery",IF(Q608&gt;=88,"D1",IF(Q608&gt;=78,"D2","D3")),IF(E608="Later / requirements","L","Legacy")))</x:f>
        <x:v>D2</x:v>
      </x:c>
      <x:c r="G608" s="14" t="str">
        <x:v>ugt.com.ua</x:v>
      </x:c>
      <x:c r="H608" s="14" t="str">
        <x:v>Discovery розширення — 2 тижні</x:v>
      </x:c>
      <x:c r="I608" s="16" t="n">
        <x:v>1</x:v>
      </x:c>
      <x:c r="J608" s="16" t="n">
        <x:v>5</x:v>
      </x:c>
      <x:c r="K608" s="16" t="n">
        <x:v>4</x:v>
      </x:c>
      <x:c r="L608" s="16" t="n">
        <x:v>1</x:v>
      </x:c>
      <x:c r="M608" s="16" t="n">
        <x:v>5</x:v>
      </x:c>
      <x:c r="N608" s="16" t="n">
        <x:v>5</x:v>
      </x:c>
      <x:c r="O608" s="16" t="n">
        <x:v>5</x:v>
      </x:c>
      <x:c r="P608" s="16" t="n">
        <x:f>IF(COUNT(I608:O608)&lt;7,"",I608*8+J608*3+K608*2+L608*2+M608*2+N608*2+O608)</x:f>
        <x:v>58</x:v>
      </x:c>
      <x:c r="Q608" s="16" t="n">
        <x:f>IF(COUNT(J608:O608)&lt;6,"",J608*5+K608*4+M608*4+L608*3+N608*2+O608*2)</x:f>
        <x:v>84</x:v>
      </x:c>
      <x:c r="R608" s="14" t="str">
        <x:v>high</x:v>
      </x:c>
      <x:c r="S608" s="14" t="str">
        <x:v>official_prozorro_award_2025_2026</x:v>
      </x:c>
      <x:c r="T608" s="14" t="str">
        <x:v>official_prozorro_api</x:v>
      </x:c>
      <x:c r="U608" s="14" t="str">
        <x:v>Не контактували</x:v>
      </x:c>
      <x:c r="V608" s="15" t="str">
        <x:v>Workflow-audit outreach по UA-2026-04-30-007989-a; попросити 1 пакет здачі та вимоги проєкту</x:v>
      </x:c>
      <x:c r="W608" s="15" t="str">
        <x:v>Власник / директор; керівник ПТО; відповідальний за договори</x:v>
      </x:c>
      <x:c r="X608" s="15" t="str">
        <x:v>1 підтверджених перемог/договорів у Prozorro на 98 800 грн; 1 проєктів зі строком виконання не раніше 24.08.2026.</x:v>
      </x:c>
      <x:c r="Y608" s="15" t="str">
        <x:v>Монтаж стабілізатора напруги Awattom CHTIT-10,5 кВт заміна акумулятора пульта контролю роботи опалювальної установки "сигнал-11" котельні Андріївського ліцею №1 Донецької селищної ради Ізюмського району Харківської області за адресою: селище Андріївка, площа Центральна, будинок 41; строк до 2026-12-31. Попросити один знеособлений пакет здачі за цим workflow.</x:v>
      </x:c>
      <x:c r="Z608" s="15" t="str">
        <x:v>https://prozorro.gov.ua/tender/UA-2026-04-30-007989-a</x:v>
      </x:c>
      <x:c r="AA608" s="14" t="str">
        <x:v>14073155</x:v>
      </x:c>
      <x:c r="AB608" s="14" t="str">
        <x:v>2026-08-24</x:v>
      </x:c>
      <x:c r="AC608" s="14" t="str"/>
      <x:c r="AD608" s="20" t="str"/>
      <x:c r="AE608" s="14" t="str"/>
      <x:c r="AF608" s="14" t="n">
        <x:v>46</x:v>
      </x:c>
      <x:c r="AG608" s="14" t="str">
        <x:v>I3</x:v>
      </x:c>
      <x:c r="AH608" s="14" t="n">
        <x:v>1</x:v>
      </x:c>
      <x:c r="AI608" s="14" t="n">
        <x:v>1</x:v>
      </x:c>
      <x:c r="AJ608" s="18" t="n">
        <x:v>98800</x:v>
      </x:c>
      <x:c r="AK608" s="14" t="str">
        <x:v>https://prozorro.gov.ua/tender/UA-2026-04-30-007989-a</x:v>
      </x:c>
      <x:c r="AL608" s="19" t="n">
        <x:v>46142.5013240625</x:v>
      </x:c>
      <x:c r="AM608" s="19" t="n">
        <x:v>46387</x:v>
      </x:c>
      <x:c r="AN608" s="15" t="str">
        <x:v>Газопостачання / котельні</x:v>
      </x:c>
      <x:c r="AO608" s="15" t="str">
        <x:v>supplier_provided_url</x:v>
      </x:c>
    </x:row>
    <x:row r="609">
      <x:c r="A609" s="14" t="str">
        <x:v>W3-337</x:v>
      </x:c>
      <x:c r="B609" s="14" t="str">
        <x:v>Prozorro winners — 24.08</x:v>
      </x:c>
      <x:c r="C609" s="14" t="str">
        <x:v>ТОВАРИСТВО З ОБМЕЖЕНОЮ ВІДПОВІДАЛЬНІСТЮ "ВЕКТОР БУД-ТОРГ"</x:v>
      </x:c>
      <x:c r="D609" s="14" t="str">
        <x:v>HVAC / ОВіК</x:v>
      </x:c>
      <x:c r="E609" s="14" t="str">
        <x:v>Pilot now</x:v>
      </x:c>
      <x:c r="F609" s="17" t="str">
        <x:f>IF(E609="Pilot now",IF(P609&gt;=84,"P1",IF(P609&gt;=72,"P2","P3")),IF(E609="Expansion discovery",IF(Q609&gt;=88,"D1",IF(Q609&gt;=78,"D2","D3")),IF(E609="Later / requirements","L","Legacy")))</x:f>
        <x:v>P1</x:v>
      </x:c>
      <x:c r="G609" s="14" t="str"/>
      <x:c r="H609" s="14" t="str">
        <x:v>Пілот зараз — Н.14</x:v>
      </x:c>
      <x:c r="I609" s="16" t="n">
        <x:v>5</x:v>
      </x:c>
      <x:c r="J609" s="16" t="n">
        <x:v>5</x:v>
      </x:c>
      <x:c r="K609" s="16" t="n">
        <x:v>5</x:v>
      </x:c>
      <x:c r="L609" s="16" t="n">
        <x:v>1</x:v>
      </x:c>
      <x:c r="M609" s="16" t="n">
        <x:v>5</x:v>
      </x:c>
      <x:c r="N609" s="16" t="n">
        <x:v>5</x:v>
      </x:c>
      <x:c r="O609" s="16" t="n">
        <x:v>5</x:v>
      </x:c>
      <x:c r="P609" s="16" t="n">
        <x:f>IF(COUNT(I609:O609)&lt;7,"",I609*8+J609*3+K609*2+L609*2+M609*2+N609*2+O609)</x:f>
        <x:v>92</x:v>
      </x:c>
      <x:c r="Q609" s="16" t="n">
        <x:f>IF(COUNT(J609:O609)&lt;6,"",J609*5+K609*4+M609*4+L609*3+N609*2+O609*2)</x:f>
        <x:v>88</x:v>
      </x:c>
      <x:c r="R609" s="14" t="str">
        <x:v>high</x:v>
      </x:c>
      <x:c r="S609" s="14" t="str">
        <x:v>official_prozorro_award_2025_2026</x:v>
      </x:c>
      <x:c r="T609" s="14" t="str">
        <x:v>official_prozorro_api</x:v>
      </x:c>
      <x:c r="U609" s="14" t="str">
        <x:v>Не контактували</x:v>
      </x:c>
      <x:c r="V609" s="15" t="str">
        <x:v>Персоналізований free-pilot outreach по UA-2026-07-03-005222-a; попросити 1 пакет Н.14/Н.15</x:v>
      </x:c>
      <x:c r="W609" s="15" t="str">
        <x:v>Власник / директор; керівник ПТО; відповідальний за договори</x:v>
      </x:c>
      <x:c r="X609" s="15" t="str">
        <x:v>1 підтверджених перемог/договорів у Prozorro на 98 515 грн; 1 проєктів зі строком виконання не раніше 24.08.2026.</x:v>
      </x:c>
      <x:c r="Y609" s="15" t="str">
        <x:v>Послуги з монтажу та демонтажу системи опалення, труб, радіаторів Код ДК 021:2015 45330000-9 Водопровідні та санітарно-технічні роботи; строк до 2026-12-31. Попросити один знеособлений пакет здачі за цим workflow.</x:v>
      </x:c>
      <x:c r="Z609" s="15" t="str">
        <x:v>https://prozorro.gov.ua/tender/UA-2026-07-03-005222-a</x:v>
      </x:c>
      <x:c r="AA609" s="14" t="str">
        <x:v>41610262</x:v>
      </x:c>
      <x:c r="AB609" s="14" t="str">
        <x:v>2026-08-24</x:v>
      </x:c>
      <x:c r="AC609" s="14" t="str"/>
      <x:c r="AD609" s="20" t="str"/>
      <x:c r="AE609" s="14" t="str"/>
      <x:c r="AF609" s="14" t="n">
        <x:v>46</x:v>
      </x:c>
      <x:c r="AG609" s="14" t="str">
        <x:v>I3</x:v>
      </x:c>
      <x:c r="AH609" s="14" t="n">
        <x:v>1</x:v>
      </x:c>
      <x:c r="AI609" s="14" t="n">
        <x:v>1</x:v>
      </x:c>
      <x:c r="AJ609" s="18" t="n">
        <x:v>98515.14</x:v>
      </x:c>
      <x:c r="AK609" s="14" t="str">
        <x:v>https://prozorro.gov.ua/tender/UA-2026-07-03-005222-a</x:v>
      </x:c>
      <x:c r="AL609" s="19" t="n">
        <x:v>46206.41618704861</x:v>
      </x:c>
      <x:c r="AM609" s="19" t="n">
        <x:v>46387</x:v>
      </x:c>
      <x:c r="AN609" s="15" t="str">
        <x:v>HVAC / ОВіК</x:v>
      </x:c>
      <x:c r="AO609" s="15" t="str">
        <x:v>not_found_in_top_search</x:v>
      </x:c>
    </x:row>
    <x:row r="610">
      <x:c r="A610" s="14" t="str">
        <x:v>W3-338</x:v>
      </x:c>
      <x:c r="B610" s="14" t="str">
        <x:v>Prozorro winners — 24.08</x:v>
      </x:c>
      <x:c r="C610" s="14" t="str">
        <x:v>Товариство з обмеженою відповідальністю «КРИВБАСПРОЕКТ»</x:v>
      </x:c>
      <x:c r="D610" s="14" t="str">
        <x:v>Зовнішні мережі</x:v>
      </x:c>
      <x:c r="E610" s="14" t="str">
        <x:v>Expansion discovery</x:v>
      </x:c>
      <x:c r="F610" s="17" t="str">
        <x:f>IF(E610="Pilot now",IF(P610&gt;=84,"P1",IF(P610&gt;=72,"P2","P3")),IF(E610="Expansion discovery",IF(Q610&gt;=88,"D1",IF(Q610&gt;=78,"D2","D3")),IF(E610="Later / requirements","L","Legacy")))</x:f>
        <x:v>D2</x:v>
      </x:c>
      <x:c r="G610" s="14" t="str"/>
      <x:c r="H610" s="14" t="str">
        <x:v>Discovery розширення — 2 тижні</x:v>
      </x:c>
      <x:c r="I610" s="16" t="n">
        <x:v>1</x:v>
      </x:c>
      <x:c r="J610" s="16" t="n">
        <x:v>5</x:v>
      </x:c>
      <x:c r="K610" s="16" t="n">
        <x:v>4</x:v>
      </x:c>
      <x:c r="L610" s="16" t="n">
        <x:v>1</x:v>
      </x:c>
      <x:c r="M610" s="16" t="n">
        <x:v>5</x:v>
      </x:c>
      <x:c r="N610" s="16" t="n">
        <x:v>5</x:v>
      </x:c>
      <x:c r="O610" s="16" t="n">
        <x:v>5</x:v>
      </x:c>
      <x:c r="P610" s="16" t="n">
        <x:f>IF(COUNT(I610:O610)&lt;7,"",I610*8+J610*3+K610*2+L610*2+M610*2+N610*2+O610)</x:f>
        <x:v>58</x:v>
      </x:c>
      <x:c r="Q610" s="16" t="n">
        <x:f>IF(COUNT(J610:O610)&lt;6,"",J610*5+K610*4+M610*4+L610*3+N610*2+O610*2)</x:f>
        <x:v>84</x:v>
      </x:c>
      <x:c r="R610" s="14" t="str">
        <x:v>high</x:v>
      </x:c>
      <x:c r="S610" s="14" t="str">
        <x:v>official_prozorro_award_2025_2026</x:v>
      </x:c>
      <x:c r="T610" s="14" t="str">
        <x:v>official_prozorro_api</x:v>
      </x:c>
      <x:c r="U610" s="14" t="str">
        <x:v>Не контактували</x:v>
      </x:c>
      <x:c r="V610" s="15" t="str">
        <x:v>Workflow-audit outreach по UA-2026-05-26-014763-a; попросити 1 пакет здачі та вимоги проєкту</x:v>
      </x:c>
      <x:c r="W610" s="15" t="str">
        <x:v>Власник / директор; керівник ПТО; відповідальний за договори</x:v>
      </x:c>
      <x:c r="X610" s="15" t="str">
        <x:v>1 підтверджених перемог/договорів у Prozorro на 93 984 грн; 1 проєктів зі строком виконання не раніше 24.08.2026.</x:v>
      </x:c>
      <x:c r="Y610" s="15" t="str">
        <x:v>Роботи з авторського нагляду під час будівництва об'єкта "Нове будівництво зовнішніх інженерних мереж індустріального парку "Кривбас" на вул. Фабричній у м. Кривому Розі, Дніпропетровської області" 1 черга; строк до 2026-12-31. Попросити один знеособлений пакет здачі за цим workflow.</x:v>
      </x:c>
      <x:c r="Z610" s="15" t="str">
        <x:v>https://prozorro.gov.ua/tender/UA-2026-05-26-014763-a</x:v>
      </x:c>
      <x:c r="AA610" s="14" t="str">
        <x:v>45563913</x:v>
      </x:c>
      <x:c r="AB610" s="14" t="str">
        <x:v>2026-08-24</x:v>
      </x:c>
      <x:c r="AC610" s="14" t="str"/>
      <x:c r="AD610" s="20" t="str"/>
      <x:c r="AE610" s="14" t="str"/>
      <x:c r="AF610" s="14" t="n">
        <x:v>46</x:v>
      </x:c>
      <x:c r="AG610" s="14" t="str">
        <x:v>I3</x:v>
      </x:c>
      <x:c r="AH610" s="14" t="n">
        <x:v>1</x:v>
      </x:c>
      <x:c r="AI610" s="14" t="n">
        <x:v>1</x:v>
      </x:c>
      <x:c r="AJ610" s="18" t="n">
        <x:v>93984</x:v>
      </x:c>
      <x:c r="AK610" s="14" t="str">
        <x:v>https://prozorro.gov.ua/tender/UA-2026-05-26-014763-a</x:v>
      </x:c>
      <x:c r="AL610" s="19" t="n">
        <x:v>46168.6494353125</x:v>
      </x:c>
      <x:c r="AM610" s="19" t="n">
        <x:v>46387</x:v>
      </x:c>
      <x:c r="AN610" s="15" t="str">
        <x:v>Зовнішні мережі</x:v>
      </x:c>
      <x:c r="AO610" s="15" t="str">
        <x:v>not_found_in_top_search</x:v>
      </x:c>
    </x:row>
    <x:row r="611">
      <x:c r="A611" s="14" t="str">
        <x:v>W3-339</x:v>
      </x:c>
      <x:c r="B611" s="14" t="str">
        <x:v>Prozorro winners — 24.08</x:v>
      </x:c>
      <x:c r="C611" s="14" t="str">
        <x:v>ПП Асоціація перевізників «Автоальянс»</x:v>
      </x:c>
      <x:c r="D611" s="14" t="str">
        <x:v>Пожежогасіння</x:v>
      </x:c>
      <x:c r="E611" s="14" t="str">
        <x:v>Expansion discovery</x:v>
      </x:c>
      <x:c r="F611" s="17" t="str">
        <x:f>IF(E611="Pilot now",IF(P611&gt;=84,"P1",IF(P611&gt;=72,"P2","P3")),IF(E611="Expansion discovery",IF(Q611&gt;=88,"D1",IF(Q611&gt;=78,"D2","D3")),IF(E611="Later / requirements","L","Legacy")))</x:f>
        <x:v>D2</x:v>
      </x:c>
      <x:c r="G611" s="14" t="str"/>
      <x:c r="H611" s="14" t="str">
        <x:v>Discovery розширення — 2 тижні</x:v>
      </x:c>
      <x:c r="I611" s="16" t="n">
        <x:v>1</x:v>
      </x:c>
      <x:c r="J611" s="16" t="n">
        <x:v>5</x:v>
      </x:c>
      <x:c r="K611" s="16" t="n">
        <x:v>4</x:v>
      </x:c>
      <x:c r="L611" s="16" t="n">
        <x:v>1</x:v>
      </x:c>
      <x:c r="M611" s="16" t="n">
        <x:v>5</x:v>
      </x:c>
      <x:c r="N611" s="16" t="n">
        <x:v>5</x:v>
      </x:c>
      <x:c r="O611" s="16" t="n">
        <x:v>5</x:v>
      </x:c>
      <x:c r="P611" s="16" t="n">
        <x:f>IF(COUNT(I611:O611)&lt;7,"",I611*8+J611*3+K611*2+L611*2+M611*2+N611*2+O611)</x:f>
        <x:v>58</x:v>
      </x:c>
      <x:c r="Q611" s="16" t="n">
        <x:f>IF(COUNT(J611:O611)&lt;6,"",J611*5+K611*4+M611*4+L611*3+N611*2+O611*2)</x:f>
        <x:v>84</x:v>
      </x:c>
      <x:c r="R611" s="14" t="str">
        <x:v>high</x:v>
      </x:c>
      <x:c r="S611" s="14" t="str">
        <x:v>official_prozorro_award_2025_2026</x:v>
      </x:c>
      <x:c r="T611" s="14" t="str">
        <x:v>official_prozorro_api</x:v>
      </x:c>
      <x:c r="U611" s="14" t="str">
        <x:v>Не контактували</x:v>
      </x:c>
      <x:c r="V611" s="15" t="str">
        <x:v>Workflow-audit outreach по UA-2026-06-18-009132-a; попросити 1 пакет здачі та вимоги проєкту</x:v>
      </x:c>
      <x:c r="W611" s="15" t="str">
        <x:v>Власник / директор; керівник ПТО; відповідальний за договори</x:v>
      </x:c>
      <x:c r="X611" s="15" t="str">
        <x:v>1 підтверджених перемог/договорів у Prozorro на 86 996 грн; 1 проєктів зі строком виконання не раніше 24.08.2026.</x:v>
      </x:c>
      <x:c r="Y611" s="15" t="str">
        <x:v>Монтаж обладнання для системи автоматичної пожежної сигналізації та системи керування евакуюванням; строк до 2026-12-31. Попросити один знеособлений пакет здачі за цим workflow.</x:v>
      </x:c>
      <x:c r="Z611" s="15" t="str">
        <x:v>https://prozorro.gov.ua/tender/UA-2026-06-18-009132-a</x:v>
      </x:c>
      <x:c r="AA611" s="14" t="str">
        <x:v>32904165</x:v>
      </x:c>
      <x:c r="AB611" s="14" t="str">
        <x:v>2026-08-24</x:v>
      </x:c>
      <x:c r="AC611" s="14" t="str"/>
      <x:c r="AD611" s="20" t="str"/>
      <x:c r="AE611" s="14" t="str"/>
      <x:c r="AF611" s="14" t="n">
        <x:v>46</x:v>
      </x:c>
      <x:c r="AG611" s="14" t="str">
        <x:v>I3</x:v>
      </x:c>
      <x:c r="AH611" s="14" t="n">
        <x:v>1</x:v>
      </x:c>
      <x:c r="AI611" s="14" t="n">
        <x:v>1</x:v>
      </x:c>
      <x:c r="AJ611" s="18" t="n">
        <x:v>86995.95</x:v>
      </x:c>
      <x:c r="AK611" s="14" t="str">
        <x:v>https://prozorro.gov.ua/tender/UA-2026-06-18-009132-a</x:v>
      </x:c>
      <x:c r="AL611" s="19" t="n">
        <x:v>46191.49398172454</x:v>
      </x:c>
      <x:c r="AM611" s="19" t="n">
        <x:v>46387</x:v>
      </x:c>
      <x:c r="AN611" s="15" t="str">
        <x:v>Пожежогасіння</x:v>
      </x:c>
      <x:c r="AO611" s="15" t="str">
        <x:v>not_found_in_top_search</x:v>
      </x:c>
    </x:row>
    <x:row r="612">
      <x:c r="A612" s="14" t="str">
        <x:v>W3-340</x:v>
      </x:c>
      <x:c r="B612" s="14" t="str">
        <x:v>Prozorro winners — 24.08</x:v>
      </x:c>
      <x:c r="C612" s="14" t="str">
        <x:v>ТОВ "АЛЕГРО"</x:v>
      </x:c>
      <x:c r="D612" s="14" t="str">
        <x:v>Пожежогасіння</x:v>
      </x:c>
      <x:c r="E612" s="14" t="str">
        <x:v>Expansion discovery</x:v>
      </x:c>
      <x:c r="F612" s="17" t="str">
        <x:f>IF(E612="Pilot now",IF(P612&gt;=84,"P1",IF(P612&gt;=72,"P2","P3")),IF(E612="Expansion discovery",IF(Q612&gt;=88,"D1",IF(Q612&gt;=78,"D2","D3")),IF(E612="Later / requirements","L","Legacy")))</x:f>
        <x:v>D2</x:v>
      </x:c>
      <x:c r="G612" s="14" t="str"/>
      <x:c r="H612" s="14" t="str">
        <x:v>Discovery розширення — 2 тижні</x:v>
      </x:c>
      <x:c r="I612" s="16" t="n">
        <x:v>1</x:v>
      </x:c>
      <x:c r="J612" s="16" t="n">
        <x:v>5</x:v>
      </x:c>
      <x:c r="K612" s="16" t="n">
        <x:v>4</x:v>
      </x:c>
      <x:c r="L612" s="16" t="n">
        <x:v>1</x:v>
      </x:c>
      <x:c r="M612" s="16" t="n">
        <x:v>5</x:v>
      </x:c>
      <x:c r="N612" s="16" t="n">
        <x:v>5</x:v>
      </x:c>
      <x:c r="O612" s="16" t="n">
        <x:v>5</x:v>
      </x:c>
      <x:c r="P612" s="16" t="n">
        <x:f>IF(COUNT(I612:O612)&lt;7,"",I612*8+J612*3+K612*2+L612*2+M612*2+N612*2+O612)</x:f>
        <x:v>58</x:v>
      </x:c>
      <x:c r="Q612" s="16" t="n">
        <x:f>IF(COUNT(J612:O612)&lt;6,"",J612*5+K612*4+M612*4+L612*3+N612*2+O612*2)</x:f>
        <x:v>84</x:v>
      </x:c>
      <x:c r="R612" s="14" t="str">
        <x:v>high</x:v>
      </x:c>
      <x:c r="S612" s="14" t="str">
        <x:v>official_prozorro_award_2025_2026</x:v>
      </x:c>
      <x:c r="T612" s="14" t="str">
        <x:v>official_prozorro_api</x:v>
      </x:c>
      <x:c r="U612" s="14" t="str">
        <x:v>Не контактували</x:v>
      </x:c>
      <x:c r="V612" s="15" t="str">
        <x:v>Workflow-audit outreach по UA-2026-06-16-005274-a; попросити 1 пакет здачі та вимоги проєкту</x:v>
      </x:c>
      <x:c r="W612" s="15" t="str">
        <x:v>Власник / директор; керівник ПТО; відповідальний за договори</x:v>
      </x:c>
      <x:c r="X612" s="15" t="str">
        <x:v>1 підтверджених перемог/договорів у Prozorro на 85 800 грн; 1 проєктів зі строком виконання не раніше 24.08.2026.</x:v>
      </x:c>
      <x:c r="Y612" s="15" t="str">
        <x:v>Послуга по монтажу пожежної сигналізації та встановлення системи оповіщення про пожежу та управління евакувцією людей на обєкті; строк до 2026-12-31. Попросити один знеособлений пакет здачі за цим workflow.</x:v>
      </x:c>
      <x:c r="Z612" s="15" t="str">
        <x:v>https://prozorro.gov.ua/tender/UA-2026-06-16-005274-a</x:v>
      </x:c>
      <x:c r="AA612" s="14" t="str">
        <x:v>20587243</x:v>
      </x:c>
      <x:c r="AB612" s="14" t="str">
        <x:v>2026-08-24</x:v>
      </x:c>
      <x:c r="AC612" s="14" t="str"/>
      <x:c r="AD612" s="20" t="str"/>
      <x:c r="AE612" s="14" t="str"/>
      <x:c r="AF612" s="14" t="n">
        <x:v>46</x:v>
      </x:c>
      <x:c r="AG612" s="14" t="str">
        <x:v>I3</x:v>
      </x:c>
      <x:c r="AH612" s="14" t="n">
        <x:v>1</x:v>
      </x:c>
      <x:c r="AI612" s="14" t="n">
        <x:v>1</x:v>
      </x:c>
      <x:c r="AJ612" s="18" t="n">
        <x:v>85800</x:v>
      </x:c>
      <x:c r="AK612" s="14" t="str">
        <x:v>https://prozorro.gov.ua/tender/UA-2026-06-16-005274-a</x:v>
      </x:c>
      <x:c r="AL612" s="19" t="n">
        <x:v>46189.37239056713</x:v>
      </x:c>
      <x:c r="AM612" s="19" t="n">
        <x:v>46387</x:v>
      </x:c>
      <x:c r="AN612" s="15" t="str">
        <x:v>Пожежогасіння</x:v>
      </x:c>
      <x:c r="AO612" s="15" t="str">
        <x:v>not_found_in_top_search</x:v>
      </x:c>
    </x:row>
    <x:row r="613">
      <x:c r="A613" s="14" t="str">
        <x:v>W3-341</x:v>
      </x:c>
      <x:c r="B613" s="14" t="str">
        <x:v>Prozorro winners — 24.08</x:v>
      </x:c>
      <x:c r="C613" s="14" t="str">
        <x:v>ТОВАРИСТВО З ОБМЕЖЕНОЮ ВІДПОВІДАЛЬНІСТЮ "БЕСТ ТЕХНОЛОДЖІ КОМПАНІ"</x:v>
      </x:c>
      <x:c r="D613" s="14" t="str">
        <x:v>Пожежогасіння</x:v>
      </x:c>
      <x:c r="E613" s="14" t="str">
        <x:v>Expansion discovery</x:v>
      </x:c>
      <x:c r="F613" s="17" t="str">
        <x:f>IF(E613="Pilot now",IF(P613&gt;=84,"P1",IF(P613&gt;=72,"P2","P3")),IF(E613="Expansion discovery",IF(Q613&gt;=88,"D1",IF(Q613&gt;=78,"D2","D3")),IF(E613="Later / requirements","L","Legacy")))</x:f>
        <x:v>D2</x:v>
      </x:c>
      <x:c r="G613" s="14" t="str"/>
      <x:c r="H613" s="14" t="str">
        <x:v>Discovery розширення — 2 тижні</x:v>
      </x:c>
      <x:c r="I613" s="16" t="n">
        <x:v>1</x:v>
      </x:c>
      <x:c r="J613" s="16" t="n">
        <x:v>5</x:v>
      </x:c>
      <x:c r="K613" s="16" t="n">
        <x:v>4</x:v>
      </x:c>
      <x:c r="L613" s="16" t="n">
        <x:v>1</x:v>
      </x:c>
      <x:c r="M613" s="16" t="n">
        <x:v>5</x:v>
      </x:c>
      <x:c r="N613" s="16" t="n">
        <x:v>5</x:v>
      </x:c>
      <x:c r="O613" s="16" t="n">
        <x:v>5</x:v>
      </x:c>
      <x:c r="P613" s="16" t="n">
        <x:f>IF(COUNT(I613:O613)&lt;7,"",I613*8+J613*3+K613*2+L613*2+M613*2+N613*2+O613)</x:f>
        <x:v>58</x:v>
      </x:c>
      <x:c r="Q613" s="16" t="n">
        <x:f>IF(COUNT(J613:O613)&lt;6,"",J613*5+K613*4+M613*4+L613*3+N613*2+O613*2)</x:f>
        <x:v>84</x:v>
      </x:c>
      <x:c r="R613" s="14" t="str">
        <x:v>high</x:v>
      </x:c>
      <x:c r="S613" s="14" t="str">
        <x:v>official_prozorro_award_2025_2026</x:v>
      </x:c>
      <x:c r="T613" s="14" t="str">
        <x:v>official_prozorro_api</x:v>
      </x:c>
      <x:c r="U613" s="14" t="str">
        <x:v>Не контактували</x:v>
      </x:c>
      <x:c r="V613" s="15" t="str">
        <x:v>Workflow-audit outreach по UA-2026-06-25-012164-a; попросити 1 пакет здачі та вимоги проєкту</x:v>
      </x:c>
      <x:c r="W613" s="15" t="str">
        <x:v>Власник / директор; керівник ПТО; відповідальний за договори</x:v>
      </x:c>
      <x:c r="X613" s="15" t="str">
        <x:v>1 підтверджених перемог/договорів у Prozorro на 79 491 грн; 1 проєктів зі строком виконання не раніше 24.08.2026.</x:v>
      </x:c>
      <x:c r="Y613" s="15" t="str">
        <x:v>Послуги з поточного ремонту: монтажу й установки систем пожежної сигналізації та керування евакуюванням для кафедри безпілотних систем (будівлі 17/104, третій поверх); строк до 2026-08-30. Попросити один знеособлений пакет здачі за цим workflow.</x:v>
      </x:c>
      <x:c r="Z613" s="15" t="str">
        <x:v>https://prozorro.gov.ua/tender/UA-2026-06-25-012164-a</x:v>
      </x:c>
      <x:c r="AA613" s="14" t="str">
        <x:v>40753202</x:v>
      </x:c>
      <x:c r="AB613" s="14" t="str">
        <x:v>2026-08-24</x:v>
      </x:c>
      <x:c r="AC613" s="14" t="str"/>
      <x:c r="AD613" s="20" t="str"/>
      <x:c r="AE613" s="14" t="str"/>
      <x:c r="AF613" s="14" t="n">
        <x:v>46</x:v>
      </x:c>
      <x:c r="AG613" s="14" t="str">
        <x:v>I3</x:v>
      </x:c>
      <x:c r="AH613" s="14" t="n">
        <x:v>1</x:v>
      </x:c>
      <x:c r="AI613" s="14" t="n">
        <x:v>1</x:v>
      </x:c>
      <x:c r="AJ613" s="18" t="n">
        <x:v>79491.24</x:v>
      </x:c>
      <x:c r="AK613" s="14" t="str">
        <x:v>https://prozorro.gov.ua/tender/UA-2026-06-25-012164-a</x:v>
      </x:c>
      <x:c r="AL613" s="19" t="n">
        <x:v>46198.575708854165</x:v>
      </x:c>
      <x:c r="AM613" s="19" t="n">
        <x:v>46264</x:v>
      </x:c>
      <x:c r="AN613" s="15" t="str">
        <x:v>Пожежогасіння</x:v>
      </x:c>
      <x:c r="AO613" s="15" t="str">
        <x:v>not_found_in_top_search</x:v>
      </x:c>
    </x:row>
    <x:row r="614">
      <x:c r="A614" s="14" t="str">
        <x:v>W3-342</x:v>
      </x:c>
      <x:c r="B614" s="14" t="str">
        <x:v>Prozorro winners — 24.08</x:v>
      </x:c>
      <x:c r="C614" s="14" t="str">
        <x:v>ТзОВ "Системи безпеки "Захист"</x:v>
      </x:c>
      <x:c r="D614" s="14" t="str">
        <x:v>Безпека / СКУД / CCTV</x:v>
      </x:c>
      <x:c r="E614" s="14" t="str">
        <x:v>Expansion discovery</x:v>
      </x:c>
      <x:c r="F614" s="17" t="str">
        <x:f>IF(E614="Pilot now",IF(P614&gt;=84,"P1",IF(P614&gt;=72,"P2","P3")),IF(E614="Expansion discovery",IF(Q614&gt;=88,"D1",IF(Q614&gt;=78,"D2","D3")),IF(E614="Later / requirements","L","Legacy")))</x:f>
        <x:v>D2</x:v>
      </x:c>
      <x:c r="G614" s="14" t="str"/>
      <x:c r="H614" s="14" t="str">
        <x:v>Discovery розширення — 2 тижні</x:v>
      </x:c>
      <x:c r="I614" s="16" t="n">
        <x:v>1</x:v>
      </x:c>
      <x:c r="J614" s="16" t="n">
        <x:v>5</x:v>
      </x:c>
      <x:c r="K614" s="16" t="n">
        <x:v>4</x:v>
      </x:c>
      <x:c r="L614" s="16" t="n">
        <x:v>1</x:v>
      </x:c>
      <x:c r="M614" s="16" t="n">
        <x:v>5</x:v>
      </x:c>
      <x:c r="N614" s="16" t="n">
        <x:v>5</x:v>
      </x:c>
      <x:c r="O614" s="16" t="n">
        <x:v>5</x:v>
      </x:c>
      <x:c r="P614" s="16" t="n">
        <x:f>IF(COUNT(I614:O614)&lt;7,"",I614*8+J614*3+K614*2+L614*2+M614*2+N614*2+O614)</x:f>
        <x:v>58</x:v>
      </x:c>
      <x:c r="Q614" s="16" t="n">
        <x:f>IF(COUNT(J614:O614)&lt;6,"",J614*5+K614*4+M614*4+L614*3+N614*2+O614*2)</x:f>
        <x:v>84</x:v>
      </x:c>
      <x:c r="R614" s="14" t="str">
        <x:v>high</x:v>
      </x:c>
      <x:c r="S614" s="14" t="str">
        <x:v>official_prozorro_award_2025_2026</x:v>
      </x:c>
      <x:c r="T614" s="14" t="str">
        <x:v>official_prozorro_api</x:v>
      </x:c>
      <x:c r="U614" s="14" t="str">
        <x:v>Не контактували</x:v>
      </x:c>
      <x:c r="V614" s="15" t="str">
        <x:v>Workflow-audit outreach по UA-2026-07-09-005038-a; попросити 1 пакет здачі та вимоги проєкту</x:v>
      </x:c>
      <x:c r="W614" s="15" t="str">
        <x:v>Власник / директор; керівник ПТО; відповідальний за договори</x:v>
      </x:c>
      <x:c r="X614" s="15" t="str">
        <x:v>1 підтверджених перемог/договорів у Prozorro на 77 282 грн; 1 проєктів зі строком виконання не раніше 24.08.2026.</x:v>
      </x:c>
      <x:c r="Y614" s="15" t="str">
        <x:v>Послуги з монтажу системи відеоспостереження; строк до 2026-12-31. Попросити один знеособлений пакет здачі за цим workflow.</x:v>
      </x:c>
      <x:c r="Z614" s="15" t="str">
        <x:v>https://prozorro.gov.ua/tender/UA-2026-07-09-005038-a</x:v>
      </x:c>
      <x:c r="AA614" s="14" t="str">
        <x:v>37574077</x:v>
      </x:c>
      <x:c r="AB614" s="14" t="str">
        <x:v>2026-08-24</x:v>
      </x:c>
      <x:c r="AC614" s="14" t="str"/>
      <x:c r="AD614" s="20" t="str"/>
      <x:c r="AE614" s="14" t="str"/>
      <x:c r="AF614" s="14" t="n">
        <x:v>46</x:v>
      </x:c>
      <x:c r="AG614" s="14" t="str">
        <x:v>I3</x:v>
      </x:c>
      <x:c r="AH614" s="14" t="n">
        <x:v>1</x:v>
      </x:c>
      <x:c r="AI614" s="14" t="n">
        <x:v>1</x:v>
      </x:c>
      <x:c r="AJ614" s="18" t="n">
        <x:v>77282.4</x:v>
      </x:c>
      <x:c r="AK614" s="14" t="str">
        <x:v>https://prozorro.gov.ua/tender/UA-2026-07-09-005038-a</x:v>
      </x:c>
      <x:c r="AL614" s="19" t="n">
        <x:v>46212.4003419213</x:v>
      </x:c>
      <x:c r="AM614" s="19" t="n">
        <x:v>46387.44368055555</x:v>
      </x:c>
      <x:c r="AN614" s="15" t="str">
        <x:v>Безпека / СКУД / CCTV</x:v>
      </x:c>
      <x:c r="AO614" s="15" t="str">
        <x:v>not_found_in_top_search</x:v>
      </x:c>
    </x:row>
    <x:row r="615">
      <x:c r="A615" s="14" t="str">
        <x:v>W3-343</x:v>
      </x:c>
      <x:c r="B615" s="14" t="str">
        <x:v>Prozorro winners — 24.08</x:v>
      </x:c>
      <x:c r="C615" s="14" t="str">
        <x:v>ТОВАРИСТВО З ОБМЕЖЕНОЮ ВІДПОВІДАЛЬНІСТЮ "СУЧАСНІ ТЕХНОЛОГІЇ БЕЗПЕКИ ПЛЮС"</x:v>
      </x:c>
      <x:c r="D615" s="14" t="str">
        <x:v>Пожежогасіння</x:v>
      </x:c>
      <x:c r="E615" s="14" t="str">
        <x:v>Expansion discovery</x:v>
      </x:c>
      <x:c r="F615" s="17" t="str">
        <x:f>IF(E615="Pilot now",IF(P615&gt;=84,"P1",IF(P615&gt;=72,"P2","P3")),IF(E615="Expansion discovery",IF(Q615&gt;=88,"D1",IF(Q615&gt;=78,"D2","D3")),IF(E615="Later / requirements","L","Legacy")))</x:f>
        <x:v>D2</x:v>
      </x:c>
      <x:c r="G615" s="14" t="str"/>
      <x:c r="H615" s="14" t="str">
        <x:v>Discovery розширення — 2 тижні</x:v>
      </x:c>
      <x:c r="I615" s="16" t="n">
        <x:v>1</x:v>
      </x:c>
      <x:c r="J615" s="16" t="n">
        <x:v>5</x:v>
      </x:c>
      <x:c r="K615" s="16" t="n">
        <x:v>4</x:v>
      </x:c>
      <x:c r="L615" s="16" t="n">
        <x:v>1</x:v>
      </x:c>
      <x:c r="M615" s="16" t="n">
        <x:v>5</x:v>
      </x:c>
      <x:c r="N615" s="16" t="n">
        <x:v>5</x:v>
      </x:c>
      <x:c r="O615" s="16" t="n">
        <x:v>5</x:v>
      </x:c>
      <x:c r="P615" s="16" t="n">
        <x:f>IF(COUNT(I615:O615)&lt;7,"",I615*8+J615*3+K615*2+L615*2+M615*2+N615*2+O615)</x:f>
        <x:v>58</x:v>
      </x:c>
      <x:c r="Q615" s="16" t="n">
        <x:f>IF(COUNT(J615:O615)&lt;6,"",J615*5+K615*4+M615*4+L615*3+N615*2+O615*2)</x:f>
        <x:v>84</x:v>
      </x:c>
      <x:c r="R615" s="14" t="str">
        <x:v>high</x:v>
      </x:c>
      <x:c r="S615" s="14" t="str">
        <x:v>official_prozorro_award_2025_2026</x:v>
      </x:c>
      <x:c r="T615" s="14" t="str">
        <x:v>official_prozorro_api</x:v>
      </x:c>
      <x:c r="U615" s="14" t="str">
        <x:v>Не контактували</x:v>
      </x:c>
      <x:c r="V615" s="15" t="str">
        <x:v>Workflow-audit outreach по UA-2026-07-06-005633-a; попросити 1 пакет здачі та вимоги проєкту</x:v>
      </x:c>
      <x:c r="W615" s="15" t="str">
        <x:v>Власник / директор; керівник ПТО; відповідальний за договори</x:v>
      </x:c>
      <x:c r="X615" s="15" t="str">
        <x:v>1 підтверджених перемог/договорів у Prozorro на 65 816 грн; 1 проєктів зі строком виконання не раніше 24.08.2026.</x:v>
      </x:c>
      <x:c r="Y615" s="15" t="str">
        <x:v>Установка та монтаж димових датчиків, наладка систем поженої сигналізації після ремонту приміщення театру Літера А літера 3 з підключенням до системи пожежної сигналізації; строк до 2026-12-31. Попросити один знеособлений пакет здачі за цим workflow.</x:v>
      </x:c>
      <x:c r="Z615" s="15" t="str">
        <x:v>https://prozorro.gov.ua/tender/UA-2026-07-06-005633-a</x:v>
      </x:c>
      <x:c r="AA615" s="14" t="str">
        <x:v>41143854</x:v>
      </x:c>
      <x:c r="AB615" s="14" t="str">
        <x:v>2026-08-24</x:v>
      </x:c>
      <x:c r="AC615" s="14" t="str"/>
      <x:c r="AD615" s="20" t="str"/>
      <x:c r="AE615" s="14" t="str"/>
      <x:c r="AF615" s="14" t="n">
        <x:v>46</x:v>
      </x:c>
      <x:c r="AG615" s="14" t="str">
        <x:v>I3</x:v>
      </x:c>
      <x:c r="AH615" s="14" t="n">
        <x:v>1</x:v>
      </x:c>
      <x:c r="AI615" s="14" t="n">
        <x:v>1</x:v>
      </x:c>
      <x:c r="AJ615" s="18" t="n">
        <x:v>65816.41</x:v>
      </x:c>
      <x:c r="AK615" s="14" t="str">
        <x:v>https://prozorro.gov.ua/tender/UA-2026-07-06-005633-a</x:v>
      </x:c>
      <x:c r="AL615" s="19" t="n">
        <x:v>46209.457452395836</x:v>
      </x:c>
      <x:c r="AM615" s="19" t="n">
        <x:v>46387</x:v>
      </x:c>
      <x:c r="AN615" s="15" t="str">
        <x:v>Пожежогасіння</x:v>
      </x:c>
      <x:c r="AO615" s="15" t="str">
        <x:v>not_found_in_top_search</x:v>
      </x:c>
    </x:row>
    <x:row r="616">
      <x:c r="A616" s="14" t="str">
        <x:v>W3-344</x:v>
      </x:c>
      <x:c r="B616" s="14" t="str">
        <x:v>Prozorro winners — 24.08</x:v>
      </x:c>
      <x:c r="C616" s="14" t="str">
        <x:v>ТОВАРИСТВО З ОБМЕЖЕНОЮ ВІДПОВІДАЛЬНІСТЮ "УКРВЕНТПРОМПОСТАЧ"</x:v>
      </x:c>
      <x:c r="D616" s="14" t="str">
        <x:v>HVAC / ОВіК</x:v>
      </x:c>
      <x:c r="E616" s="14" t="str">
        <x:v>Pilot now</x:v>
      </x:c>
      <x:c r="F616" s="17" t="str">
        <x:f>IF(E616="Pilot now",IF(P616&gt;=84,"P1",IF(P616&gt;=72,"P2","P3")),IF(E616="Expansion discovery",IF(Q616&gt;=88,"D1",IF(Q616&gt;=78,"D2","D3")),IF(E616="Later / requirements","L","Legacy")))</x:f>
        <x:v>P1</x:v>
      </x:c>
      <x:c r="G616" s="14" t="str"/>
      <x:c r="H616" s="14" t="str">
        <x:v>Пілот зараз — Н.14</x:v>
      </x:c>
      <x:c r="I616" s="16" t="n">
        <x:v>5</x:v>
      </x:c>
      <x:c r="J616" s="16" t="n">
        <x:v>5</x:v>
      </x:c>
      <x:c r="K616" s="16" t="n">
        <x:v>5</x:v>
      </x:c>
      <x:c r="L616" s="16" t="n">
        <x:v>1</x:v>
      </x:c>
      <x:c r="M616" s="16" t="n">
        <x:v>5</x:v>
      </x:c>
      <x:c r="N616" s="16" t="n">
        <x:v>5</x:v>
      </x:c>
      <x:c r="O616" s="16" t="n">
        <x:v>5</x:v>
      </x:c>
      <x:c r="P616" s="16" t="n">
        <x:f>IF(COUNT(I616:O616)&lt;7,"",I616*8+J616*3+K616*2+L616*2+M616*2+N616*2+O616)</x:f>
        <x:v>92</x:v>
      </x:c>
      <x:c r="Q616" s="16" t="n">
        <x:f>IF(COUNT(J616:O616)&lt;6,"",J616*5+K616*4+M616*4+L616*3+N616*2+O616*2)</x:f>
        <x:v>88</x:v>
      </x:c>
      <x:c r="R616" s="14" t="str">
        <x:v>high</x:v>
      </x:c>
      <x:c r="S616" s="14" t="str">
        <x:v>official_prozorro_award_2025_2026</x:v>
      </x:c>
      <x:c r="T616" s="14" t="str">
        <x:v>official_prozorro_api</x:v>
      </x:c>
      <x:c r="U616" s="14" t="str">
        <x:v>Не контактували</x:v>
      </x:c>
      <x:c r="V616" s="15" t="str">
        <x:v>Персоналізований free-pilot outreach по UA-2026-06-16-013759-a; попросити 1 пакет Н.14/Н.15</x:v>
      </x:c>
      <x:c r="W616" s="15" t="str">
        <x:v>Власник / директор; керівник ПТО; відповідальний за договори</x:v>
      </x:c>
      <x:c r="X616" s="15" t="str">
        <x:v>1 підтверджених перемог/договорів у Prozorro на 65 075 грн; 1 проєктів зі строком виконання не раніше 24.08.2026.</x:v>
      </x:c>
      <x:c r="Y616" s="15" t="str">
        <x:v>Послуги з монтажу системи вентиляції в кабінеті денситометрії ; строк до 2026-12-31. Попросити один знеособлений пакет здачі за цим workflow.</x:v>
      </x:c>
      <x:c r="Z616" s="15" t="str">
        <x:v>https://prozorro.gov.ua/tender/UA-2026-06-16-013759-a</x:v>
      </x:c>
      <x:c r="AA616" s="14" t="str">
        <x:v>39101642</x:v>
      </x:c>
      <x:c r="AB616" s="14" t="str">
        <x:v>2026-08-24</x:v>
      </x:c>
      <x:c r="AC616" s="14" t="str"/>
      <x:c r="AD616" s="20" t="str"/>
      <x:c r="AE616" s="14" t="str"/>
      <x:c r="AF616" s="14" t="n">
        <x:v>46</x:v>
      </x:c>
      <x:c r="AG616" s="14" t="str">
        <x:v>I3</x:v>
      </x:c>
      <x:c r="AH616" s="14" t="n">
        <x:v>1</x:v>
      </x:c>
      <x:c r="AI616" s="14" t="n">
        <x:v>1</x:v>
      </x:c>
      <x:c r="AJ616" s="18" t="n">
        <x:v>65074.52</x:v>
      </x:c>
      <x:c r="AK616" s="14" t="str">
        <x:v>https://prozorro.gov.ua/tender/UA-2026-06-16-013759-a</x:v>
      </x:c>
      <x:c r="AL616" s="19" t="n">
        <x:v>46189.606119421296</x:v>
      </x:c>
      <x:c r="AM616" s="19" t="n">
        <x:v>46387</x:v>
      </x:c>
      <x:c r="AN616" s="15" t="str">
        <x:v>HVAC / ОВіК</x:v>
      </x:c>
      <x:c r="AO616" s="15" t="str">
        <x:v>not_found_in_top_search</x:v>
      </x:c>
    </x:row>
    <x:row r="617">
      <x:c r="A617" s="14" t="str">
        <x:v>W3-345</x:v>
      </x:c>
      <x:c r="B617" s="14" t="str">
        <x:v>Prozorro winners — 24.08</x:v>
      </x:c>
      <x:c r="C617" s="14" t="str">
        <x:v>ПРИВАТНЕ ПІДПРИЄМСТВО "ЛЬВІВБУДПРОЕКТ"</x:v>
      </x:c>
      <x:c r="D617" s="14" t="str">
        <x:v>Зовнішні мережі</x:v>
      </x:c>
      <x:c r="E617" s="14" t="str">
        <x:v>Expansion discovery</x:v>
      </x:c>
      <x:c r="F617" s="17" t="str">
        <x:f>IF(E617="Pilot now",IF(P617&gt;=84,"P1",IF(P617&gt;=72,"P2","P3")),IF(E617="Expansion discovery",IF(Q617&gt;=88,"D1",IF(Q617&gt;=78,"D2","D3")),IF(E617="Later / requirements","L","Legacy")))</x:f>
        <x:v>D2</x:v>
      </x:c>
      <x:c r="G617" s="14" t="str"/>
      <x:c r="H617" s="14" t="str">
        <x:v>Discovery розширення — 2 тижні</x:v>
      </x:c>
      <x:c r="I617" s="16" t="n">
        <x:v>1</x:v>
      </x:c>
      <x:c r="J617" s="16" t="n">
        <x:v>5</x:v>
      </x:c>
      <x:c r="K617" s="16" t="n">
        <x:v>4</x:v>
      </x:c>
      <x:c r="L617" s="16" t="n">
        <x:v>1</x:v>
      </x:c>
      <x:c r="M617" s="16" t="n">
        <x:v>5</x:v>
      </x:c>
      <x:c r="N617" s="16" t="n">
        <x:v>5</x:v>
      </x:c>
      <x:c r="O617" s="16" t="n">
        <x:v>5</x:v>
      </x:c>
      <x:c r="P617" s="16" t="n">
        <x:f>IF(COUNT(I617:O617)&lt;7,"",I617*8+J617*3+K617*2+L617*2+M617*2+N617*2+O617)</x:f>
        <x:v>58</x:v>
      </x:c>
      <x:c r="Q617" s="16" t="n">
        <x:f>IF(COUNT(J617:O617)&lt;6,"",J617*5+K617*4+M617*4+L617*3+N617*2+O617*2)</x:f>
        <x:v>84</x:v>
      </x:c>
      <x:c r="R617" s="14" t="str">
        <x:v>high</x:v>
      </x:c>
      <x:c r="S617" s="14" t="str">
        <x:v>official_prozorro_award_2025_2026</x:v>
      </x:c>
      <x:c r="T617" s="14" t="str">
        <x:v>official_prozorro_api</x:v>
      </x:c>
      <x:c r="U617" s="14" t="str">
        <x:v>Не контактували</x:v>
      </x:c>
      <x:c r="V617" s="15" t="str">
        <x:v>Workflow-audit outreach по UA-2026-07-06-007744-a; попросити 1 пакет здачі та вимоги проєкту</x:v>
      </x:c>
      <x:c r="W617" s="15" t="str">
        <x:v>Власник / директор; керівник ПТО; відповідальний за договори</x:v>
      </x:c>
      <x:c r="X617" s="15" t="str">
        <x:v>1 підтверджених перемог/договорів у Prozorro на 64 080 грн; 1 проєктів зі строком виконання не раніше 24.08.2026.</x:v>
      </x:c>
      <x:c r="Y617" s="15" t="str">
        <x:v>Здійснення авторського нагляду за виконанням робіт по об’єкту: «Нове будівництво зовнішніх інженерних мереж водопостачання та водовідведення по вул. Л. Українки, вул. Сірка, вул. Д. Галицького в с. Сокільники Львівського району Львівської області»; строк до 2026-12-31. Попросити один знеособлений пакет здачі за цим workflow.</x:v>
      </x:c>
      <x:c r="Z617" s="15" t="str">
        <x:v>https://prozorro.gov.ua/tender/UA-2026-07-06-007744-a</x:v>
      </x:c>
      <x:c r="AA617" s="14" t="str">
        <x:v>35444777</x:v>
      </x:c>
      <x:c r="AB617" s="14" t="str">
        <x:v>2026-08-24</x:v>
      </x:c>
      <x:c r="AC617" s="14" t="str"/>
      <x:c r="AD617" s="20" t="str"/>
      <x:c r="AE617" s="14" t="str"/>
      <x:c r="AF617" s="14" t="n">
        <x:v>46</x:v>
      </x:c>
      <x:c r="AG617" s="14" t="str">
        <x:v>I3</x:v>
      </x:c>
      <x:c r="AH617" s="14" t="n">
        <x:v>1</x:v>
      </x:c>
      <x:c r="AI617" s="14" t="n">
        <x:v>1</x:v>
      </x:c>
      <x:c r="AJ617" s="18" t="n">
        <x:v>64080</x:v>
      </x:c>
      <x:c r="AK617" s="14" t="str">
        <x:v>https://prozorro.gov.ua/tender/UA-2026-07-06-007744-a</x:v>
      </x:c>
      <x:c r="AL617" s="19" t="n">
        <x:v>46209.51700655092</x:v>
      </x:c>
      <x:c r="AM617" s="19" t="n">
        <x:v>46387</x:v>
      </x:c>
      <x:c r="AN617" s="15" t="str">
        <x:v>Зовнішні мережі</x:v>
      </x:c>
      <x:c r="AO617" s="15" t="str">
        <x:v>not_found_in_top_search</x:v>
      </x:c>
    </x:row>
    <x:row r="618">
      <x:c r="A618" s="14" t="str">
        <x:v>W3-346</x:v>
      </x:c>
      <x:c r="B618" s="14" t="str">
        <x:v>Prozorro winners — 24.08</x:v>
      </x:c>
      <x:c r="C618" s="14" t="str">
        <x:v>УПРАВЛІННЯ ПОЛІЦІЇ ОХОРОНИ В КІРОВОГРАДСЬКІЙ ОБЛАСТІ</x:v>
      </x:c>
      <x:c r="D618" s="14" t="str">
        <x:v>Безпека / СКУД / CCTV</x:v>
      </x:c>
      <x:c r="E618" s="14" t="str">
        <x:v>Expansion discovery</x:v>
      </x:c>
      <x:c r="F618" s="17" t="str">
        <x:f>IF(E618="Pilot now",IF(P618&gt;=84,"P1",IF(P618&gt;=72,"P2","P3")),IF(E618="Expansion discovery",IF(Q618&gt;=88,"D1",IF(Q618&gt;=78,"D2","D3")),IF(E618="Later / requirements","L","Legacy")))</x:f>
        <x:v>D2</x:v>
      </x:c>
      <x:c r="G618" s="14" t="str"/>
      <x:c r="H618" s="14" t="str">
        <x:v>Discovery розширення — 2 тижні</x:v>
      </x:c>
      <x:c r="I618" s="16" t="n">
        <x:v>1</x:v>
      </x:c>
      <x:c r="J618" s="16" t="n">
        <x:v>5</x:v>
      </x:c>
      <x:c r="K618" s="16" t="n">
        <x:v>4</x:v>
      </x:c>
      <x:c r="L618" s="16" t="n">
        <x:v>1</x:v>
      </x:c>
      <x:c r="M618" s="16" t="n">
        <x:v>5</x:v>
      </x:c>
      <x:c r="N618" s="16" t="n">
        <x:v>5</x:v>
      </x:c>
      <x:c r="O618" s="16" t="n">
        <x:v>5</x:v>
      </x:c>
      <x:c r="P618" s="16" t="n">
        <x:f>IF(COUNT(I618:O618)&lt;7,"",I618*8+J618*3+K618*2+L618*2+M618*2+N618*2+O618)</x:f>
        <x:v>58</x:v>
      </x:c>
      <x:c r="Q618" s="16" t="n">
        <x:f>IF(COUNT(J618:O618)&lt;6,"",J618*5+K618*4+M618*4+L618*3+N618*2+O618*2)</x:f>
        <x:v>84</x:v>
      </x:c>
      <x:c r="R618" s="14" t="str">
        <x:v>high</x:v>
      </x:c>
      <x:c r="S618" s="14" t="str">
        <x:v>official_prozorro_award_2025_2026</x:v>
      </x:c>
      <x:c r="T618" s="14" t="str">
        <x:v>official_prozorro_api</x:v>
      </x:c>
      <x:c r="U618" s="14" t="str">
        <x:v>Не контактували</x:v>
      </x:c>
      <x:c r="V618" s="15" t="str">
        <x:v>Workflow-audit outreach по UA-2026-06-09-008927-a; попросити 1 пакет здачі та вимоги проєкту</x:v>
      </x:c>
      <x:c r="W618" s="15" t="str">
        <x:v>Власник / директор; керівник ПТО; відповідальний за договори</x:v>
      </x:c>
      <x:c r="X618" s="15" t="str">
        <x:v>1 підтверджених перемог/договорів у Prozorro на 60 251 грн; 1 проєктів зі строком виконання не раніше 24.08.2026.</x:v>
      </x:c>
      <x:c r="Y618" s="15" t="str">
        <x:v>Монтаж робіт системи відеоспостереження; строк до 2026-12-31. Попросити один знеособлений пакет здачі за цим workflow.</x:v>
      </x:c>
      <x:c r="Z618" s="15" t="str">
        <x:v>https://prozorro.gov.ua/tender/UA-2026-06-09-008927-a</x:v>
      </x:c>
      <x:c r="AA618" s="14" t="str">
        <x:v>40109000</x:v>
      </x:c>
      <x:c r="AB618" s="14" t="str">
        <x:v>2026-08-24</x:v>
      </x:c>
      <x:c r="AC618" s="14" t="str"/>
      <x:c r="AD618" s="20" t="str"/>
      <x:c r="AE618" s="14" t="str"/>
      <x:c r="AF618" s="14" t="n">
        <x:v>46</x:v>
      </x:c>
      <x:c r="AG618" s="14" t="str">
        <x:v>I3</x:v>
      </x:c>
      <x:c r="AH618" s="14" t="n">
        <x:v>1</x:v>
      </x:c>
      <x:c r="AI618" s="14" t="n">
        <x:v>1</x:v>
      </x:c>
      <x:c r="AJ618" s="18" t="n">
        <x:v>60251.2</x:v>
      </x:c>
      <x:c r="AK618" s="14" t="str">
        <x:v>https://prozorro.gov.ua/tender/UA-2026-06-09-008927-a</x:v>
      </x:c>
      <x:c r="AL618" s="19" t="n">
        <x:v>46182.51376396991</x:v>
      </x:c>
      <x:c r="AM618" s="19" t="n">
        <x:v>46387</x:v>
      </x:c>
      <x:c r="AN618" s="15" t="str">
        <x:v>Безпека / СКУД / CCTV</x:v>
      </x:c>
      <x:c r="AO618" s="15" t="str">
        <x:v>not_found_in_top_search</x:v>
      </x:c>
    </x:row>
    <x:row r="619">
      <x:c r="A619" s="14" t="str">
        <x:v>W3-347</x:v>
      </x:c>
      <x:c r="B619" s="14" t="str">
        <x:v>Prozorro winners — 24.08</x:v>
      </x:c>
      <x:c r="C619" s="14" t="str">
        <x:v>ТОВАРИСТВО З ОБМЕЖЕНОЮ ВІДПОВІДАЛЬНІСТЮ "КОНСТРАКШН МАШИНЕРІ"</x:v>
      </x:c>
      <x:c r="D619" s="14" t="str">
        <x:v>Мости / інфраструктура</x:v>
      </x:c>
      <x:c r="E619" s="14" t="str">
        <x:v>Expansion discovery</x:v>
      </x:c>
      <x:c r="F619" s="17" t="str">
        <x:f>IF(E619="Pilot now",IF(P619&gt;=84,"P1",IF(P619&gt;=72,"P2","P3")),IF(E619="Expansion discovery",IF(Q619&gt;=88,"D1",IF(Q619&gt;=78,"D2","D3")),IF(E619="Later / requirements","L","Legacy")))</x:f>
        <x:v>D2</x:v>
      </x:c>
      <x:c r="G619" s="14" t="str"/>
      <x:c r="H619" s="14" t="str">
        <x:v>Discovery розширення — 2 тижні</x:v>
      </x:c>
      <x:c r="I619" s="16" t="n">
        <x:v>1</x:v>
      </x:c>
      <x:c r="J619" s="16" t="n">
        <x:v>5</x:v>
      </x:c>
      <x:c r="K619" s="16" t="n">
        <x:v>4</x:v>
      </x:c>
      <x:c r="L619" s="16" t="n">
        <x:v>1</x:v>
      </x:c>
      <x:c r="M619" s="16" t="n">
        <x:v>5</x:v>
      </x:c>
      <x:c r="N619" s="16" t="n">
        <x:v>5</x:v>
      </x:c>
      <x:c r="O619" s="16" t="n">
        <x:v>5</x:v>
      </x:c>
      <x:c r="P619" s="16" t="n">
        <x:f>IF(COUNT(I619:O619)&lt;7,"",I619*8+J619*3+K619*2+L619*2+M619*2+N619*2+O619)</x:f>
        <x:v>58</x:v>
      </x:c>
      <x:c r="Q619" s="16" t="n">
        <x:f>IF(COUNT(J619:O619)&lt;6,"",J619*5+K619*4+M619*4+L619*3+N619*2+O619*2)</x:f>
        <x:v>84</x:v>
      </x:c>
      <x:c r="R619" s="14" t="str">
        <x:v>high</x:v>
      </x:c>
      <x:c r="S619" s="14" t="str">
        <x:v>official_prozorro_award_2025_2026</x:v>
      </x:c>
      <x:c r="T619" s="14" t="str">
        <x:v>official_prozorro_api</x:v>
      </x:c>
      <x:c r="U619" s="14" t="str">
        <x:v>Не контактували</x:v>
      </x:c>
      <x:c r="V619" s="15" t="str">
        <x:v>Workflow-audit outreach по UA-2026-06-02-002185-a; попросити 1 пакет здачі та вимоги проєкту</x:v>
      </x:c>
      <x:c r="W619" s="15" t="str">
        <x:v>Власник / директор; керівник ПТО; відповідальний за договори</x:v>
      </x:c>
      <x:c r="X619" s="15" t="str">
        <x:v>1 підтверджених перемог/договорів у Prozorro на 46 440 грн; 1 проєктів зі строком виконання не раніше 24.08.2026.</x:v>
      </x:c>
      <x:c r="Y619" s="15" t="str">
        <x:v>ДК 021:2015  63710000-9 «Послуги з обслуговування наземних видів транспорту» (Виклик спеціаліста, ремонт моста заднього, монтаж моста заднього); строк до 2026-12-31. Попросити один знеособлений пакет здачі за цим workflow.</x:v>
      </x:c>
      <x:c r="Z619" s="15" t="str">
        <x:v>https://prozorro.gov.ua/tender/UA-2026-06-02-002185-a</x:v>
      </x:c>
      <x:c r="AA619" s="14" t="str">
        <x:v>32828388</x:v>
      </x:c>
      <x:c r="AB619" s="14" t="str">
        <x:v>2026-08-24</x:v>
      </x:c>
      <x:c r="AC619" s="14" t="str"/>
      <x:c r="AD619" s="20" t="str"/>
      <x:c r="AE619" s="14" t="str"/>
      <x:c r="AF619" s="14" t="n">
        <x:v>46</x:v>
      </x:c>
      <x:c r="AG619" s="14" t="str">
        <x:v>I3</x:v>
      </x:c>
      <x:c r="AH619" s="14" t="n">
        <x:v>1</x:v>
      </x:c>
      <x:c r="AI619" s="14" t="n">
        <x:v>1</x:v>
      </x:c>
      <x:c r="AJ619" s="18" t="n">
        <x:v>46440</x:v>
      </x:c>
      <x:c r="AK619" s="14" t="str">
        <x:v>https://prozorro.gov.ua/tender/UA-2026-06-02-002185-a</x:v>
      </x:c>
      <x:c r="AL619" s="19" t="n">
        <x:v>46175.3111</x:v>
      </x:c>
      <x:c r="AM619" s="19" t="n">
        <x:v>46387</x:v>
      </x:c>
      <x:c r="AN619" s="15" t="str">
        <x:v>Мости / інфраструктура</x:v>
      </x:c>
      <x:c r="AO619" s="15" t="str">
        <x:v>not_found_in_top_search</x:v>
      </x:c>
    </x:row>
    <x:row r="620">
      <x:c r="A620" s="14" t="str">
        <x:v>W3-348</x:v>
      </x:c>
      <x:c r="B620" s="14" t="str">
        <x:v>Prozorro winners — 24.08</x:v>
      </x:c>
      <x:c r="C620" s="14" t="str">
        <x:v>ТОВАРИСТВО З ОБМЕЖЕНОЮ ВІДПОВІДАЛЬНІСТЮ "ФАІРГРУПСЕК'ЮРІТІ"</x:v>
      </x:c>
      <x:c r="D620" s="14" t="str">
        <x:v>Безпека / СКУД / CCTV</x:v>
      </x:c>
      <x:c r="E620" s="14" t="str">
        <x:v>Expansion discovery</x:v>
      </x:c>
      <x:c r="F620" s="17" t="str">
        <x:f>IF(E620="Pilot now",IF(P620&gt;=84,"P1",IF(P620&gt;=72,"P2","P3")),IF(E620="Expansion discovery",IF(Q620&gt;=88,"D1",IF(Q620&gt;=78,"D2","D3")),IF(E620="Later / requirements","L","Legacy")))</x:f>
        <x:v>D2</x:v>
      </x:c>
      <x:c r="G620" s="14" t="str"/>
      <x:c r="H620" s="14" t="str">
        <x:v>Discovery розширення — 2 тижні</x:v>
      </x:c>
      <x:c r="I620" s="16" t="n">
        <x:v>1</x:v>
      </x:c>
      <x:c r="J620" s="16" t="n">
        <x:v>5</x:v>
      </x:c>
      <x:c r="K620" s="16" t="n">
        <x:v>4</x:v>
      </x:c>
      <x:c r="L620" s="16" t="n">
        <x:v>1</x:v>
      </x:c>
      <x:c r="M620" s="16" t="n">
        <x:v>5</x:v>
      </x:c>
      <x:c r="N620" s="16" t="n">
        <x:v>5</x:v>
      </x:c>
      <x:c r="O620" s="16" t="n">
        <x:v>5</x:v>
      </x:c>
      <x:c r="P620" s="16" t="n">
        <x:f>IF(COUNT(I620:O620)&lt;7,"",I620*8+J620*3+K620*2+L620*2+M620*2+N620*2+O620)</x:f>
        <x:v>58</x:v>
      </x:c>
      <x:c r="Q620" s="16" t="n">
        <x:f>IF(COUNT(J620:O620)&lt;6,"",J620*5+K620*4+M620*4+L620*3+N620*2+O620*2)</x:f>
        <x:v>84</x:v>
      </x:c>
      <x:c r="R620" s="14" t="str">
        <x:v>high</x:v>
      </x:c>
      <x:c r="S620" s="14" t="str">
        <x:v>official_prozorro_award_2025_2026</x:v>
      </x:c>
      <x:c r="T620" s="14" t="str">
        <x:v>official_prozorro_api</x:v>
      </x:c>
      <x:c r="U620" s="14" t="str">
        <x:v>Не контактували</x:v>
      </x:c>
      <x:c r="V620" s="15" t="str">
        <x:v>Workflow-audit outreach по UA-2026-05-06-001383-a; попросити 1 пакет здачі та вимоги проєкту</x:v>
      </x:c>
      <x:c r="W620" s="15" t="str">
        <x:v>Власник / директор; керівник ПТО; відповідальний за договори</x:v>
      </x:c>
      <x:c r="X620" s="15" t="str">
        <x:v>1 підтверджених перемог/договорів у Prozorro на 43 120 грн; 1 проєктів зі строком виконання не раніше 24.08.2026.</x:v>
      </x:c>
      <x:c r="Y620" s="15" t="str">
        <x:v>Послуга з монтажу системи контролю доступу (домофон) на об’єкті Замовника; строк до 2026-12-31. Попросити один знеособлений пакет здачі за цим workflow.</x:v>
      </x:c>
      <x:c r="Z620" s="15" t="str">
        <x:v>https://prozorro.gov.ua/tender/UA-2026-05-06-001383-a</x:v>
      </x:c>
      <x:c r="AA620" s="14" t="str">
        <x:v>36727061</x:v>
      </x:c>
      <x:c r="AB620" s="14" t="str">
        <x:v>2026-08-24</x:v>
      </x:c>
      <x:c r="AC620" s="14" t="str"/>
      <x:c r="AD620" s="20" t="str"/>
      <x:c r="AE620" s="14" t="str"/>
      <x:c r="AF620" s="14" t="n">
        <x:v>46</x:v>
      </x:c>
      <x:c r="AG620" s="14" t="str">
        <x:v>I3</x:v>
      </x:c>
      <x:c r="AH620" s="14" t="n">
        <x:v>1</x:v>
      </x:c>
      <x:c r="AI620" s="14" t="n">
        <x:v>1</x:v>
      </x:c>
      <x:c r="AJ620" s="18" t="n">
        <x:v>43120</x:v>
      </x:c>
      <x:c r="AK620" s="14" t="str">
        <x:v>https://prozorro.gov.ua/tender/UA-2026-05-06-001383-a</x:v>
      </x:c>
      <x:c r="AL620" s="19" t="n">
        <x:v>46148.28008561343</x:v>
      </x:c>
      <x:c r="AM620" s="19" t="n">
        <x:v>46387</x:v>
      </x:c>
      <x:c r="AN620" s="15" t="str">
        <x:v>Безпека / СКУД / CCTV</x:v>
      </x:c>
      <x:c r="AO620" s="15" t="str">
        <x:v>not_found_in_top_search</x:v>
      </x:c>
    </x:row>
    <x:row r="621">
      <x:c r="A621" s="14" t="str">
        <x:v>W3-349</x:v>
      </x:c>
      <x:c r="B621" s="14" t="str">
        <x:v>Prozorro winners — 24.08</x:v>
      </x:c>
      <x:c r="C621" s="14" t="str">
        <x:v>ТОВ "АЕРО КОМФОРТ"</x:v>
      </x:c>
      <x:c r="D621" s="14" t="str">
        <x:v>HVAC / ОВіК</x:v>
      </x:c>
      <x:c r="E621" s="14" t="str">
        <x:v>Pilot now</x:v>
      </x:c>
      <x:c r="F621" s="17" t="str">
        <x:f>IF(E621="Pilot now",IF(P621&gt;=84,"P1",IF(P621&gt;=72,"P2","P3")),IF(E621="Expansion discovery",IF(Q621&gt;=88,"D1",IF(Q621&gt;=78,"D2","D3")),IF(E621="Later / requirements","L","Legacy")))</x:f>
        <x:v>P1</x:v>
      </x:c>
      <x:c r="G621" s="14" t="str"/>
      <x:c r="H621" s="14" t="str">
        <x:v>Пілот зараз — Н.14</x:v>
      </x:c>
      <x:c r="I621" s="16" t="n">
        <x:v>5</x:v>
      </x:c>
      <x:c r="J621" s="16" t="n">
        <x:v>5</x:v>
      </x:c>
      <x:c r="K621" s="16" t="n">
        <x:v>5</x:v>
      </x:c>
      <x:c r="L621" s="16" t="n">
        <x:v>1</x:v>
      </x:c>
      <x:c r="M621" s="16" t="n">
        <x:v>5</x:v>
      </x:c>
      <x:c r="N621" s="16" t="n">
        <x:v>5</x:v>
      </x:c>
      <x:c r="O621" s="16" t="n">
        <x:v>5</x:v>
      </x:c>
      <x:c r="P621" s="16" t="n">
        <x:f>IF(COUNT(I621:O621)&lt;7,"",I621*8+J621*3+K621*2+L621*2+M621*2+N621*2+O621)</x:f>
        <x:v>92</x:v>
      </x:c>
      <x:c r="Q621" s="16" t="n">
        <x:f>IF(COUNT(J621:O621)&lt;6,"",J621*5+K621*4+M621*4+L621*3+N621*2+O621*2)</x:f>
        <x:v>88</x:v>
      </x:c>
      <x:c r="R621" s="14" t="str">
        <x:v>high</x:v>
      </x:c>
      <x:c r="S621" s="14" t="str">
        <x:v>official_prozorro_award_2025_2026</x:v>
      </x:c>
      <x:c r="T621" s="14" t="str">
        <x:v>official_prozorro_api</x:v>
      </x:c>
      <x:c r="U621" s="14" t="str">
        <x:v>Не контактували</x:v>
      </x:c>
      <x:c r="V621" s="15" t="str">
        <x:v>Персоналізований free-pilot outreach по UA-2026-06-18-000748-a; попросити 1 пакет Н.14/Н.15</x:v>
      </x:c>
      <x:c r="W621" s="15" t="str">
        <x:v>Власник / директор; керівник ПТО; відповідальний за договори</x:v>
      </x:c>
      <x:c r="X621" s="15" t="str">
        <x:v>1 підтверджених перемог/договорів у Prozorro на 38 000 грн; 1 проєктів зі строком виконання не раніше 24.08.2026.</x:v>
      </x:c>
      <x:c r="Y621" s="15" t="str">
        <x:v>Роботи з монтажу витяжного зонта та системи місцевої витяжної вентиляції для видалення шкідливих випарів від лабораторного обладнання у споруді блоку забезпечення комунального підприємства "Рівненський обласний протипухлинний центр" Рівненської обласної ради; строк до 2026-12-31. Попросити один знеособлений пакет здачі за цим workflow.</x:v>
      </x:c>
      <x:c r="Z621" s="15" t="str">
        <x:v>https://prozorro.gov.ua/tender/UA-2026-06-18-000748-a</x:v>
      </x:c>
      <x:c r="AA621" s="14" t="str">
        <x:v>45903480</x:v>
      </x:c>
      <x:c r="AB621" s="14" t="str">
        <x:v>2026-08-24</x:v>
      </x:c>
      <x:c r="AC621" s="14" t="str"/>
      <x:c r="AD621" s="20" t="str"/>
      <x:c r="AE621" s="14" t="str"/>
      <x:c r="AF621" s="14" t="n">
        <x:v>46</x:v>
      </x:c>
      <x:c r="AG621" s="14" t="str">
        <x:v>I3</x:v>
      </x:c>
      <x:c r="AH621" s="14" t="n">
        <x:v>1</x:v>
      </x:c>
      <x:c r="AI621" s="14" t="n">
        <x:v>1</x:v>
      </x:c>
      <x:c r="AJ621" s="18" t="n">
        <x:v>38000</x:v>
      </x:c>
      <x:c r="AK621" s="14" t="str">
        <x:v>https://prozorro.gov.ua/tender/UA-2026-06-18-000748-a</x:v>
      </x:c>
      <x:c r="AL621" s="19" t="n">
        <x:v>46191.25883753472</x:v>
      </x:c>
      <x:c r="AM621" s="19" t="n">
        <x:v>46387</x:v>
      </x:c>
      <x:c r="AN621" s="15" t="str">
        <x:v>HVAC / ОВіК</x:v>
      </x:c>
      <x:c r="AO621" s="15" t="str">
        <x:v>not_found_in_top_search</x:v>
      </x:c>
    </x:row>
    <x:row r="622">
      <x:c r="A622" s="14" t="str">
        <x:v>W3-350</x:v>
      </x:c>
      <x:c r="B622" s="14" t="str">
        <x:v>Prozorro winners — 24.08</x:v>
      </x:c>
      <x:c r="C622" s="14" t="str">
        <x:v>ТОВАРИСТВО З ОБМЕЖЕНОЮ ВІДПОВІДАЛЬНІСТЮ "ЕНЕРГО ЮА"</x:v>
      </x:c>
      <x:c r="D622" s="14" t="str">
        <x:v>Електромонтаж</x:v>
      </x:c>
      <x:c r="E622" s="14" t="str">
        <x:v>Pilot now</x:v>
      </x:c>
      <x:c r="F622" s="17" t="str">
        <x:f>IF(E622="Pilot now",IF(P622&gt;=84,"P1",IF(P622&gt;=72,"P2","P3")),IF(E622="Expansion discovery",IF(Q622&gt;=88,"D1",IF(Q622&gt;=78,"D2","D3")),IF(E622="Later / requirements","L","Legacy")))</x:f>
        <x:v>P1</x:v>
      </x:c>
      <x:c r="G622" s="14" t="str"/>
      <x:c r="H622" s="14" t="str">
        <x:v>Пілот зараз — Н.15</x:v>
      </x:c>
      <x:c r="I622" s="16" t="n">
        <x:v>5</x:v>
      </x:c>
      <x:c r="J622" s="16" t="n">
        <x:v>5</x:v>
      </x:c>
      <x:c r="K622" s="16" t="n">
        <x:v>5</x:v>
      </x:c>
      <x:c r="L622" s="16" t="n">
        <x:v>1</x:v>
      </x:c>
      <x:c r="M622" s="16" t="n">
        <x:v>5</x:v>
      </x:c>
      <x:c r="N622" s="16" t="n">
        <x:v>5</x:v>
      </x:c>
      <x:c r="O622" s="16" t="n">
        <x:v>5</x:v>
      </x:c>
      <x:c r="P622" s="16" t="n">
        <x:f>IF(COUNT(I622:O622)&lt;7,"",I622*8+J622*3+K622*2+L622*2+M622*2+N622*2+O622)</x:f>
        <x:v>92</x:v>
      </x:c>
      <x:c r="Q622" s="16" t="n">
        <x:f>IF(COUNT(J622:O622)&lt;6,"",J622*5+K622*4+M622*4+L622*3+N622*2+O622*2)</x:f>
        <x:v>88</x:v>
      </x:c>
      <x:c r="R622" s="14" t="str">
        <x:v>high</x:v>
      </x:c>
      <x:c r="S622" s="14" t="str">
        <x:v>official_prozorro_award_2025_2026</x:v>
      </x:c>
      <x:c r="T622" s="14" t="str">
        <x:v>official_prozorro_api</x:v>
      </x:c>
      <x:c r="U622" s="14" t="str">
        <x:v>Не контактували</x:v>
      </x:c>
      <x:c r="V622" s="15" t="str">
        <x:v>Персоналізований free-pilot outreach по UA-2026-07-09-002350-a; попросити 1 пакет Н.14/Н.15</x:v>
      </x:c>
      <x:c r="W622" s="15" t="str">
        <x:v>Власник / директор; керівник ПТО; відповідальний за договори</x:v>
      </x:c>
      <x:c r="X622" s="15" t="str">
        <x:v>1 підтверджених перемог/договорів у Prozorro на 30 500 грн; 1 проєктів зі строком виконання не раніше 24.08.2026.</x:v>
      </x:c>
      <x:c r="Y622" s="15" t="str">
        <x:v>ДК 021:2015:71630000-3:Послуги з ремонту і технічного обслуговування електричного устаткування будівель ( Електровимірювальні роботи опору розірвання контуру заземлення); строк до 2026-12-31. Попросити один знеособлений пакет здачі за цим workflow.</x:v>
      </x:c>
      <x:c r="Z622" s="15" t="str">
        <x:v>https://prozorro.gov.ua/tender/UA-2026-07-09-002350-a</x:v>
      </x:c>
      <x:c r="AA622" s="14" t="str">
        <x:v>43821086</x:v>
      </x:c>
      <x:c r="AB622" s="14" t="str">
        <x:v>2026-08-24</x:v>
      </x:c>
      <x:c r="AC622" s="14" t="str"/>
      <x:c r="AD622" s="20" t="str"/>
      <x:c r="AE622" s="14" t="str"/>
      <x:c r="AF622" s="14" t="n">
        <x:v>46</x:v>
      </x:c>
      <x:c r="AG622" s="14" t="str">
        <x:v>I3</x:v>
      </x:c>
      <x:c r="AH622" s="14" t="n">
        <x:v>1</x:v>
      </x:c>
      <x:c r="AI622" s="14" t="n">
        <x:v>1</x:v>
      </x:c>
      <x:c r="AJ622" s="18" t="n">
        <x:v>30500</x:v>
      </x:c>
      <x:c r="AK622" s="14" t="str">
        <x:v>https://prozorro.gov.ua/tender/UA-2026-07-09-002350-a</x:v>
      </x:c>
      <x:c r="AL622" s="19" t="n">
        <x:v>46212.320446481484</x:v>
      </x:c>
      <x:c r="AM622" s="19" t="n">
        <x:v>46387</x:v>
      </x:c>
      <x:c r="AN622" s="15" t="str">
        <x:v>Електромонтаж</x:v>
      </x:c>
      <x:c r="AO622" s="15" t="str">
        <x:v>not_found_in_top_search</x:v>
      </x:c>
    </x:row>
    <x:row r="623">
      <x:c r="A623" s="14" t="str">
        <x:v>W3-351</x:v>
      </x:c>
      <x:c r="B623" s="14" t="str">
        <x:v>Prozorro winners — 24.08</x:v>
      </x:c>
      <x:c r="C623" s="14" t="str">
        <x:v>ТОВАРИСТВО З ОБМЕЖЕНОЮ ВІДПОВІДАЛЬНІСТЮ "БУДСЕРВІС-М"</x:v>
      </x:c>
      <x:c r="D623" s="14" t="str">
        <x:v>Електромонтаж</x:v>
      </x:c>
      <x:c r="E623" s="14" t="str">
        <x:v>Pilot now</x:v>
      </x:c>
      <x:c r="F623" s="17" t="str">
        <x:f>IF(E623="Pilot now",IF(P623&gt;=84,"P1",IF(P623&gt;=72,"P2","P3")),IF(E623="Expansion discovery",IF(Q623&gt;=88,"D1",IF(Q623&gt;=78,"D2","D3")),IF(E623="Later / requirements","L","Legacy")))</x:f>
        <x:v>P1</x:v>
      </x:c>
      <x:c r="G623" s="14" t="str"/>
      <x:c r="H623" s="14" t="str">
        <x:v>Пілот зараз — Н.15</x:v>
      </x:c>
      <x:c r="I623" s="16" t="n">
        <x:v>5</x:v>
      </x:c>
      <x:c r="J623" s="16" t="n">
        <x:v>5</x:v>
      </x:c>
      <x:c r="K623" s="16" t="n">
        <x:v>5</x:v>
      </x:c>
      <x:c r="L623" s="16" t="n">
        <x:v>1</x:v>
      </x:c>
      <x:c r="M623" s="16" t="n">
        <x:v>5</x:v>
      </x:c>
      <x:c r="N623" s="16" t="n">
        <x:v>5</x:v>
      </x:c>
      <x:c r="O623" s="16" t="n">
        <x:v>5</x:v>
      </x:c>
      <x:c r="P623" s="16" t="n">
        <x:f>IF(COUNT(I623:O623)&lt;7,"",I623*8+J623*3+K623*2+L623*2+M623*2+N623*2+O623)</x:f>
        <x:v>92</x:v>
      </x:c>
      <x:c r="Q623" s="16" t="n">
        <x:f>IF(COUNT(J623:O623)&lt;6,"",J623*5+K623*4+M623*4+L623*3+N623*2+O623*2)</x:f>
        <x:v>88</x:v>
      </x:c>
      <x:c r="R623" s="14" t="str">
        <x:v>high</x:v>
      </x:c>
      <x:c r="S623" s="14" t="str">
        <x:v>official_prozorro_award_2025_2026</x:v>
      </x:c>
      <x:c r="T623" s="14" t="str">
        <x:v>official_prozorro_api</x:v>
      </x:c>
      <x:c r="U623" s="14" t="str">
        <x:v>Не контактували</x:v>
      </x:c>
      <x:c r="V623" s="15" t="str">
        <x:v>Персоналізований free-pilot outreach по UA-2026-05-22-011966-a; попросити 1 пакет Н.14/Н.15</x:v>
      </x:c>
      <x:c r="W623" s="15" t="str">
        <x:v>Власник / директор; керівник ПТО; відповідальний за договори</x:v>
      </x:c>
      <x:c r="X623" s="15" t="str">
        <x:v>1 підтверджених перемог/договорів у Prozorro на 28 132 грн; 1 проєктів зі строком виконання не раніше 24.08.2026.</x:v>
      </x:c>
      <x:c r="Y623" s="15" t="str">
        <x:v>Послуги з монтажу силових електричних мереж та прокладання кабелю у підвальному приміщенні; строк до 2026-12-31. Попросити один знеособлений пакет здачі за цим workflow.</x:v>
      </x:c>
      <x:c r="Z623" s="15" t="str">
        <x:v>https://prozorro.gov.ua/tender/UA-2026-05-22-011966-a</x:v>
      </x:c>
      <x:c r="AA623" s="14" t="str">
        <x:v>43288438</x:v>
      </x:c>
      <x:c r="AB623" s="14" t="str">
        <x:v>2026-08-24</x:v>
      </x:c>
      <x:c r="AC623" s="14" t="str"/>
      <x:c r="AD623" s="20" t="str"/>
      <x:c r="AE623" s="14" t="str"/>
      <x:c r="AF623" s="14" t="n">
        <x:v>46</x:v>
      </x:c>
      <x:c r="AG623" s="14" t="str">
        <x:v>I3</x:v>
      </x:c>
      <x:c r="AH623" s="14" t="n">
        <x:v>1</x:v>
      </x:c>
      <x:c r="AI623" s="14" t="n">
        <x:v>1</x:v>
      </x:c>
      <x:c r="AJ623" s="18" t="n">
        <x:v>28132</x:v>
      </x:c>
      <x:c r="AK623" s="14" t="str">
        <x:v>https://prozorro.gov.ua/tender/UA-2026-05-22-011966-a</x:v>
      </x:c>
      <x:c r="AL623" s="19" t="n">
        <x:v>46164.58131821759</x:v>
      </x:c>
      <x:c r="AM623" s="19" t="n">
        <x:v>46387</x:v>
      </x:c>
      <x:c r="AN623" s="15" t="str">
        <x:v>Електромонтаж</x:v>
      </x:c>
      <x:c r="AO623" s="15" t="str">
        <x:v>not_found_in_top_search</x:v>
      </x:c>
    </x:row>
    <x:row r="624">
      <x:c r="A624" s="14" t="str">
        <x:v>W3-352</x:v>
      </x:c>
      <x:c r="B624" s="14" t="str">
        <x:v>Prozorro winners — 24.08</x:v>
      </x:c>
      <x:c r="C624" s="14" t="str">
        <x:v>ПРИВАТНЕ ПІДПРИЄМСТВО "БУДМАЙСТЕР"</x:v>
      </x:c>
      <x:c r="D624" s="14" t="str">
        <x:v>Електромонтаж</x:v>
      </x:c>
      <x:c r="E624" s="14" t="str">
        <x:v>Pilot now</x:v>
      </x:c>
      <x:c r="F624" s="17" t="str">
        <x:f>IF(E624="Pilot now",IF(P624&gt;=84,"P1",IF(P624&gt;=72,"P2","P3")),IF(E624="Expansion discovery",IF(Q624&gt;=88,"D1",IF(Q624&gt;=78,"D2","D3")),IF(E624="Later / requirements","L","Legacy")))</x:f>
        <x:v>P1</x:v>
      </x:c>
      <x:c r="G624" s="14" t="str"/>
      <x:c r="H624" s="14" t="str">
        <x:v>Пілот зараз — Н.15</x:v>
      </x:c>
      <x:c r="I624" s="16" t="n">
        <x:v>5</x:v>
      </x:c>
      <x:c r="J624" s="16" t="n">
        <x:v>5</x:v>
      </x:c>
      <x:c r="K624" s="16" t="n">
        <x:v>5</x:v>
      </x:c>
      <x:c r="L624" s="16" t="n">
        <x:v>1</x:v>
      </x:c>
      <x:c r="M624" s="16" t="n">
        <x:v>5</x:v>
      </x:c>
      <x:c r="N624" s="16" t="n">
        <x:v>5</x:v>
      </x:c>
      <x:c r="O624" s="16" t="n">
        <x:v>5</x:v>
      </x:c>
      <x:c r="P624" s="16" t="n">
        <x:f>IF(COUNT(I624:O624)&lt;7,"",I624*8+J624*3+K624*2+L624*2+M624*2+N624*2+O624)</x:f>
        <x:v>92</x:v>
      </x:c>
      <x:c r="Q624" s="16" t="n">
        <x:f>IF(COUNT(J624:O624)&lt;6,"",J624*5+K624*4+M624*4+L624*3+N624*2+O624*2)</x:f>
        <x:v>88</x:v>
      </x:c>
      <x:c r="R624" s="14" t="str">
        <x:v>high</x:v>
      </x:c>
      <x:c r="S624" s="14" t="str">
        <x:v>official_prozorro_award_2025_2026</x:v>
      </x:c>
      <x:c r="T624" s="14" t="str">
        <x:v>official_prozorro_api</x:v>
      </x:c>
      <x:c r="U624" s="14" t="str">
        <x:v>Не контактували</x:v>
      </x:c>
      <x:c r="V624" s="15" t="str">
        <x:v>Персоналізований free-pilot outreach по UA-2026-05-11-013243-a; попросити 1 пакет Н.14/Н.15</x:v>
      </x:c>
      <x:c r="W624" s="15" t="str">
        <x:v>Власник / директор; керівник ПТО; відповідальний за договори</x:v>
      </x:c>
      <x:c r="X624" s="15" t="str">
        <x:v>2 підтверджених перемог/договорів у Prozorro на 17 272 грн; 0 проєктів зі строком виконання не раніше 24.08.2026.</x:v>
      </x:c>
      <x:c r="Y624" s="15" t="str">
        <x:v>Здійснення технічного нагляду по об’єкту «Реконструкція електричних мереж «Комплекс.Водозабір№2» КП Корюківкаводоканал" шляхом монтажу електрогенеруючої установки для заміщення власного споживання електроенергії номінальною потужністю по інвертору 50 кВт, що встановлюється  за адресою: Чернігівська обл., м. Корюківка, вул. Софії Русової, 21-А» ( ДК  ЄЗС 021:2015 - 71520000-9 послуги з нагляду за виконанням будівельних робіт) ; строк до 2026-06-30. Попросити один знеособлений пакет здачі за цим workflow.</x:v>
      </x:c>
      <x:c r="Z624" s="15" t="str">
        <x:v>https://prozorro.gov.ua/tender/UA-2026-05-11-013243-a</x:v>
      </x:c>
      <x:c r="AA624" s="14" t="str">
        <x:v>31161259</x:v>
      </x:c>
      <x:c r="AB624" s="14" t="str">
        <x:v>2026-08-24</x:v>
      </x:c>
      <x:c r="AC624" s="14" t="str"/>
      <x:c r="AD624" s="20" t="str"/>
      <x:c r="AE624" s="14" t="str"/>
      <x:c r="AF624" s="14" t="n">
        <x:v>46</x:v>
      </x:c>
      <x:c r="AG624" s="14" t="str">
        <x:v>I3</x:v>
      </x:c>
      <x:c r="AH624" s="14" t="n">
        <x:v>2</x:v>
      </x:c>
      <x:c r="AI624" s="14" t="n">
        <x:v>0</x:v>
      </x:c>
      <x:c r="AJ624" s="18" t="n">
        <x:v>17272</x:v>
      </x:c>
      <x:c r="AK624" s="14" t="str">
        <x:v>https://prozorro.gov.ua/tender/UA-2026-05-11-013243-a</x:v>
      </x:c>
      <x:c r="AL624" s="19" t="n">
        <x:v>46153.587129837964</x:v>
      </x:c>
      <x:c r="AM624" s="19" t="n">
        <x:v>46203</x:v>
      </x:c>
      <x:c r="AN624" s="15" t="str">
        <x:v>Електромонтаж</x:v>
      </x:c>
      <x:c r="AO624" s="15" t="str">
        <x:v>not_found_in_top_search</x:v>
      </x:c>
    </x:row>
    <x:row r="625">
      <x:c r="A625" s="14" t="str">
        <x:v>W3-353</x:v>
      </x:c>
      <x:c r="B625" s="14" t="str">
        <x:v>Prozorro winners — 24.08</x:v>
      </x:c>
      <x:c r="C625" s="14" t="str">
        <x:v>ТОВ СМ Енерго</x:v>
      </x:c>
      <x:c r="D625" s="14" t="str">
        <x:v>Електромонтаж</x:v>
      </x:c>
      <x:c r="E625" s="14" t="str">
        <x:v>Pilot now</x:v>
      </x:c>
      <x:c r="F625" s="17" t="str">
        <x:f>IF(E625="Pilot now",IF(P625&gt;=84,"P1",IF(P625&gt;=72,"P2","P3")),IF(E625="Expansion discovery",IF(Q625&gt;=88,"D1",IF(Q625&gt;=78,"D2","D3")),IF(E625="Later / requirements","L","Legacy")))</x:f>
        <x:v>P1</x:v>
      </x:c>
      <x:c r="G625" s="14" t="str"/>
      <x:c r="H625" s="14" t="str">
        <x:v>Пілот зараз — Н.15</x:v>
      </x:c>
      <x:c r="I625" s="16" t="n">
        <x:v>5</x:v>
      </x:c>
      <x:c r="J625" s="16" t="n">
        <x:v>5</x:v>
      </x:c>
      <x:c r="K625" s="16" t="n">
        <x:v>5</x:v>
      </x:c>
      <x:c r="L625" s="16" t="n">
        <x:v>1</x:v>
      </x:c>
      <x:c r="M625" s="16" t="n">
        <x:v>5</x:v>
      </x:c>
      <x:c r="N625" s="16" t="n">
        <x:v>5</x:v>
      </x:c>
      <x:c r="O625" s="16" t="n">
        <x:v>5</x:v>
      </x:c>
      <x:c r="P625" s="16" t="n">
        <x:f>IF(COUNT(I625:O625)&lt;7,"",I625*8+J625*3+K625*2+L625*2+M625*2+N625*2+O625)</x:f>
        <x:v>92</x:v>
      </x:c>
      <x:c r="Q625" s="16" t="n">
        <x:f>IF(COUNT(J625:O625)&lt;6,"",J625*5+K625*4+M625*4+L625*3+N625*2+O625*2)</x:f>
        <x:v>88</x:v>
      </x:c>
      <x:c r="R625" s="14" t="str">
        <x:v>high</x:v>
      </x:c>
      <x:c r="S625" s="14" t="str">
        <x:v>official_prozorro_award_2025_2026</x:v>
      </x:c>
      <x:c r="T625" s="14" t="str">
        <x:v>official_prozorro_api</x:v>
      </x:c>
      <x:c r="U625" s="14" t="str">
        <x:v>Не контактували</x:v>
      </x:c>
      <x:c r="V625" s="15" t="str">
        <x:v>Персоналізований free-pilot outreach по UA-2026-06-11-007574-a; попросити 1 пакет Н.14/Н.15</x:v>
      </x:c>
      <x:c r="W625" s="15" t="str">
        <x:v>Власник / директор; керівник ПТО; відповідальний за договори</x:v>
      </x:c>
      <x:c r="X625" s="15" t="str">
        <x:v>1 підтверджених перемог/договорів у Prozorro на 16 513 грн; 1 проєктів зі строком виконання не раніше 24.08.2026.</x:v>
      </x:c>
      <x:c r="Y625" s="15" t="str">
        <x:v>Електровимірювальні роботи 0,4 кВ( замір опору контуру заземлення, заміри перехідного опору заземлення обладнання, заміри опору ізоляції електропроводки, заміри петлі фаза-нуль електрообладнання Замовника); строк до 2026-12-31. Попросити один знеособлений пакет здачі за цим workflow.</x:v>
      </x:c>
      <x:c r="Z625" s="15" t="str">
        <x:v>https://prozorro.gov.ua/tender/UA-2026-06-11-007574-a</x:v>
      </x:c>
      <x:c r="AA625" s="14" t="str">
        <x:v>40971822</x:v>
      </x:c>
      <x:c r="AB625" s="14" t="str">
        <x:v>2026-08-24</x:v>
      </x:c>
      <x:c r="AC625" s="14" t="str"/>
      <x:c r="AD625" s="20" t="str"/>
      <x:c r="AE625" s="14" t="str"/>
      <x:c r="AF625" s="14" t="n">
        <x:v>46</x:v>
      </x:c>
      <x:c r="AG625" s="14" t="str">
        <x:v>I3</x:v>
      </x:c>
      <x:c r="AH625" s="14" t="n">
        <x:v>1</x:v>
      </x:c>
      <x:c r="AI625" s="14" t="n">
        <x:v>1</x:v>
      </x:c>
      <x:c r="AJ625" s="18" t="n">
        <x:v>16513</x:v>
      </x:c>
      <x:c r="AK625" s="14" t="str">
        <x:v>https://prozorro.gov.ua/tender/UA-2026-06-11-007574-a</x:v>
      </x:c>
      <x:c r="AL625" s="19" t="n">
        <x:v>46184.45582422454</x:v>
      </x:c>
      <x:c r="AM625" s="19" t="n">
        <x:v>46387</x:v>
      </x:c>
      <x:c r="AN625" s="15" t="str">
        <x:v>Електромонтаж</x:v>
      </x:c>
      <x:c r="AO625" s="15" t="str">
        <x:v>not_found_in_top_search</x:v>
      </x:c>
    </x:row>
    <x:row r="626">
      <x:c r="A626" s="14" t="str">
        <x:v>W3-354</x:v>
      </x:c>
      <x:c r="B626" s="14" t="str">
        <x:v>Prozorro winners — 24.08</x:v>
      </x:c>
      <x:c r="C626" s="14" t="str">
        <x:v>ПП "Технабуд-проект"</x:v>
      </x:c>
      <x:c r="D626" s="14" t="str">
        <x:v>HVAC / ОВіК</x:v>
      </x:c>
      <x:c r="E626" s="14" t="str">
        <x:v>Pilot now</x:v>
      </x:c>
      <x:c r="F626" s="17" t="str">
        <x:f>IF(E626="Pilot now",IF(P626&gt;=84,"P1",IF(P626&gt;=72,"P2","P3")),IF(E626="Expansion discovery",IF(Q626&gt;=88,"D1",IF(Q626&gt;=78,"D2","D3")),IF(E626="Later / requirements","L","Legacy")))</x:f>
        <x:v>P1</x:v>
      </x:c>
      <x:c r="G626" s="14" t="str"/>
      <x:c r="H626" s="14" t="str">
        <x:v>Пілот зараз — Н.14</x:v>
      </x:c>
      <x:c r="I626" s="16" t="n">
        <x:v>5</x:v>
      </x:c>
      <x:c r="J626" s="16" t="n">
        <x:v>5</x:v>
      </x:c>
      <x:c r="K626" s="16" t="n">
        <x:v>5</x:v>
      </x:c>
      <x:c r="L626" s="16" t="n">
        <x:v>1</x:v>
      </x:c>
      <x:c r="M626" s="16" t="n">
        <x:v>5</x:v>
      </x:c>
      <x:c r="N626" s="16" t="n">
        <x:v>5</x:v>
      </x:c>
      <x:c r="O626" s="16" t="n">
        <x:v>5</x:v>
      </x:c>
      <x:c r="P626" s="16" t="n">
        <x:f>IF(COUNT(I626:O626)&lt;7,"",I626*8+J626*3+K626*2+L626*2+M626*2+N626*2+O626)</x:f>
        <x:v>92</x:v>
      </x:c>
      <x:c r="Q626" s="16" t="n">
        <x:f>IF(COUNT(J626:O626)&lt;6,"",J626*5+K626*4+M626*4+L626*3+N626*2+O626*2)</x:f>
        <x:v>88</x:v>
      </x:c>
      <x:c r="R626" s="14" t="str">
        <x:v>high</x:v>
      </x:c>
      <x:c r="S626" s="14" t="str">
        <x:v>official_prozorro_award_2025_2026</x:v>
      </x:c>
      <x:c r="T626" s="14" t="str">
        <x:v>official_prozorro_api</x:v>
      </x:c>
      <x:c r="U626" s="14" t="str">
        <x:v>Не контактували</x:v>
      </x:c>
      <x:c r="V626" s="15" t="str">
        <x:v>Персоналізований free-pilot outreach по UA-2026-05-11-014138-a; попросити 1 пакет Н.14/Н.15</x:v>
      </x:c>
      <x:c r="W626" s="15" t="str">
        <x:v>Власник / директор; керівник ПТО; відповідальний за договори</x:v>
      </x:c>
      <x:c r="X626" s="15" t="str">
        <x:v>1 підтверджених перемог/договорів у Prozorro на 14 225 грн; 1 проєктів зі строком виконання не раніше 24.08.2026.</x:v>
      </x:c>
      <x:c r="Y626" s="15" t="str">
        <x:v>Технічний нагляд по об'єкту: "Капітальний ремонт приміщень роздягальні стадіону (монтаж систем водопостачання, водовідведення, електропостачання, вентиляції, опалення та кондиціонування, влаштування бетонної стяжки підлоги, облицювання підлоги керамічною плиткою)"; строк до 2026-12-31. Попросити один знеособлений пакет здачі за цим workflow.</x:v>
      </x:c>
      <x:c r="Z626" s="15" t="str">
        <x:v>https://prozorro.gov.ua/tender/UA-2026-05-11-014138-a</x:v>
      </x:c>
      <x:c r="AA626" s="14" t="str">
        <x:v>42508781</x:v>
      </x:c>
      <x:c r="AB626" s="14" t="str">
        <x:v>2026-08-24</x:v>
      </x:c>
      <x:c r="AC626" s="14" t="str"/>
      <x:c r="AD626" s="20" t="str"/>
      <x:c r="AE626" s="14" t="str"/>
      <x:c r="AF626" s="14" t="n">
        <x:v>46</x:v>
      </x:c>
      <x:c r="AG626" s="14" t="str">
        <x:v>I3</x:v>
      </x:c>
      <x:c r="AH626" s="14" t="n">
        <x:v>1</x:v>
      </x:c>
      <x:c r="AI626" s="14" t="n">
        <x:v>1</x:v>
      </x:c>
      <x:c r="AJ626" s="18" t="n">
        <x:v>14224.77</x:v>
      </x:c>
      <x:c r="AK626" s="14" t="str">
        <x:v>https://prozorro.gov.ua/tender/UA-2026-05-11-014138-a</x:v>
      </x:c>
      <x:c r="AL626" s="19" t="n">
        <x:v>46153.73245244213</x:v>
      </x:c>
      <x:c r="AM626" s="19" t="n">
        <x:v>46387</x:v>
      </x:c>
      <x:c r="AN626" s="15" t="str">
        <x:v>HVAC / ОВіК</x:v>
      </x:c>
      <x:c r="AO626" s="15" t="str">
        <x:v>not_found_in_top_search</x:v>
      </x:c>
    </x:row>
    <x:row r="627">
      <x:c r="A627" s="14" t="str">
        <x:v>W3-355</x:v>
      </x:c>
      <x:c r="B627" s="14" t="str">
        <x:v>Prozorro winners — 24.08</x:v>
      </x:c>
      <x:c r="C627" s="14" t="str">
        <x:v>ПП"ІНСТАЛ ГРУП"</x:v>
      </x:c>
      <x:c r="D627" s="14" t="str">
        <x:v>Резервне живлення</x:v>
      </x:c>
      <x:c r="E627" s="14" t="str">
        <x:v>Expansion discovery</x:v>
      </x:c>
      <x:c r="F627" s="17" t="str">
        <x:f>IF(E627="Pilot now",IF(P627&gt;=84,"P1",IF(P627&gt;=72,"P2","P3")),IF(E627="Expansion discovery",IF(Q627&gt;=88,"D1",IF(Q627&gt;=78,"D2","D3")),IF(E627="Later / requirements","L","Legacy")))</x:f>
        <x:v>D2</x:v>
      </x:c>
      <x:c r="G627" s="14" t="str"/>
      <x:c r="H627" s="14" t="str">
        <x:v>Discovery розширення — 2 тижні</x:v>
      </x:c>
      <x:c r="I627" s="16" t="n">
        <x:v>1</x:v>
      </x:c>
      <x:c r="J627" s="16" t="n">
        <x:v>5</x:v>
      </x:c>
      <x:c r="K627" s="16" t="n">
        <x:v>4</x:v>
      </x:c>
      <x:c r="L627" s="16" t="n">
        <x:v>1</x:v>
      </x:c>
      <x:c r="M627" s="16" t="n">
        <x:v>5</x:v>
      </x:c>
      <x:c r="N627" s="16" t="n">
        <x:v>5</x:v>
      </x:c>
      <x:c r="O627" s="16" t="n">
        <x:v>5</x:v>
      </x:c>
      <x:c r="P627" s="16" t="n">
        <x:f>IF(COUNT(I627:O627)&lt;7,"",I627*8+J627*3+K627*2+L627*2+M627*2+N627*2+O627)</x:f>
        <x:v>58</x:v>
      </x:c>
      <x:c r="Q627" s="16" t="n">
        <x:f>IF(COUNT(J627:O627)&lt;6,"",J627*5+K627*4+M627*4+L627*3+N627*2+O627*2)</x:f>
        <x:v>84</x:v>
      </x:c>
      <x:c r="R627" s="14" t="str">
        <x:v>high</x:v>
      </x:c>
      <x:c r="S627" s="14" t="str">
        <x:v>official_prozorro_award_2025_2026</x:v>
      </x:c>
      <x:c r="T627" s="14" t="str">
        <x:v>official_prozorro_api</x:v>
      </x:c>
      <x:c r="U627" s="14" t="str">
        <x:v>Не контактували</x:v>
      </x:c>
      <x:c r="V627" s="15" t="str">
        <x:v>Workflow-audit outreach по UA-2026-06-01-011179-a; попросити 1 пакет здачі та вимоги проєкту</x:v>
      </x:c>
      <x:c r="W627" s="15" t="str">
        <x:v>Власник / директор; керівник ПТО; відповідальний за договори</x:v>
      </x:c>
      <x:c r="X627" s="15" t="str">
        <x:v>1 підтверджених перемог/договорів у Prozorro на 12 500 грн; 1 проєктів зі строком виконання не раніше 24.08.2026.</x:v>
      </x:c>
      <x:c r="Y627" s="15" t="str">
        <x:v>Послуги з монтажу системи безперебійного живлення в приміщенні відділу "Центр надання адміністративних послуг" міської ради; строк до 2026-12-31. Попросити один знеособлений пакет здачі за цим workflow.</x:v>
      </x:c>
      <x:c r="Z627" s="15" t="str">
        <x:v>https://prozorro.gov.ua/tender/UA-2026-06-01-011179-a</x:v>
      </x:c>
      <x:c r="AA627" s="14" t="str">
        <x:v>39812632</x:v>
      </x:c>
      <x:c r="AB627" s="14" t="str">
        <x:v>2026-08-24</x:v>
      </x:c>
      <x:c r="AC627" s="14" t="str"/>
      <x:c r="AD627" s="20" t="str"/>
      <x:c r="AE627" s="14" t="str"/>
      <x:c r="AF627" s="14" t="n">
        <x:v>46</x:v>
      </x:c>
      <x:c r="AG627" s="14" t="str">
        <x:v>I3</x:v>
      </x:c>
      <x:c r="AH627" s="14" t="n">
        <x:v>1</x:v>
      </x:c>
      <x:c r="AI627" s="14" t="n">
        <x:v>1</x:v>
      </x:c>
      <x:c r="AJ627" s="18" t="n">
        <x:v>12500</x:v>
      </x:c>
      <x:c r="AK627" s="14" t="str">
        <x:v>https://prozorro.gov.ua/tender/UA-2026-06-01-011179-a</x:v>
      </x:c>
      <x:c r="AL627" s="19" t="n">
        <x:v>46174.57765310185</x:v>
      </x:c>
      <x:c r="AM627" s="19" t="n">
        <x:v>46387.611238425925</x:v>
      </x:c>
      <x:c r="AN627" s="15" t="str">
        <x:v>Резервне живлення</x:v>
      </x:c>
      <x:c r="AO627" s="15" t="str">
        <x:v>not_found_in_top_search</x:v>
      </x:c>
    </x:row>
    <x:row r="628">
      <x:c r="A628" s="14" t="str">
        <x:v>W3-356</x:v>
      </x:c>
      <x:c r="B628" s="14" t="str">
        <x:v>Prozorro winners — 24.08</x:v>
      </x:c>
      <x:c r="C628" s="14" t="str">
        <x:v>ТОВ "ДЕБІ СІСТЕМС"</x:v>
      </x:c>
      <x:c r="D628" s="14" t="str">
        <x:v>Безпека / СКУД / CCTV</x:v>
      </x:c>
      <x:c r="E628" s="14" t="str">
        <x:v>Expansion discovery</x:v>
      </x:c>
      <x:c r="F628" s="17" t="str">
        <x:f>IF(E628="Pilot now",IF(P628&gt;=84,"P1",IF(P628&gt;=72,"P2","P3")),IF(E628="Expansion discovery",IF(Q628&gt;=88,"D1",IF(Q628&gt;=78,"D2","D3")),IF(E628="Later / requirements","L","Legacy")))</x:f>
        <x:v>D2</x:v>
      </x:c>
      <x:c r="G628" s="14" t="str"/>
      <x:c r="H628" s="14" t="str">
        <x:v>Discovery розширення — 2 тижні</x:v>
      </x:c>
      <x:c r="I628" s="16" t="n">
        <x:v>1</x:v>
      </x:c>
      <x:c r="J628" s="16" t="n">
        <x:v>5</x:v>
      </x:c>
      <x:c r="K628" s="16" t="n">
        <x:v>4</x:v>
      </x:c>
      <x:c r="L628" s="16" t="n">
        <x:v>1</x:v>
      </x:c>
      <x:c r="M628" s="16" t="n">
        <x:v>5</x:v>
      </x:c>
      <x:c r="N628" s="16" t="n">
        <x:v>5</x:v>
      </x:c>
      <x:c r="O628" s="16" t="n">
        <x:v>5</x:v>
      </x:c>
      <x:c r="P628" s="16" t="n">
        <x:f>IF(COUNT(I628:O628)&lt;7,"",I628*8+J628*3+K628*2+L628*2+M628*2+N628*2+O628)</x:f>
        <x:v>58</x:v>
      </x:c>
      <x:c r="Q628" s="16" t="n">
        <x:f>IF(COUNT(J628:O628)&lt;6,"",J628*5+K628*4+M628*4+L628*3+N628*2+O628*2)</x:f>
        <x:v>84</x:v>
      </x:c>
      <x:c r="R628" s="14" t="str">
        <x:v>high</x:v>
      </x:c>
      <x:c r="S628" s="14" t="str">
        <x:v>official_prozorro_award_2025_2026</x:v>
      </x:c>
      <x:c r="T628" s="14" t="str">
        <x:v>official_prozorro_api</x:v>
      </x:c>
      <x:c r="U628" s="14" t="str">
        <x:v>Не контактували</x:v>
      </x:c>
      <x:c r="V628" s="15" t="str">
        <x:v>Workflow-audit outreach по UA-2026-05-26-006079-a; попросити 1 пакет здачі та вимоги проєкту</x:v>
      </x:c>
      <x:c r="W628" s="15" t="str">
        <x:v>Власник / директор; керівник ПТО; відповідальний за договори</x:v>
      </x:c>
      <x:c r="X628" s="15" t="str">
        <x:v>1 підтверджених перемог/договорів у Prozorro на 11 788 грн; 1 проєктів зі строком виконання не раніше 24.08.2026.</x:v>
      </x:c>
      <x:c r="Y628" s="15" t="str">
        <x:v>Послуги з монтажу системи контролю доступу; строк до 2026-12-31. Попросити один знеособлений пакет здачі за цим workflow.</x:v>
      </x:c>
      <x:c r="Z628" s="15" t="str">
        <x:v>https://prozorro.gov.ua/tender/UA-2026-05-26-006079-a</x:v>
      </x:c>
      <x:c r="AA628" s="14" t="str">
        <x:v>45771603</x:v>
      </x:c>
      <x:c r="AB628" s="14" t="str">
        <x:v>2026-08-24</x:v>
      </x:c>
      <x:c r="AC628" s="14" t="str"/>
      <x:c r="AD628" s="20" t="str"/>
      <x:c r="AE628" s="14" t="str"/>
      <x:c r="AF628" s="14" t="n">
        <x:v>46</x:v>
      </x:c>
      <x:c r="AG628" s="14" t="str">
        <x:v>I3</x:v>
      </x:c>
      <x:c r="AH628" s="14" t="n">
        <x:v>1</x:v>
      </x:c>
      <x:c r="AI628" s="14" t="n">
        <x:v>1</x:v>
      </x:c>
      <x:c r="AJ628" s="18" t="n">
        <x:v>11788</x:v>
      </x:c>
      <x:c r="AK628" s="14" t="str">
        <x:v>https://prozorro.gov.ua/tender/UA-2026-05-26-006079-a</x:v>
      </x:c>
      <x:c r="AL628" s="19" t="n">
        <x:v>46168.38909778935</x:v>
      </x:c>
      <x:c r="AM628" s="19" t="n">
        <x:v>46387.42978009259</x:v>
      </x:c>
      <x:c r="AN628" s="15" t="str">
        <x:v>Безпека / СКУД / CCTV</x:v>
      </x:c>
      <x:c r="AO628" s="15" t="str">
        <x:v>not_found_in_top_search</x:v>
      </x:c>
    </x:row>
    <x:row r="629">
      <x:c r="A629" s="14" t="str">
        <x:v>W3-357</x:v>
      </x:c>
      <x:c r="B629" s="14" t="str">
        <x:v>Prozorro winners — 24.08</x:v>
      </x:c>
      <x:c r="C629" s="14" t="str">
        <x:v>ТОВАРИСТВО З ОБМЕЖЕНОЮ ВІДПОВІДАЛЬНІСТЮ "АКВАТЕПЛОБУД"</x:v>
      </x:c>
      <x:c r="D629" s="14" t="str">
        <x:v>Внутрішні сантехнічні системи</x:v>
      </x:c>
      <x:c r="E629" s="14" t="str">
        <x:v>Pilot now</x:v>
      </x:c>
      <x:c r="F629" s="17" t="str">
        <x:f>IF(E629="Pilot now",IF(P629&gt;=84,"P1",IF(P629&gt;=72,"P2","P3")),IF(E629="Expansion discovery",IF(Q629&gt;=88,"D1",IF(Q629&gt;=78,"D2","D3")),IF(E629="Later / requirements","L","Legacy")))</x:f>
        <x:v>P1</x:v>
      </x:c>
      <x:c r="G629" s="14" t="str"/>
      <x:c r="H629" s="14" t="str">
        <x:v>Пілот зараз — Н.14</x:v>
      </x:c>
      <x:c r="I629" s="16" t="n">
        <x:v>5</x:v>
      </x:c>
      <x:c r="J629" s="16" t="n">
        <x:v>5</x:v>
      </x:c>
      <x:c r="K629" s="16" t="n">
        <x:v>5</x:v>
      </x:c>
      <x:c r="L629" s="16" t="n">
        <x:v>1</x:v>
      </x:c>
      <x:c r="M629" s="16" t="n">
        <x:v>5</x:v>
      </x:c>
      <x:c r="N629" s="16" t="n">
        <x:v>5</x:v>
      </x:c>
      <x:c r="O629" s="16" t="n">
        <x:v>5</x:v>
      </x:c>
      <x:c r="P629" s="16" t="n">
        <x:f>IF(COUNT(I629:O629)&lt;7,"",I629*8+J629*3+K629*2+L629*2+M629*2+N629*2+O629)</x:f>
        <x:v>92</x:v>
      </x:c>
      <x:c r="Q629" s="16" t="n">
        <x:f>IF(COUNT(J629:O629)&lt;6,"",J629*5+K629*4+M629*4+L629*3+N629*2+O629*2)</x:f>
        <x:v>88</x:v>
      </x:c>
      <x:c r="R629" s="14" t="str">
        <x:v>high</x:v>
      </x:c>
      <x:c r="S629" s="14" t="str">
        <x:v>official_prozorro_award_2025_2026</x:v>
      </x:c>
      <x:c r="T629" s="14" t="str">
        <x:v>official_prozorro_api</x:v>
      </x:c>
      <x:c r="U629" s="14" t="str">
        <x:v>Не контактували</x:v>
      </x:c>
      <x:c r="V629" s="15" t="str">
        <x:v>Персоналізований free-pilot outreach по UA-2026-05-25-003639-a; попросити 1 пакет Н.14/Н.15</x:v>
      </x:c>
      <x:c r="W629" s="15" t="str">
        <x:v>Власник / директор; керівник ПТО; відповідальний за договори</x:v>
      </x:c>
      <x:c r="X629" s="15" t="str">
        <x:v>1 підтверджених перемог/договорів у Prozorro на 11 500 грн; 1 проєктів зі строком виконання не раніше 24.08.2026.</x:v>
      </x:c>
      <x:c r="Y629" s="15" t="str">
        <x:v>ДК 021:2015 - 45330000-9 Водопровідні та санітарно-технічні роботи (ремонт та облаштування внутрішніх мереж водопостачання та каналізації, підключення бойлера); строк до 2026-12-31. Попросити один знеособлений пакет здачі за цим workflow.</x:v>
      </x:c>
      <x:c r="Z629" s="15" t="str">
        <x:v>https://prozorro.gov.ua/tender/UA-2026-05-25-003639-a</x:v>
      </x:c>
      <x:c r="AA629" s="14" t="str">
        <x:v>43233986</x:v>
      </x:c>
      <x:c r="AB629" s="14" t="str">
        <x:v>2026-08-24</x:v>
      </x:c>
      <x:c r="AC629" s="14" t="str"/>
      <x:c r="AD629" s="20" t="str"/>
      <x:c r="AE629" s="14" t="str"/>
      <x:c r="AF629" s="14" t="n">
        <x:v>46</x:v>
      </x:c>
      <x:c r="AG629" s="14" t="str">
        <x:v>I3</x:v>
      </x:c>
      <x:c r="AH629" s="14" t="n">
        <x:v>1</x:v>
      </x:c>
      <x:c r="AI629" s="14" t="n">
        <x:v>1</x:v>
      </x:c>
      <x:c r="AJ629" s="18" t="n">
        <x:v>11500</x:v>
      </x:c>
      <x:c r="AK629" s="14" t="str">
        <x:v>https://prozorro.gov.ua/tender/UA-2026-05-25-003639-a</x:v>
      </x:c>
      <x:c r="AL629" s="19" t="n">
        <x:v>46167.3453590162</x:v>
      </x:c>
      <x:c r="AM629" s="19" t="n">
        <x:v>46387</x:v>
      </x:c>
      <x:c r="AN629" s="15" t="str">
        <x:v>Внутрішні сантехнічні системи</x:v>
      </x:c>
      <x:c r="AO629" s="15" t="str">
        <x:v>not_found_in_top_search</x:v>
      </x:c>
    </x:row>
    <x:row r="630">
      <x:c r="A630" s="14" t="str">
        <x:v>W3-358</x:v>
      </x:c>
      <x:c r="B630" s="14" t="str">
        <x:v>Prozorro winners — 24.08</x:v>
      </x:c>
      <x:c r="C630" s="14" t="str">
        <x:v>ТОВАРИСТВО З ОБМЕЖЕНОЮ ВІДПОВІДАЛЬНІСТЮ "ЛАНГЕЙТ"</x:v>
      </x:c>
      <x:c r="D630" s="14" t="str">
        <x:v>Безпека / СКУД / CCTV</x:v>
      </x:c>
      <x:c r="E630" s="14" t="str">
        <x:v>Expansion discovery</x:v>
      </x:c>
      <x:c r="F630" s="17" t="str">
        <x:f>IF(E630="Pilot now",IF(P630&gt;=84,"P1",IF(P630&gt;=72,"P2","P3")),IF(E630="Expansion discovery",IF(Q630&gt;=88,"D1",IF(Q630&gt;=78,"D2","D3")),IF(E630="Later / requirements","L","Legacy")))</x:f>
        <x:v>D2</x:v>
      </x:c>
      <x:c r="G630" s="14" t="str"/>
      <x:c r="H630" s="14" t="str">
        <x:v>Discovery розширення — 2 тижні</x:v>
      </x:c>
      <x:c r="I630" s="16" t="n">
        <x:v>1</x:v>
      </x:c>
      <x:c r="J630" s="16" t="n">
        <x:v>5</x:v>
      </x:c>
      <x:c r="K630" s="16" t="n">
        <x:v>4</x:v>
      </x:c>
      <x:c r="L630" s="16" t="n">
        <x:v>1</x:v>
      </x:c>
      <x:c r="M630" s="16" t="n">
        <x:v>5</x:v>
      </x:c>
      <x:c r="N630" s="16" t="n">
        <x:v>5</x:v>
      </x:c>
      <x:c r="O630" s="16" t="n">
        <x:v>5</x:v>
      </x:c>
      <x:c r="P630" s="16" t="n">
        <x:f>IF(COUNT(I630:O630)&lt;7,"",I630*8+J630*3+K630*2+L630*2+M630*2+N630*2+O630)</x:f>
        <x:v>58</x:v>
      </x:c>
      <x:c r="Q630" s="16" t="n">
        <x:f>IF(COUNT(J630:O630)&lt;6,"",J630*5+K630*4+M630*4+L630*3+N630*2+O630*2)</x:f>
        <x:v>84</x:v>
      </x:c>
      <x:c r="R630" s="14" t="str">
        <x:v>high</x:v>
      </x:c>
      <x:c r="S630" s="14" t="str">
        <x:v>official_prozorro_award_2025_2026</x:v>
      </x:c>
      <x:c r="T630" s="14" t="str">
        <x:v>official_prozorro_api</x:v>
      </x:c>
      <x:c r="U630" s="14" t="str">
        <x:v>Не контактували</x:v>
      </x:c>
      <x:c r="V630" s="15" t="str">
        <x:v>Workflow-audit outreach по UA-2026-07-06-009347-a; попросити 1 пакет здачі та вимоги проєкту</x:v>
      </x:c>
      <x:c r="W630" s="15" t="str">
        <x:v>Власник / директор; керівник ПТО; відповідальний за договори</x:v>
      </x:c>
      <x:c r="X630" s="15" t="str">
        <x:v>1 підтверджених перемог/договорів у Prozorro на 11 340 грн; 1 проєктів зі строком виконання не раніше 24.08.2026.</x:v>
      </x:c>
      <x:c r="Y630" s="15" t="str">
        <x:v>Послуги з монтажу та облаштування системи відеоспостереження; строк до 2026-12-31. Попросити один знеособлений пакет здачі за цим workflow.</x:v>
      </x:c>
      <x:c r="Z630" s="15" t="str">
        <x:v>https://prozorro.gov.ua/tender/UA-2026-07-06-009347-a</x:v>
      </x:c>
      <x:c r="AA630" s="14" t="str">
        <x:v>31396704</x:v>
      </x:c>
      <x:c r="AB630" s="14" t="str">
        <x:v>2026-08-24</x:v>
      </x:c>
      <x:c r="AC630" s="14" t="str"/>
      <x:c r="AD630" s="20" t="str"/>
      <x:c r="AE630" s="14" t="str"/>
      <x:c r="AF630" s="14" t="n">
        <x:v>46</x:v>
      </x:c>
      <x:c r="AG630" s="14" t="str">
        <x:v>I3</x:v>
      </x:c>
      <x:c r="AH630" s="14" t="n">
        <x:v>1</x:v>
      </x:c>
      <x:c r="AI630" s="14" t="n">
        <x:v>1</x:v>
      </x:c>
      <x:c r="AJ630" s="18" t="n">
        <x:v>11340</x:v>
      </x:c>
      <x:c r="AK630" s="14" t="str">
        <x:v>https://prozorro.gov.ua/tender/UA-2026-07-06-009347-a</x:v>
      </x:c>
      <x:c r="AL630" s="19" t="n">
        <x:v>46209.56327302083</x:v>
      </x:c>
      <x:c r="AM630" s="19" t="n">
        <x:v>46387</x:v>
      </x:c>
      <x:c r="AN630" s="15" t="str">
        <x:v>Безпека / СКУД / CCTV</x:v>
      </x:c>
      <x:c r="AO630" s="15" t="str">
        <x:v>not_found_in_top_search</x:v>
      </x:c>
    </x:row>
    <x:row r="631">
      <x:c r="A631" s="14" t="str">
        <x:v>W3-359</x:v>
      </x:c>
      <x:c r="B631" s="14" t="str">
        <x:v>Prozorro winners — 24.08</x:v>
      </x:c>
      <x:c r="C631" s="14" t="str">
        <x:v>ТОВАРИСТВО З ОБМЕЖЕНОЮ ВІДПОВІДАЛЬНІСТЮ "НВА ГРУП"</x:v>
      </x:c>
      <x:c r="D631" s="14" t="str">
        <x:v>Газопостачання / котельні</x:v>
      </x:c>
      <x:c r="E631" s="14" t="str">
        <x:v>Expansion discovery</x:v>
      </x:c>
      <x:c r="F631" s="17" t="str">
        <x:f>IF(E631="Pilot now",IF(P631&gt;=84,"P1",IF(P631&gt;=72,"P2","P3")),IF(E631="Expansion discovery",IF(Q631&gt;=88,"D1",IF(Q631&gt;=78,"D2","D3")),IF(E631="Later / requirements","L","Legacy")))</x:f>
        <x:v>D2</x:v>
      </x:c>
      <x:c r="G631" s="14" t="str"/>
      <x:c r="H631" s="14" t="str">
        <x:v>Discovery розширення — 2 тижні</x:v>
      </x:c>
      <x:c r="I631" s="16" t="n">
        <x:v>1</x:v>
      </x:c>
      <x:c r="J631" s="16" t="n">
        <x:v>5</x:v>
      </x:c>
      <x:c r="K631" s="16" t="n">
        <x:v>4</x:v>
      </x:c>
      <x:c r="L631" s="16" t="n">
        <x:v>1</x:v>
      </x:c>
      <x:c r="M631" s="16" t="n">
        <x:v>5</x:v>
      </x:c>
      <x:c r="N631" s="16" t="n">
        <x:v>5</x:v>
      </x:c>
      <x:c r="O631" s="16" t="n">
        <x:v>5</x:v>
      </x:c>
      <x:c r="P631" s="16" t="n">
        <x:f>IF(COUNT(I631:O631)&lt;7,"",I631*8+J631*3+K631*2+L631*2+M631*2+N631*2+O631)</x:f>
        <x:v>58</x:v>
      </x:c>
      <x:c r="Q631" s="16" t="n">
        <x:f>IF(COUNT(J631:O631)&lt;6,"",J631*5+K631*4+M631*4+L631*3+N631*2+O631*2)</x:f>
        <x:v>84</x:v>
      </x:c>
      <x:c r="R631" s="14" t="str">
        <x:v>high</x:v>
      </x:c>
      <x:c r="S631" s="14" t="str">
        <x:v>official_prozorro_award_2025_2026</x:v>
      </x:c>
      <x:c r="T631" s="14" t="str">
        <x:v>official_prozorro_api</x:v>
      </x:c>
      <x:c r="U631" s="14" t="str">
        <x:v>Не контактували</x:v>
      </x:c>
      <x:c r="V631" s="15" t="str">
        <x:v>Workflow-audit outreach по UA-2026-05-08-002771-a; попросити 1 пакет здачі та вимоги проєкту</x:v>
      </x:c>
      <x:c r="W631" s="15" t="str">
        <x:v>Власник / директор; керівник ПТО; відповідальний за договори</x:v>
      </x:c>
      <x:c r="X631" s="15" t="str">
        <x:v>1 підтверджених перемог/договорів у Prozorro на 10 000 грн; 1 проєктів зі строком виконання не раніше 24.08.2026.</x:v>
      </x:c>
      <x:c r="Y631" s="15" t="str">
        <x:v>Консультаційні послуги щодо монтажу блочно – модульної твердопаливної котельної; строк до 2026-11-30. Попросити один знеособлений пакет здачі за цим workflow.</x:v>
      </x:c>
      <x:c r="Z631" s="15" t="str">
        <x:v>https://prozorro.gov.ua/tender/UA-2026-05-08-002771-a</x:v>
      </x:c>
      <x:c r="AA631" s="14" t="str">
        <x:v>38415749</x:v>
      </x:c>
      <x:c r="AB631" s="14" t="str">
        <x:v>2026-08-24</x:v>
      </x:c>
      <x:c r="AC631" s="14" t="str"/>
      <x:c r="AD631" s="20" t="str"/>
      <x:c r="AE631" s="14" t="str"/>
      <x:c r="AF631" s="14" t="n">
        <x:v>46</x:v>
      </x:c>
      <x:c r="AG631" s="14" t="str">
        <x:v>I3</x:v>
      </x:c>
      <x:c r="AH631" s="14" t="n">
        <x:v>1</x:v>
      </x:c>
      <x:c r="AI631" s="14" t="n">
        <x:v>1</x:v>
      </x:c>
      <x:c r="AJ631" s="18" t="n">
        <x:v>10000</x:v>
      </x:c>
      <x:c r="AK631" s="14" t="str">
        <x:v>https://prozorro.gov.ua/tender/UA-2026-05-08-002771-a</x:v>
      </x:c>
      <x:c r="AL631" s="19" t="n">
        <x:v>46150.317875092594</x:v>
      </x:c>
      <x:c r="AM631" s="19" t="n">
        <x:v>46356</x:v>
      </x:c>
      <x:c r="AN631" s="15" t="str">
        <x:v>Газопостачання / котельні</x:v>
      </x:c>
      <x:c r="AO631" s="15" t="str">
        <x:v>not_found_in_top_search</x:v>
      </x:c>
    </x:row>
    <x:row r="632">
      <x:c r="A632" s="14" t="str">
        <x:v>W3-360</x:v>
      </x:c>
      <x:c r="B632" s="14" t="str">
        <x:v>Prozorro winners — 24.08</x:v>
      </x:c>
      <x:c r="C632" s="14" t="str">
        <x:v>ФІЛІЯ ДП "УКРДЕРЖБУДЕКСПЕРТИЗА" У ЗАКАРПАТСЬКІЙ ОБЛАСТІ</x:v>
      </x:c>
      <x:c r="D632" s="14" t="str">
        <x:v>Сонячна енергетика</x:v>
      </x:c>
      <x:c r="E632" s="14" t="str">
        <x:v>Expansion discovery</x:v>
      </x:c>
      <x:c r="F632" s="17" t="str">
        <x:f>IF(E632="Pilot now",IF(P632&gt;=84,"P1",IF(P632&gt;=72,"P2","P3")),IF(E632="Expansion discovery",IF(Q632&gt;=88,"D1",IF(Q632&gt;=78,"D2","D3")),IF(E632="Later / requirements","L","Legacy")))</x:f>
        <x:v>D2</x:v>
      </x:c>
      <x:c r="G632" s="14" t="str"/>
      <x:c r="H632" s="14" t="str">
        <x:v>Discovery розширення — 2 тижні</x:v>
      </x:c>
      <x:c r="I632" s="16" t="n">
        <x:v>1</x:v>
      </x:c>
      <x:c r="J632" s="16" t="n">
        <x:v>5</x:v>
      </x:c>
      <x:c r="K632" s="16" t="n">
        <x:v>4</x:v>
      </x:c>
      <x:c r="L632" s="16" t="n">
        <x:v>1</x:v>
      </x:c>
      <x:c r="M632" s="16" t="n">
        <x:v>5</x:v>
      </x:c>
      <x:c r="N632" s="16" t="n">
        <x:v>5</x:v>
      </x:c>
      <x:c r="O632" s="16" t="n">
        <x:v>5</x:v>
      </x:c>
      <x:c r="P632" s="16" t="n">
        <x:f>IF(COUNT(I632:O632)&lt;7,"",I632*8+J632*3+K632*2+L632*2+M632*2+N632*2+O632)</x:f>
        <x:v>58</x:v>
      </x:c>
      <x:c r="Q632" s="16" t="n">
        <x:f>IF(COUNT(J632:O632)&lt;6,"",J632*5+K632*4+M632*4+L632*3+N632*2+O632*2)</x:f>
        <x:v>84</x:v>
      </x:c>
      <x:c r="R632" s="14" t="str">
        <x:v>high</x:v>
      </x:c>
      <x:c r="S632" s="14" t="str">
        <x:v>official_prozorro_award_2025_2026</x:v>
      </x:c>
      <x:c r="T632" s="14" t="str">
        <x:v>official_prozorro_api</x:v>
      </x:c>
      <x:c r="U632" s="14" t="str">
        <x:v>Не контактували</x:v>
      </x:c>
      <x:c r="V632" s="15" t="str">
        <x:v>Workflow-audit outreach по UA-2026-05-06-005839-a; попросити 1 пакет здачі та вимоги проєкту</x:v>
      </x:c>
      <x:c r="W632" s="15" t="str">
        <x:v>Власник / директор; керівник ПТО; відповідальний за договори</x:v>
      </x:c>
      <x:c r="X632" s="15" t="str">
        <x:v>1 підтверджених перемог/договорів у Prozorro на 9 174 грн; 1 проєктів зі строком виконання не раніше 24.08.2026.</x:v>
      </x:c>
      <x:c r="Y632" s="15" t="str">
        <x:v> .Реконструкція системи енергопостачання (монтаж дахової сонячної електростанції для власних потреб) Грушівського ЗДО Тересвянської селищної ради по вул Центральна  13 в   с .Грушово,Тячівського району,Закарпатської області.; строк до 2026-12-31. Попросити один знеособлений пакет здачі за цим workflow.</x:v>
      </x:c>
      <x:c r="Z632" s="15" t="str">
        <x:v>https://prozorro.gov.ua/tender/UA-2026-05-06-005839-a</x:v>
      </x:c>
      <x:c r="AA632" s="14" t="str">
        <x:v>35851205</x:v>
      </x:c>
      <x:c r="AB632" s="14" t="str">
        <x:v>2026-08-24</x:v>
      </x:c>
      <x:c r="AC632" s="14" t="str"/>
      <x:c r="AD632" s="20" t="str"/>
      <x:c r="AE632" s="14" t="str"/>
      <x:c r="AF632" s="14" t="n">
        <x:v>46</x:v>
      </x:c>
      <x:c r="AG632" s="14" t="str">
        <x:v>I3</x:v>
      </x:c>
      <x:c r="AH632" s="14" t="n">
        <x:v>1</x:v>
      </x:c>
      <x:c r="AI632" s="14" t="n">
        <x:v>1</x:v>
      </x:c>
      <x:c r="AJ632" s="18" t="n">
        <x:v>9173.78</x:v>
      </x:c>
      <x:c r="AK632" s="14" t="str">
        <x:v>https://prozorro.gov.ua/tender/UA-2026-05-06-005839-a</x:v>
      </x:c>
      <x:c r="AL632" s="19" t="n">
        <x:v>46148.38122380787</x:v>
      </x:c>
      <x:c r="AM632" s="19" t="n">
        <x:v>46387</x:v>
      </x:c>
      <x:c r="AN632" s="15" t="str">
        <x:v>Сонячна енергетика</x:v>
      </x:c>
      <x:c r="AO632" s="15" t="str">
        <x:v>not_found_in_top_search</x:v>
      </x:c>
    </x:row>
    <x:row r="633">
      <x:c r="A633" s="14" t="str">
        <x:v>W3-361</x:v>
      </x:c>
      <x:c r="B633" s="14" t="str">
        <x:v>Prozorro winners — 24.08</x:v>
      </x:c>
      <x:c r="C633" s="14" t="str">
        <x:v>КОМУНАЛЬНЕ ПІДПРИЄМСТВО "ДЖЕРЕЛО" МОГИЛІВСЬКОЇ СІЛЬСЬКОЇ РАДИ</x:v>
      </x:c>
      <x:c r="D633" s="14" t="str">
        <x:v>Газопостачання / котельні</x:v>
      </x:c>
      <x:c r="E633" s="14" t="str">
        <x:v>Expansion discovery</x:v>
      </x:c>
      <x:c r="F633" s="17" t="str">
        <x:f>IF(E633="Pilot now",IF(P633&gt;=84,"P1",IF(P633&gt;=72,"P2","P3")),IF(E633="Expansion discovery",IF(Q633&gt;=88,"D1",IF(Q633&gt;=78,"D2","D3")),IF(E633="Later / requirements","L","Legacy")))</x:f>
        <x:v>D2</x:v>
      </x:c>
      <x:c r="G633" s="14" t="str"/>
      <x:c r="H633" s="14" t="str">
        <x:v>Discovery розширення — 2 тижні</x:v>
      </x:c>
      <x:c r="I633" s="16" t="n">
        <x:v>1</x:v>
      </x:c>
      <x:c r="J633" s="16" t="n">
        <x:v>5</x:v>
      </x:c>
      <x:c r="K633" s="16" t="n">
        <x:v>4</x:v>
      </x:c>
      <x:c r="L633" s="16" t="n">
        <x:v>1</x:v>
      </x:c>
      <x:c r="M633" s="16" t="n">
        <x:v>5</x:v>
      </x:c>
      <x:c r="N633" s="16" t="n">
        <x:v>5</x:v>
      </x:c>
      <x:c r="O633" s="16" t="n">
        <x:v>5</x:v>
      </x:c>
      <x:c r="P633" s="16" t="n">
        <x:f>IF(COUNT(I633:O633)&lt;7,"",I633*8+J633*3+K633*2+L633*2+M633*2+N633*2+O633)</x:f>
        <x:v>58</x:v>
      </x:c>
      <x:c r="Q633" s="16" t="n">
        <x:f>IF(COUNT(J633:O633)&lt;6,"",J633*5+K633*4+M633*4+L633*3+N633*2+O633*2)</x:f>
        <x:v>84</x:v>
      </x:c>
      <x:c r="R633" s="14" t="str">
        <x:v>high</x:v>
      </x:c>
      <x:c r="S633" s="14" t="str">
        <x:v>official_prozorro_award_2025_2026</x:v>
      </x:c>
      <x:c r="T633" s="14" t="str">
        <x:v>official_prozorro_api</x:v>
      </x:c>
      <x:c r="U633" s="14" t="str">
        <x:v>Не контактували</x:v>
      </x:c>
      <x:c r="V633" s="15" t="str">
        <x:v>Workflow-audit outreach по UA-2026-06-30-003295-a; попросити 1 пакет здачі та вимоги проєкту</x:v>
      </x:c>
      <x:c r="W633" s="15" t="str">
        <x:v>Власник / директор; керівник ПТО; відповідальний за договори</x:v>
      </x:c>
      <x:c r="X633" s="15" t="str">
        <x:v>1 підтверджених перемог/договорів у Prozorro на 5 015 грн; 1 проєктів зі строком виконання не раніше 24.08.2026.</x:v>
      </x:c>
      <x:c r="Y633" s="15" t="str">
        <x:v>Послуги з монтажу допоміжних металоконструкцій в котельні Могилівського ліцею ім.І.М. Шишканя вул.Панікахи, 6А; строк до 2026-12-31. Попросити один знеособлений пакет здачі за цим workflow.</x:v>
      </x:c>
      <x:c r="Z633" s="15" t="str">
        <x:v>https://prozorro.gov.ua/tender/UA-2026-06-30-003295-a</x:v>
      </x:c>
      <x:c r="AA633" s="14" t="str">
        <x:v>41470967</x:v>
      </x:c>
      <x:c r="AB633" s="14" t="str">
        <x:v>2026-08-24</x:v>
      </x:c>
      <x:c r="AC633" s="14" t="str"/>
      <x:c r="AD633" s="20" t="str"/>
      <x:c r="AE633" s="14" t="str"/>
      <x:c r="AF633" s="14" t="n">
        <x:v>46</x:v>
      </x:c>
      <x:c r="AG633" s="14" t="str">
        <x:v>I3</x:v>
      </x:c>
      <x:c r="AH633" s="14" t="n">
        <x:v>1</x:v>
      </x:c>
      <x:c r="AI633" s="14" t="n">
        <x:v>1</x:v>
      </x:c>
      <x:c r="AJ633" s="18" t="n">
        <x:v>5014.84</x:v>
      </x:c>
      <x:c r="AK633" s="14" t="str">
        <x:v>https://prozorro.gov.ua/tender/UA-2026-06-30-003295-a</x:v>
      </x:c>
      <x:c r="AL633" s="19" t="n">
        <x:v>46203.339381412035</x:v>
      </x:c>
      <x:c r="AM633" s="19" t="n">
        <x:v>46387</x:v>
      </x:c>
      <x:c r="AN633" s="15" t="str">
        <x:v>Газопостачання / котельні</x:v>
      </x:c>
      <x:c r="AO633" s="15" t="str">
        <x:v>not_found_in_top_search</x:v>
      </x:c>
    </x:row>
    <x:row r="634">
      <x:c r="A634" s="14" t="str">
        <x:v>W3-362</x:v>
      </x:c>
      <x:c r="B634" s="14" t="str">
        <x:v>Prozorro winners — 24.08</x:v>
      </x:c>
      <x:c r="C634" s="14" t="str">
        <x:v>ТОВ "РОЯЛ СТРОЙ ЛІМІТЕД"</x:v>
      </x:c>
      <x:c r="D634" s="14" t="str">
        <x:v>Резервне живлення</x:v>
      </x:c>
      <x:c r="E634" s="14" t="str">
        <x:v>Expansion discovery</x:v>
      </x:c>
      <x:c r="F634" s="17" t="str">
        <x:f>IF(E634="Pilot now",IF(P634&gt;=84,"P1",IF(P634&gt;=72,"P2","P3")),IF(E634="Expansion discovery",IF(Q634&gt;=88,"D1",IF(Q634&gt;=78,"D2","D3")),IF(E634="Later / requirements","L","Legacy")))</x:f>
        <x:v>D2</x:v>
      </x:c>
      <x:c r="G634" s="14" t="str"/>
      <x:c r="H634" s="14" t="str">
        <x:v>Discovery розширення — 2 тижні</x:v>
      </x:c>
      <x:c r="I634" s="16" t="n">
        <x:v>1</x:v>
      </x:c>
      <x:c r="J634" s="16" t="n">
        <x:v>5</x:v>
      </x:c>
      <x:c r="K634" s="16" t="n">
        <x:v>4</x:v>
      </x:c>
      <x:c r="L634" s="16" t="n">
        <x:v>2</x:v>
      </x:c>
      <x:c r="M634" s="16" t="n">
        <x:v>5</x:v>
      </x:c>
      <x:c r="N634" s="16" t="n">
        <x:v>5</x:v>
      </x:c>
      <x:c r="O634" s="16" t="n">
        <x:v>5</x:v>
      </x:c>
      <x:c r="P634" s="16" t="n">
        <x:f>IF(COUNT(I634:O634)&lt;7,"",I634*8+J634*3+K634*2+L634*2+M634*2+N634*2+O634)</x:f>
        <x:v>60</x:v>
      </x:c>
      <x:c r="Q634" s="16" t="n">
        <x:f>IF(COUNT(J634:O634)&lt;6,"",J634*5+K634*4+M634*4+L634*3+N634*2+O634*2)</x:f>
        <x:v>87</x:v>
      </x:c>
      <x:c r="R634" s="14" t="str">
        <x:v>high</x:v>
      </x:c>
      <x:c r="S634" s="14" t="str">
        <x:v>official_prozorro_award_2025_2026</x:v>
      </x:c>
      <x:c r="T634" s="14" t="str">
        <x:v>official_prozorro_api</x:v>
      </x:c>
      <x:c r="U634" s="14" t="str">
        <x:v>Не контактували</x:v>
      </x:c>
      <x:c r="V634" s="15" t="str">
        <x:v>Workflow-audit outreach по UA-2026-05-01-007008-a; попросити 1 пакет здачі та вимоги проєкту</x:v>
      </x:c>
      <x:c r="W634" s="15" t="str">
        <x:v>Власник / директор; керівник ПТО; відповідальний за договори</x:v>
      </x:c>
      <x:c r="X634" s="15" t="str">
        <x:v>1 підтверджених перемог/договорів у Prozorro на 420 000 грн; 0 проєктів зі строком виконання не раніше 24.08.2026.</x:v>
      </x:c>
      <x:c r="Y634" s="15" t="str">
        <x:v> Модернізація електрощитової та монтаж системи резервного електроживлення (з підключенням джерел безперебійного живлення) Олександрівського закладу загальної середньої освіти Чорноморської міської ради Одеського району Одеської області, розташованого за адресою: Одеська область, Одеський район, с. Олександрівка, вул. Центральна, 85.  ДК 021:2015 45310000-3: «Електромонтажні роботи», 45317000-2 «Інші електромонтажні роботи». ; строк до 2026-06-01. Попросити один знеособлений пакет здачі за цим workflow.</x:v>
      </x:c>
      <x:c r="Z634" s="15" t="str">
        <x:v>https://prozorro.gov.ua/tender/UA-2026-05-01-007008-a</x:v>
      </x:c>
      <x:c r="AA634" s="14" t="str">
        <x:v>40979308</x:v>
      </x:c>
      <x:c r="AB634" s="14" t="str">
        <x:v>2026-08-24</x:v>
      </x:c>
      <x:c r="AC634" s="14" t="str"/>
      <x:c r="AD634" s="20" t="str"/>
      <x:c r="AE634" s="14" t="str"/>
      <x:c r="AF634" s="14" t="n">
        <x:v>45</x:v>
      </x:c>
      <x:c r="AG634" s="14" t="str">
        <x:v>I3</x:v>
      </x:c>
      <x:c r="AH634" s="14" t="n">
        <x:v>1</x:v>
      </x:c>
      <x:c r="AI634" s="14" t="n">
        <x:v>0</x:v>
      </x:c>
      <x:c r="AJ634" s="18" t="n">
        <x:v>420000</x:v>
      </x:c>
      <x:c r="AK634" s="14" t="str">
        <x:v>https://prozorro.gov.ua/tender/UA-2026-05-01-007008-a</x:v>
      </x:c>
      <x:c r="AL634" s="19" t="n">
        <x:v>46143.43566216435</x:v>
      </x:c>
      <x:c r="AM634" s="19" t="n">
        <x:v>46174</x:v>
      </x:c>
      <x:c r="AN634" s="15" t="str">
        <x:v>Резервне живлення</x:v>
      </x:c>
      <x:c r="AO634" s="15" t="str">
        <x:v>not_found_in_top_search</x:v>
      </x:c>
    </x:row>
    <x:row r="635">
      <x:c r="A635" s="14" t="str">
        <x:v>W3-363</x:v>
      </x:c>
      <x:c r="B635" s="14" t="str">
        <x:v>Prozorro winners — 24.08</x:v>
      </x:c>
      <x:c r="C635" s="14" t="str">
        <x:v>Товариство з обмеженою відповідальністю «Вентресурс»</x:v>
      </x:c>
      <x:c r="D635" s="14" t="str">
        <x:v>HVAC / ОВіК</x:v>
      </x:c>
      <x:c r="E635" s="14" t="str">
        <x:v>Pilot now</x:v>
      </x:c>
      <x:c r="F635" s="17" t="str">
        <x:f>IF(E635="Pilot now",IF(P635&gt;=84,"P1",IF(P635&gt;=72,"P2","P3")),IF(E635="Expansion discovery",IF(Q635&gt;=88,"D1",IF(Q635&gt;=78,"D2","D3")),IF(E635="Later / requirements","L","Legacy")))</x:f>
        <x:v>P1</x:v>
      </x:c>
      <x:c r="G635" s="14" t="str"/>
      <x:c r="H635" s="14" t="str">
        <x:v>Пілот зараз — Н.14</x:v>
      </x:c>
      <x:c r="I635" s="16" t="n">
        <x:v>5</x:v>
      </x:c>
      <x:c r="J635" s="16" t="n">
        <x:v>5</x:v>
      </x:c>
      <x:c r="K635" s="16" t="n">
        <x:v>5</x:v>
      </x:c>
      <x:c r="L635" s="16" t="n">
        <x:v>2</x:v>
      </x:c>
      <x:c r="M635" s="16" t="n">
        <x:v>5</x:v>
      </x:c>
      <x:c r="N635" s="16" t="n">
        <x:v>5</x:v>
      </x:c>
      <x:c r="O635" s="16" t="n">
        <x:v>5</x:v>
      </x:c>
      <x:c r="P635" s="16" t="n">
        <x:f>IF(COUNT(I635:O635)&lt;7,"",I635*8+J635*3+K635*2+L635*2+M635*2+N635*2+O635)</x:f>
        <x:v>94</x:v>
      </x:c>
      <x:c r="Q635" s="16" t="n">
        <x:f>IF(COUNT(J635:O635)&lt;6,"",J635*5+K635*4+M635*4+L635*3+N635*2+O635*2)</x:f>
        <x:v>91</x:v>
      </x:c>
      <x:c r="R635" s="14" t="str">
        <x:v>high</x:v>
      </x:c>
      <x:c r="S635" s="14" t="str">
        <x:v>official_prozorro_award_2025_2026</x:v>
      </x:c>
      <x:c r="T635" s="14" t="str">
        <x:v>official_prozorro_api</x:v>
      </x:c>
      <x:c r="U635" s="14" t="str">
        <x:v>Не контактували</x:v>
      </x:c>
      <x:c r="V635" s="15" t="str">
        <x:v>Персоналізований free-pilot outreach по UA-2026-07-06-005832-a; попросити 1 пакет Н.14/Н.15</x:v>
      </x:c>
      <x:c r="W635" s="15" t="str">
        <x:v>Власник / директор; керівник ПТО; відповідальний за договори</x:v>
      </x:c>
      <x:c r="X635" s="15" t="str">
        <x:v>1 підтверджених перемог/договорів у Prozorro на 199 855 грн; 0 проєктів зі строком виконання не раніше 24.08.2026.</x:v>
      </x:c>
      <x:c r="Y635" s="15" t="str">
        <x:v>Монтаж приточно-витяжної системи вентиляції П-1, В-1 в приміщенні укриття КЗ КМР "Слобідська гімназія", с. Слобода, Обухівського району Київської області по вулиці Площа Слави 83                            ,6; строк до 2026-07-24. Попросити один знеособлений пакет здачі за цим workflow.</x:v>
      </x:c>
      <x:c r="Z635" s="15" t="str">
        <x:v>https://prozorro.gov.ua/tender/UA-2026-07-06-005832-a</x:v>
      </x:c>
      <x:c r="AA635" s="14" t="str">
        <x:v>37850973</x:v>
      </x:c>
      <x:c r="AB635" s="14" t="str">
        <x:v>2026-08-24</x:v>
      </x:c>
      <x:c r="AC635" s="14" t="str"/>
      <x:c r="AD635" s="20" t="str"/>
      <x:c r="AE635" s="14" t="str"/>
      <x:c r="AF635" s="14" t="n">
        <x:v>45</x:v>
      </x:c>
      <x:c r="AG635" s="14" t="str">
        <x:v>I3</x:v>
      </x:c>
      <x:c r="AH635" s="14" t="n">
        <x:v>1</x:v>
      </x:c>
      <x:c r="AI635" s="14" t="n">
        <x:v>0</x:v>
      </x:c>
      <x:c r="AJ635" s="18" t="n">
        <x:v>199854.82</x:v>
      </x:c>
      <x:c r="AK635" s="14" t="str">
        <x:v>https://prozorro.gov.ua/tender/UA-2026-07-06-005832-a</x:v>
      </x:c>
      <x:c r="AL635" s="19" t="n">
        <x:v>46209.467935347224</x:v>
      </x:c>
      <x:c r="AM635" s="19" t="n">
        <x:v>46227.46787037037</x:v>
      </x:c>
      <x:c r="AN635" s="15" t="str">
        <x:v>HVAC / ОВіК</x:v>
      </x:c>
      <x:c r="AO635" s="15" t="str">
        <x:v>not_found_in_top_search</x:v>
      </x:c>
    </x:row>
    <x:row r="636">
      <x:c r="A636" s="14" t="str">
        <x:v>W3-364</x:v>
      </x:c>
      <x:c r="B636" s="14" t="str">
        <x:v>Prozorro winners — 24.08</x:v>
      </x:c>
      <x:c r="C636" s="14" t="str">
        <x:v>ТОВАРИСТВО З ОБМЕЖЕНОЮ ВІДПОВІДАЛЬНІСТЮ "ЕНЕРГОДОСВІД"</x:v>
      </x:c>
      <x:c r="D636" s="14" t="str">
        <x:v>Електромонтаж</x:v>
      </x:c>
      <x:c r="E636" s="14" t="str">
        <x:v>Pilot now</x:v>
      </x:c>
      <x:c r="F636" s="17" t="str">
        <x:f>IF(E636="Pilot now",IF(P636&gt;=84,"P1",IF(P636&gt;=72,"P2","P3")),IF(E636="Expansion discovery",IF(Q636&gt;=88,"D1",IF(Q636&gt;=78,"D2","D3")),IF(E636="Later / requirements","L","Legacy")))</x:f>
        <x:v>P1</x:v>
      </x:c>
      <x:c r="G636" s="14" t="str"/>
      <x:c r="H636" s="14" t="str">
        <x:v>Пілот зараз — Н.15</x:v>
      </x:c>
      <x:c r="I636" s="16" t="n">
        <x:v>5</x:v>
      </x:c>
      <x:c r="J636" s="16" t="n">
        <x:v>5</x:v>
      </x:c>
      <x:c r="K636" s="16" t="n">
        <x:v>5</x:v>
      </x:c>
      <x:c r="L636" s="16" t="n">
        <x:v>2</x:v>
      </x:c>
      <x:c r="M636" s="16" t="n">
        <x:v>5</x:v>
      </x:c>
      <x:c r="N636" s="16" t="n">
        <x:v>5</x:v>
      </x:c>
      <x:c r="O636" s="16" t="n">
        <x:v>5</x:v>
      </x:c>
      <x:c r="P636" s="16" t="n">
        <x:f>IF(COUNT(I636:O636)&lt;7,"",I636*8+J636*3+K636*2+L636*2+M636*2+N636*2+O636)</x:f>
        <x:v>94</x:v>
      </x:c>
      <x:c r="Q636" s="16" t="n">
        <x:f>IF(COUNT(J636:O636)&lt;6,"",J636*5+K636*4+M636*4+L636*3+N636*2+O636*2)</x:f>
        <x:v>91</x:v>
      </x:c>
      <x:c r="R636" s="14" t="str">
        <x:v>high</x:v>
      </x:c>
      <x:c r="S636" s="14" t="str">
        <x:v>official_prozorro_award_2025_2026</x:v>
      </x:c>
      <x:c r="T636" s="14" t="str">
        <x:v>official_prozorro_api</x:v>
      </x:c>
      <x:c r="U636" s="14" t="str">
        <x:v>Не контактували</x:v>
      </x:c>
      <x:c r="V636" s="15" t="str">
        <x:v>Персоналізований free-pilot outreach по UA-2026-06-19-005304-a; попросити 1 пакет Н.14/Н.15</x:v>
      </x:c>
      <x:c r="W636" s="15" t="str">
        <x:v>Власник / директор; керівник ПТО; відповідальний за договори</x:v>
      </x:c>
      <x:c r="X636" s="15" t="str">
        <x:v>1 підтверджених перемог/договорів у Prozorro на 151 552 грн; 0 проєктів зі строком виконання не раніше 24.08.2026.</x:v>
      </x:c>
      <x:c r="Y636" s="15" t="str">
        <x:v>Послуги з монтажу зовнішніх електричних мереж  із встановленням кабельних муфт 0,4 кВ поліклініки №3 КП «ХМЛДЦ» по вул. Майборського (ДК 021:2015: 45310000-3 — Електромонтажні роботи).
; строк до 2026-07-31. Попросити один знеособлений пакет здачі за цим workflow.</x:v>
      </x:c>
      <x:c r="Z636" s="15" t="str">
        <x:v>https://prozorro.gov.ua/tender/UA-2026-06-19-005304-a</x:v>
      </x:c>
      <x:c r="AA636" s="14" t="str">
        <x:v>39962008</x:v>
      </x:c>
      <x:c r="AB636" s="14" t="str">
        <x:v>2026-08-24</x:v>
      </x:c>
      <x:c r="AC636" s="14" t="str"/>
      <x:c r="AD636" s="20" t="str"/>
      <x:c r="AE636" s="14" t="str"/>
      <x:c r="AF636" s="14" t="n">
        <x:v>45</x:v>
      </x:c>
      <x:c r="AG636" s="14" t="str">
        <x:v>I3</x:v>
      </x:c>
      <x:c r="AH636" s="14" t="n">
        <x:v>1</x:v>
      </x:c>
      <x:c r="AI636" s="14" t="n">
        <x:v>0</x:v>
      </x:c>
      <x:c r="AJ636" s="18" t="n">
        <x:v>151552.22</x:v>
      </x:c>
      <x:c r="AK636" s="14" t="str">
        <x:v>https://prozorro.gov.ua/tender/UA-2026-06-19-005304-a</x:v>
      </x:c>
      <x:c r="AL636" s="19" t="n">
        <x:v>46205.55656896991</x:v>
      </x:c>
      <x:c r="AM636" s="19" t="n">
        <x:v>46234</x:v>
      </x:c>
      <x:c r="AN636" s="15" t="str">
        <x:v>Електромонтаж</x:v>
      </x:c>
      <x:c r="AO636" s="15" t="str">
        <x:v>not_found_in_top_search</x:v>
      </x:c>
    </x:row>
    <x:row r="637">
      <x:c r="A637" s="14" t="str">
        <x:v>W3-365</x:v>
      </x:c>
      <x:c r="B637" s="14" t="str">
        <x:v>Prozorro winners — 24.08</x:v>
      </x:c>
      <x:c r="C637" s="14" t="str">
        <x:v>ТОВ "АМІКС-КОМПЛЕКС"</x:v>
      </x:c>
      <x:c r="D637" s="14" t="str">
        <x:v>Промисловий холод</x:v>
      </x:c>
      <x:c r="E637" s="14" t="str">
        <x:v>Expansion discovery</x:v>
      </x:c>
      <x:c r="F637" s="17" t="str">
        <x:f>IF(E637="Pilot now",IF(P637&gt;=84,"P1",IF(P637&gt;=72,"P2","P3")),IF(E637="Expansion discovery",IF(Q637&gt;=88,"D1",IF(Q637&gt;=78,"D2","D3")),IF(E637="Later / requirements","L","Legacy")))</x:f>
        <x:v>D2</x:v>
      </x:c>
      <x:c r="G637" s="14" t="str"/>
      <x:c r="H637" s="14" t="str">
        <x:v>Discovery розширення — 2 тижні</x:v>
      </x:c>
      <x:c r="I637" s="16" t="n">
        <x:v>1</x:v>
      </x:c>
      <x:c r="J637" s="16" t="n">
        <x:v>5</x:v>
      </x:c>
      <x:c r="K637" s="16" t="n">
        <x:v>4</x:v>
      </x:c>
      <x:c r="L637" s="16" t="n">
        <x:v>2</x:v>
      </x:c>
      <x:c r="M637" s="16" t="n">
        <x:v>5</x:v>
      </x:c>
      <x:c r="N637" s="16" t="n">
        <x:v>5</x:v>
      </x:c>
      <x:c r="O637" s="16" t="n">
        <x:v>5</x:v>
      </x:c>
      <x:c r="P637" s="16" t="n">
        <x:f>IF(COUNT(I637:O637)&lt;7,"",I637*8+J637*3+K637*2+L637*2+M637*2+N637*2+O637)</x:f>
        <x:v>60</x:v>
      </x:c>
      <x:c r="Q637" s="16" t="n">
        <x:f>IF(COUNT(J637:O637)&lt;6,"",J637*5+K637*4+M637*4+L637*3+N637*2+O637*2)</x:f>
        <x:v>87</x:v>
      </x:c>
      <x:c r="R637" s="14" t="str">
        <x:v>high</x:v>
      </x:c>
      <x:c r="S637" s="14" t="str">
        <x:v>official_prozorro_award_2025_2026</x:v>
      </x:c>
      <x:c r="T637" s="14" t="str">
        <x:v>official_prozorro_api</x:v>
      </x:c>
      <x:c r="U637" s="14" t="str">
        <x:v>Не контактували</x:v>
      </x:c>
      <x:c r="V637" s="15" t="str">
        <x:v>Workflow-audit outreach по UA-2026-06-22-002065-a; попросити 1 пакет здачі та вимоги проєкту</x:v>
      </x:c>
      <x:c r="W637" s="15" t="str">
        <x:v>Власник / директор; керівник ПТО; відповідальний за договори</x:v>
      </x:c>
      <x:c r="X637" s="15" t="str">
        <x:v>1 підтверджених перемог/договорів у Prozorro на 145 080 грн; 0 проєктів зі строком виконання не раніше 24.08.2026.</x:v>
      </x:c>
      <x:c r="Y637" s="15" t="str">
        <x:v>Придбання та монтаж кондиціонерів повітря (код ДК 021:2015 - 42510000-4 Теплообмінники, кондиціонери повітря, холодильне обладнання та фільтрувальні пристрої); строк до 2026-07-31. Попросити один знеособлений пакет здачі за цим workflow.</x:v>
      </x:c>
      <x:c r="Z637" s="15" t="str">
        <x:v>https://prozorro.gov.ua/tender/UA-2026-06-22-002065-a</x:v>
      </x:c>
      <x:c r="AA637" s="14" t="str">
        <x:v>39828887</x:v>
      </x:c>
      <x:c r="AB637" s="14" t="str">
        <x:v>2026-08-24</x:v>
      </x:c>
      <x:c r="AC637" s="14" t="str"/>
      <x:c r="AD637" s="20" t="str"/>
      <x:c r="AE637" s="14" t="str"/>
      <x:c r="AF637" s="14" t="n">
        <x:v>45</x:v>
      </x:c>
      <x:c r="AG637" s="14" t="str">
        <x:v>I3</x:v>
      </x:c>
      <x:c r="AH637" s="14" t="n">
        <x:v>1</x:v>
      </x:c>
      <x:c r="AI637" s="14" t="n">
        <x:v>0</x:v>
      </x:c>
      <x:c r="AJ637" s="18" t="n">
        <x:v>145080</x:v>
      </x:c>
      <x:c r="AK637" s="14" t="str">
        <x:v>https://prozorro.gov.ua/tender/UA-2026-06-22-002065-a</x:v>
      </x:c>
      <x:c r="AL637" s="19" t="n">
        <x:v>46211.45454412037</x:v>
      </x:c>
      <x:c r="AM637" s="19" t="n">
        <x:v>46234</x:v>
      </x:c>
      <x:c r="AN637" s="15" t="str">
        <x:v>Промисловий холод</x:v>
      </x:c>
      <x:c r="AO637" s="15" t="str">
        <x:v>not_found_in_top_search</x:v>
      </x:c>
    </x:row>
    <x:row r="638">
      <x:c r="A638" s="14" t="str">
        <x:v>W3-366</x:v>
      </x:c>
      <x:c r="B638" s="14" t="str">
        <x:v>Prozorro winners — 24.08</x:v>
      </x:c>
      <x:c r="C638" s="14" t="str">
        <x:v>ТОВАРИСТВО З ОБМЕЖЕНОЮ ВІДПОВІДАЛЬНІСТЮ "СПЕЦІАЛІЗОВАНІ ЕНЕРГЕТИЧНІ ТЕХНОЛОГІЇ"</x:v>
      </x:c>
      <x:c r="D638" s="14" t="str">
        <x:v>Сонячна енергетика</x:v>
      </x:c>
      <x:c r="E638" s="14" t="str">
        <x:v>Expansion discovery</x:v>
      </x:c>
      <x:c r="F638" s="17" t="str">
        <x:f>IF(E638="Pilot now",IF(P638&gt;=84,"P1",IF(P638&gt;=72,"P2","P3")),IF(E638="Expansion discovery",IF(Q638&gt;=88,"D1",IF(Q638&gt;=78,"D2","D3")),IF(E638="Later / requirements","L","Legacy")))</x:f>
        <x:v>D2</x:v>
      </x:c>
      <x:c r="G638" s="14" t="str"/>
      <x:c r="H638" s="14" t="str">
        <x:v>Discovery розширення — 2 тижні</x:v>
      </x:c>
      <x:c r="I638" s="16" t="n">
        <x:v>1</x:v>
      </x:c>
      <x:c r="J638" s="16" t="n">
        <x:v>5</x:v>
      </x:c>
      <x:c r="K638" s="16" t="n">
        <x:v>4</x:v>
      </x:c>
      <x:c r="L638" s="16" t="n">
        <x:v>2</x:v>
      </x:c>
      <x:c r="M638" s="16" t="n">
        <x:v>5</x:v>
      </x:c>
      <x:c r="N638" s="16" t="n">
        <x:v>5</x:v>
      </x:c>
      <x:c r="O638" s="16" t="n">
        <x:v>5</x:v>
      </x:c>
      <x:c r="P638" s="16" t="n">
        <x:f>IF(COUNT(I638:O638)&lt;7,"",I638*8+J638*3+K638*2+L638*2+M638*2+N638*2+O638)</x:f>
        <x:v>60</x:v>
      </x:c>
      <x:c r="Q638" s="16" t="n">
        <x:f>IF(COUNT(J638:O638)&lt;6,"",J638*5+K638*4+M638*4+L638*3+N638*2+O638*2)</x:f>
        <x:v>87</x:v>
      </x:c>
      <x:c r="R638" s="14" t="str">
        <x:v>high</x:v>
      </x:c>
      <x:c r="S638" s="14" t="str">
        <x:v>official_prozorro_award_2025_2026</x:v>
      </x:c>
      <x:c r="T638" s="14" t="str">
        <x:v>official_prozorro_api</x:v>
      </x:c>
      <x:c r="U638" s="14" t="str">
        <x:v>Не контактували</x:v>
      </x:c>
      <x:c r="V638" s="15" t="str">
        <x:v>Workflow-audit outreach по UA-2026-06-01-006035-a; попросити 1 пакет здачі та вимоги проєкту</x:v>
      </x:c>
      <x:c r="W638" s="15" t="str">
        <x:v>Власник / директор; керівник ПТО; відповідальний за договори</x:v>
      </x:c>
      <x:c r="X638" s="15" t="str">
        <x:v>1 підтверджених перемог/договорів у Prozorro на 143 898 грн; 0 проєктів зі строком виконання не раніше 24.08.2026.</x:v>
      </x:c>
      <x:c r="Y638" s="15" t="str">
        <x:v>роботи (монтаж та підключення гібридної сонячної електростанції 25 кВт для власного споживання); строк до 2026-08-15. Попросити один знеособлений пакет здачі за цим workflow.</x:v>
      </x:c>
      <x:c r="Z638" s="15" t="str">
        <x:v>https://prozorro.gov.ua/tender/UA-2026-06-01-006035-a</x:v>
      </x:c>
      <x:c r="AA638" s="14" t="str">
        <x:v>37821649</x:v>
      </x:c>
      <x:c r="AB638" s="14" t="str">
        <x:v>2026-08-24</x:v>
      </x:c>
      <x:c r="AC638" s="14" t="str"/>
      <x:c r="AD638" s="20" t="str"/>
      <x:c r="AE638" s="14" t="str"/>
      <x:c r="AF638" s="14" t="n">
        <x:v>45</x:v>
      </x:c>
      <x:c r="AG638" s="14" t="str">
        <x:v>I3</x:v>
      </x:c>
      <x:c r="AH638" s="14" t="n">
        <x:v>1</x:v>
      </x:c>
      <x:c r="AI638" s="14" t="n">
        <x:v>0</x:v>
      </x:c>
      <x:c r="AJ638" s="18" t="n">
        <x:v>143898</x:v>
      </x:c>
      <x:c r="AK638" s="14" t="str">
        <x:v>https://prozorro.gov.ua/tender/UA-2026-06-01-006035-a</x:v>
      </x:c>
      <x:c r="AL638" s="19" t="n">
        <x:v>46174.43245354167</x:v>
      </x:c>
      <x:c r="AM638" s="19" t="n">
        <x:v>46249</x:v>
      </x:c>
      <x:c r="AN638" s="15" t="str">
        <x:v>Сонячна енергетика</x:v>
      </x:c>
      <x:c r="AO638" s="15" t="str">
        <x:v>not_found_in_top_search</x:v>
      </x:c>
    </x:row>
    <x:row r="639">
      <x:c r="A639" s="14" t="str">
        <x:v>W3-367</x:v>
      </x:c>
      <x:c r="B639" s="14" t="str">
        <x:v>Prozorro winners — 24.08</x:v>
      </x:c>
      <x:c r="C639" s="14" t="str">
        <x:v>Державне підприємство «ДЕРЖАВНИЙ НАУКОВО-ДОСЛІДНИЙ ТА ПРОЕКТНО-ВИШУКУВАЛЬНИЙ ІНСТИТУТ «НДІПРОЕКТРЕКОНСТРУКЦІЯ» Одеська філія</x:v>
      </x:c>
      <x:c r="D639" s="14" t="str">
        <x:v>Водоочищення / очисні споруди</x:v>
      </x:c>
      <x:c r="E639" s="14" t="str">
        <x:v>Expansion discovery</x:v>
      </x:c>
      <x:c r="F639" s="17" t="str">
        <x:f>IF(E639="Pilot now",IF(P639&gt;=84,"P1",IF(P639&gt;=72,"P2","P3")),IF(E639="Expansion discovery",IF(Q639&gt;=88,"D1",IF(Q639&gt;=78,"D2","D3")),IF(E639="Later / requirements","L","Legacy")))</x:f>
        <x:v>D2</x:v>
      </x:c>
      <x:c r="G639" s="14" t="str"/>
      <x:c r="H639" s="14" t="str">
        <x:v>Discovery розширення — 2 тижні</x:v>
      </x:c>
      <x:c r="I639" s="16" t="n">
        <x:v>1</x:v>
      </x:c>
      <x:c r="J639" s="16" t="n">
        <x:v>5</x:v>
      </x:c>
      <x:c r="K639" s="16" t="n">
        <x:v>4</x:v>
      </x:c>
      <x:c r="L639" s="16" t="n">
        <x:v>2</x:v>
      </x:c>
      <x:c r="M639" s="16" t="n">
        <x:v>5</x:v>
      </x:c>
      <x:c r="N639" s="16" t="n">
        <x:v>5</x:v>
      </x:c>
      <x:c r="O639" s="16" t="n">
        <x:v>5</x:v>
      </x:c>
      <x:c r="P639" s="16" t="n">
        <x:f>IF(COUNT(I639:O639)&lt;7,"",I639*8+J639*3+K639*2+L639*2+M639*2+N639*2+O639)</x:f>
        <x:v>60</x:v>
      </x:c>
      <x:c r="Q639" s="16" t="n">
        <x:f>IF(COUNT(J639:O639)&lt;6,"",J639*5+K639*4+M639*4+L639*3+N639*2+O639*2)</x:f>
        <x:v>87</x:v>
      </x:c>
      <x:c r="R639" s="14" t="str">
        <x:v>high</x:v>
      </x:c>
      <x:c r="S639" s="14" t="str">
        <x:v>official_prozorro_award_2025_2026</x:v>
      </x:c>
      <x:c r="T639" s="14" t="str">
        <x:v>official_prozorro_api</x:v>
      </x:c>
      <x:c r="U639" s="14" t="str">
        <x:v>Не контактували</x:v>
      </x:c>
      <x:c r="V639" s="15" t="str">
        <x:v>Workflow-audit outreach по UA-2026-05-19-004414-a; попросити 1 пакет здачі та вимоги проєкту</x:v>
      </x:c>
      <x:c r="W639" s="15" t="str">
        <x:v>Власник / директор; керівник ПТО; відповідальний за договори</x:v>
      </x:c>
      <x:c r="X639" s="15" t="str">
        <x:v>1 підтверджених перемог/договорів у Prozorro на 139 890 грн; 0 проєктів зі строком виконання не раніше 24.08.2026.</x:v>
      </x:c>
      <x:c r="Y639" s="15" t="str">
        <x:v>Проведення експертизи проєктно-кошторисної документації за об'єктом: «Реконструкція споруд фізико-механічної очистки стічних вод на очисних спорудах господарсько - побутової каналізації у м. Білгород - Дністровський Одеської області. Коригування».; строк до 2026-06-16. Попросити один знеособлений пакет здачі за цим workflow.</x:v>
      </x:c>
      <x:c r="Z639" s="15" t="str">
        <x:v>https://prozorro.gov.ua/tender/UA-2026-05-19-004414-a</x:v>
      </x:c>
      <x:c r="AA639" s="14" t="str">
        <x:v>03329083</x:v>
      </x:c>
      <x:c r="AB639" s="14" t="str">
        <x:v>2026-08-24</x:v>
      </x:c>
      <x:c r="AC639" s="14" t="str"/>
      <x:c r="AD639" s="20" t="str"/>
      <x:c r="AE639" s="14" t="str"/>
      <x:c r="AF639" s="14" t="n">
        <x:v>45</x:v>
      </x:c>
      <x:c r="AG639" s="14" t="str">
        <x:v>I3</x:v>
      </x:c>
      <x:c r="AH639" s="14" t="n">
        <x:v>1</x:v>
      </x:c>
      <x:c r="AI639" s="14" t="n">
        <x:v>0</x:v>
      </x:c>
      <x:c r="AJ639" s="18" t="n">
        <x:v>139889.86</x:v>
      </x:c>
      <x:c r="AK639" s="14" t="str">
        <x:v>https://prozorro.gov.ua/tender/UA-2026-05-19-004414-a</x:v>
      </x:c>
      <x:c r="AL639" s="19" t="n">
        <x:v>46161.355033078704</x:v>
      </x:c>
      <x:c r="AM639" s="19" t="n">
        <x:v>46189.35413194444</x:v>
      </x:c>
      <x:c r="AN639" s="15" t="str">
        <x:v>Водоочищення / очисні споруди</x:v>
      </x:c>
      <x:c r="AO639" s="15" t="str">
        <x:v>not_found_in_top_search</x:v>
      </x:c>
    </x:row>
    <x:row r="640">
      <x:c r="A640" s="14" t="str">
        <x:v>W3-368</x:v>
      </x:c>
      <x:c r="B640" s="14" t="str">
        <x:v>Prozorro winners — 24.08</x:v>
      </x:c>
      <x:c r="C640" s="14" t="str">
        <x:v>ТОВ"Клімат контроль+"</x:v>
      </x:c>
      <x:c r="D640" s="14" t="str">
        <x:v>Резервне живлення</x:v>
      </x:c>
      <x:c r="E640" s="14" t="str">
        <x:v>Expansion discovery</x:v>
      </x:c>
      <x:c r="F640" s="17" t="str">
        <x:f>IF(E640="Pilot now",IF(P640&gt;=84,"P1",IF(P640&gt;=72,"P2","P3")),IF(E640="Expansion discovery",IF(Q640&gt;=88,"D1",IF(Q640&gt;=78,"D2","D3")),IF(E640="Later / requirements","L","Legacy")))</x:f>
        <x:v>D2</x:v>
      </x:c>
      <x:c r="G640" s="14" t="str"/>
      <x:c r="H640" s="14" t="str">
        <x:v>Discovery розширення — 2 тижні</x:v>
      </x:c>
      <x:c r="I640" s="16" t="n">
        <x:v>1</x:v>
      </x:c>
      <x:c r="J640" s="16" t="n">
        <x:v>5</x:v>
      </x:c>
      <x:c r="K640" s="16" t="n">
        <x:v>4</x:v>
      </x:c>
      <x:c r="L640" s="16" t="n">
        <x:v>2</x:v>
      </x:c>
      <x:c r="M640" s="16" t="n">
        <x:v>5</x:v>
      </x:c>
      <x:c r="N640" s="16" t="n">
        <x:v>5</x:v>
      </x:c>
      <x:c r="O640" s="16" t="n">
        <x:v>5</x:v>
      </x:c>
      <x:c r="P640" s="16" t="n">
        <x:f>IF(COUNT(I640:O640)&lt;7,"",I640*8+J640*3+K640*2+L640*2+M640*2+N640*2+O640)</x:f>
        <x:v>60</x:v>
      </x:c>
      <x:c r="Q640" s="16" t="n">
        <x:f>IF(COUNT(J640:O640)&lt;6,"",J640*5+K640*4+M640*4+L640*3+N640*2+O640*2)</x:f>
        <x:v>87</x:v>
      </x:c>
      <x:c r="R640" s="14" t="str">
        <x:v>high</x:v>
      </x:c>
      <x:c r="S640" s="14" t="str">
        <x:v>official_prozorro_award_2025_2026</x:v>
      </x:c>
      <x:c r="T640" s="14" t="str">
        <x:v>official_prozorro_api</x:v>
      </x:c>
      <x:c r="U640" s="14" t="str">
        <x:v>Не контактували</x:v>
      </x:c>
      <x:c r="V640" s="15" t="str">
        <x:v>Workflow-audit outreach по UA-2026-06-08-007955-a; попросити 1 пакет здачі та вимоги проєкту</x:v>
      </x:c>
      <x:c r="W640" s="15" t="str">
        <x:v>Власник / директор; керівник ПТО; відповідальний за договори</x:v>
      </x:c>
      <x:c r="X640" s="15" t="str">
        <x:v>1 підтверджених перемог/договорів у Prozorro на 124 016 грн; 0 проєктів зі строком виконання не раніше 24.08.2026.</x:v>
      </x:c>
      <x:c r="Y640" s="15" t="str">
        <x:v>ДК 021:2015:45310000-3: «Електромонтажні роботи»(45315300-1 -               " Монтаж систем електроживлення" (Монтаж та підключення безперебійного джерела живлення теплового пункту Малодолинського закладу загальної середньої освіти Чорноморської міської ради  Одеського р-ну, Одеської обл. розташованого за адресою : Одеська обл., Одеський р-н, с.Малодолинське, вул. Зелена , 2); строк до 2026-07-01. Попросити один знеособлений пакет здачі за цим workflow.</x:v>
      </x:c>
      <x:c r="Z640" s="15" t="str">
        <x:v>https://prozorro.gov.ua/tender/UA-2026-06-08-007955-a</x:v>
      </x:c>
      <x:c r="AA640" s="14" t="str">
        <x:v>44650140</x:v>
      </x:c>
      <x:c r="AB640" s="14" t="str">
        <x:v>2026-08-24</x:v>
      </x:c>
      <x:c r="AC640" s="14" t="str"/>
      <x:c r="AD640" s="20" t="str"/>
      <x:c r="AE640" s="14" t="str"/>
      <x:c r="AF640" s="14" t="n">
        <x:v>45</x:v>
      </x:c>
      <x:c r="AG640" s="14" t="str">
        <x:v>I3</x:v>
      </x:c>
      <x:c r="AH640" s="14" t="n">
        <x:v>1</x:v>
      </x:c>
      <x:c r="AI640" s="14" t="n">
        <x:v>0</x:v>
      </x:c>
      <x:c r="AJ640" s="18" t="n">
        <x:v>124016</x:v>
      </x:c>
      <x:c r="AK640" s="14" t="str">
        <x:v>https://prozorro.gov.ua/tender/UA-2026-06-08-007955-a</x:v>
      </x:c>
      <x:c r="AL640" s="19" t="n">
        <x:v>46181.48131082176</x:v>
      </x:c>
      <x:c r="AM640" s="19" t="n">
        <x:v>46204</x:v>
      </x:c>
      <x:c r="AN640" s="15" t="str">
        <x:v>Резервне живлення</x:v>
      </x:c>
      <x:c r="AO640" s="15" t="str">
        <x:v>not_found_in_top_search</x:v>
      </x:c>
    </x:row>
    <x:row r="641">
      <x:c r="A641" s="14" t="str">
        <x:v>W3-369</x:v>
      </x:c>
      <x:c r="B641" s="14" t="str">
        <x:v>Prozorro winners — 24.08</x:v>
      </x:c>
      <x:c r="C641" s="14" t="str">
        <x:v>ТОВ "ДНІПРОВОДПРОЕКТ"</x:v>
      </x:c>
      <x:c r="D641" s="14" t="str">
        <x:v>Водоочищення / очисні споруди</x:v>
      </x:c>
      <x:c r="E641" s="14" t="str">
        <x:v>Expansion discovery</x:v>
      </x:c>
      <x:c r="F641" s="17" t="str">
        <x:f>IF(E641="Pilot now",IF(P641&gt;=84,"P1",IF(P641&gt;=72,"P2","P3")),IF(E641="Expansion discovery",IF(Q641&gt;=88,"D1",IF(Q641&gt;=78,"D2","D3")),IF(E641="Later / requirements","L","Legacy")))</x:f>
        <x:v>D2</x:v>
      </x:c>
      <x:c r="G641" s="14" t="str"/>
      <x:c r="H641" s="14" t="str">
        <x:v>Discovery розширення — 2 тижні</x:v>
      </x:c>
      <x:c r="I641" s="16" t="n">
        <x:v>1</x:v>
      </x:c>
      <x:c r="J641" s="16" t="n">
        <x:v>5</x:v>
      </x:c>
      <x:c r="K641" s="16" t="n">
        <x:v>4</x:v>
      </x:c>
      <x:c r="L641" s="16" t="n">
        <x:v>2</x:v>
      </x:c>
      <x:c r="M641" s="16" t="n">
        <x:v>5</x:v>
      </x:c>
      <x:c r="N641" s="16" t="n">
        <x:v>5</x:v>
      </x:c>
      <x:c r="O641" s="16" t="n">
        <x:v>5</x:v>
      </x:c>
      <x:c r="P641" s="16" t="n">
        <x:f>IF(COUNT(I641:O641)&lt;7,"",I641*8+J641*3+K641*2+L641*2+M641*2+N641*2+O641)</x:f>
        <x:v>60</x:v>
      </x:c>
      <x:c r="Q641" s="16" t="n">
        <x:f>IF(COUNT(J641:O641)&lt;6,"",J641*5+K641*4+M641*4+L641*3+N641*2+O641*2)</x:f>
        <x:v>87</x:v>
      </x:c>
      <x:c r="R641" s="14" t="str">
        <x:v>high</x:v>
      </x:c>
      <x:c r="S641" s="14" t="str">
        <x:v>official_prozorro_award_2025_2026</x:v>
      </x:c>
      <x:c r="T641" s="14" t="str">
        <x:v>official_prozorro_api</x:v>
      </x:c>
      <x:c r="U641" s="14" t="str">
        <x:v>Не контактували</x:v>
      </x:c>
      <x:c r="V641" s="15" t="str">
        <x:v>Workflow-audit outreach по UA-2026-05-14-001223-a; попросити 1 пакет здачі та вимоги проєкту</x:v>
      </x:c>
      <x:c r="W641" s="15" t="str">
        <x:v>Власник / директор; керівник ПТО; відповідальний за договори</x:v>
      </x:c>
      <x:c r="X641" s="15" t="str">
        <x:v>1 підтверджених перемог/договорів у Prozorro на 111 354 грн; 0 проєктів зі строком виконання не раніше 24.08.2026.</x:v>
      </x:c>
      <x:c r="Y641" s="15" t="str">
        <x:v>Робота з коригування проектной документації по об'єкту  "Реконструкція водопровідних очисних споруд з впровадженням системи автоматизованого дозування коагулянту КП "Броваритепловодоенергія"  по вул.Металургів, 52  м.Бровари Броварського району Київської області"; строк до 2026-07-31. Попросити один знеособлений пакет здачі за цим workflow.</x:v>
      </x:c>
      <x:c r="Z641" s="15" t="str">
        <x:v>https://prozorro.gov.ua/tender/UA-2026-05-14-001223-a</x:v>
      </x:c>
      <x:c r="AA641" s="14" t="str">
        <x:v>35045202</x:v>
      </x:c>
      <x:c r="AB641" s="14" t="str">
        <x:v>2026-08-24</x:v>
      </x:c>
      <x:c r="AC641" s="14" t="str"/>
      <x:c r="AD641" s="20" t="str"/>
      <x:c r="AE641" s="14" t="str"/>
      <x:c r="AF641" s="14" t="n">
        <x:v>45</x:v>
      </x:c>
      <x:c r="AG641" s="14" t="str">
        <x:v>I3</x:v>
      </x:c>
      <x:c r="AH641" s="14" t="n">
        <x:v>1</x:v>
      </x:c>
      <x:c r="AI641" s="14" t="n">
        <x:v>0</x:v>
      </x:c>
      <x:c r="AJ641" s="18" t="n">
        <x:v>111354</x:v>
      </x:c>
      <x:c r="AK641" s="14" t="str">
        <x:v>https://prozorro.gov.ua/tender/UA-2026-05-14-001223-a</x:v>
      </x:c>
      <x:c r="AL641" s="19" t="n">
        <x:v>46156.27859652778</x:v>
      </x:c>
      <x:c r="AM641" s="19" t="n">
        <x:v>46234</x:v>
      </x:c>
      <x:c r="AN641" s="15" t="str">
        <x:v>Водоочищення / очисні споруди</x:v>
      </x:c>
      <x:c r="AO641" s="15" t="str">
        <x:v>not_found_in_top_search</x:v>
      </x:c>
    </x:row>
    <x:row r="642">
      <x:c r="A642" s="14" t="str">
        <x:v>W3-370</x:v>
      </x:c>
      <x:c r="B642" s="14" t="str">
        <x:v>Prozorro winners — 24.08</x:v>
      </x:c>
      <x:c r="C642" s="14" t="str">
        <x:v>ФОП Бичок Костянтин Вікторович</x:v>
      </x:c>
      <x:c r="D642" s="14" t="str">
        <x:v>Електромонтаж</x:v>
      </x:c>
      <x:c r="E642" s="14" t="str">
        <x:v>Pilot now</x:v>
      </x:c>
      <x:c r="F642" s="17" t="str">
        <x:f>IF(E642="Pilot now",IF(P642&gt;=84,"P1",IF(P642&gt;=72,"P2","P3")),IF(E642="Expansion discovery",IF(Q642&gt;=88,"D1",IF(Q642&gt;=78,"D2","D3")),IF(E642="Later / requirements","L","Legacy")))</x:f>
        <x:v>P1</x:v>
      </x:c>
      <x:c r="G642" s="14" t="str"/>
      <x:c r="H642" s="14" t="str">
        <x:v>Пілот зараз — Н.15</x:v>
      </x:c>
      <x:c r="I642" s="16" t="n">
        <x:v>5</x:v>
      </x:c>
      <x:c r="J642" s="16" t="n">
        <x:v>5</x:v>
      </x:c>
      <x:c r="K642" s="16" t="n">
        <x:v>5</x:v>
      </x:c>
      <x:c r="L642" s="16" t="n">
        <x:v>1</x:v>
      </x:c>
      <x:c r="M642" s="16" t="n">
        <x:v>5</x:v>
      </x:c>
      <x:c r="N642" s="16" t="n">
        <x:v>3</x:v>
      </x:c>
      <x:c r="O642" s="16" t="n">
        <x:v>5</x:v>
      </x:c>
      <x:c r="P642" s="16" t="n">
        <x:f>IF(COUNT(I642:O642)&lt;7,"",I642*8+J642*3+K642*2+L642*2+M642*2+N642*2+O642)</x:f>
        <x:v>88</x:v>
      </x:c>
      <x:c r="Q642" s="16" t="n">
        <x:f>IF(COUNT(J642:O642)&lt;6,"",J642*5+K642*4+M642*4+L642*3+N642*2+O642*2)</x:f>
        <x:v>84</x:v>
      </x:c>
      <x:c r="R642" s="14" t="str">
        <x:v>high</x:v>
      </x:c>
      <x:c r="S642" s="14" t="str">
        <x:v>official_prozorro_award_2025_2026</x:v>
      </x:c>
      <x:c r="T642" s="14" t="str">
        <x:v>official_prozorro_api</x:v>
      </x:c>
      <x:c r="U642" s="14" t="str">
        <x:v>Не контактували</x:v>
      </x:c>
      <x:c r="V642" s="15" t="str">
        <x:v>Персоналізований free-pilot outreach по UA-2026-03-30-009078-a; попросити 1 пакет Н.14/Н.15</x:v>
      </x:c>
      <x:c r="W642" s="15" t="str">
        <x:v>Власник / виконавець; відповідальний за договір</x:v>
      </x:c>
      <x:c r="X642" s="15" t="str">
        <x:v>2 підтверджених перемог/договорів у Prozorro на 27 580 грн; 2 проєктів зі строком виконання не раніше 24.08.2026.</x:v>
      </x:c>
      <x:c r="Y642" s="15" t="str">
        <x:v>Послуги у сфері локальних мереж (встановлення роутера, налагодження ПК, прокладання витої пари, монтаж короба, прокладання електричного кабелю); строк до 2026-12-31. Попросити один знеособлений пакет здачі за цим workflow.</x:v>
      </x:c>
      <x:c r="Z642" s="15" t="str">
        <x:v>https://prozorro.gov.ua/tender/UA-2026-03-30-009078-a</x:v>
      </x:c>
      <x:c r="AA642" s="14" t="str">
        <x:v>3268604178</x:v>
      </x:c>
      <x:c r="AB642" s="14" t="str">
        <x:v>2026-08-24</x:v>
      </x:c>
      <x:c r="AC642" s="14" t="str"/>
      <x:c r="AD642" s="20" t="str"/>
      <x:c r="AE642" s="14" t="str"/>
      <x:c r="AF642" s="14" t="n">
        <x:v>45</x:v>
      </x:c>
      <x:c r="AG642" s="14" t="str">
        <x:v>I3</x:v>
      </x:c>
      <x:c r="AH642" s="14" t="n">
        <x:v>2</x:v>
      </x:c>
      <x:c r="AI642" s="14" t="n">
        <x:v>2</x:v>
      </x:c>
      <x:c r="AJ642" s="18" t="n">
        <x:v>27580</x:v>
      </x:c>
      <x:c r="AK642" s="14" t="str">
        <x:v>https://prozorro.gov.ua/tender/UA-2026-03-30-009078-a</x:v>
      </x:c>
      <x:c r="AL642" s="19" t="n">
        <x:v>46111.52540443287</x:v>
      </x:c>
      <x:c r="AM642" s="19" t="n">
        <x:v>46387.568333333336</x:v>
      </x:c>
      <x:c r="AN642" s="15" t="str">
        <x:v>Електромонтаж</x:v>
      </x:c>
      <x:c r="AO642" s="15" t="str">
        <x:v>not_found_in_top_search</x:v>
      </x:c>
    </x:row>
    <x:row r="643">
      <x:c r="A643" s="14" t="str">
        <x:v>W3-371</x:v>
      </x:c>
      <x:c r="B643" s="14" t="str">
        <x:v>Prozorro winners — 24.08</x:v>
      </x:c>
      <x:c r="C643" s="14" t="str">
        <x:v>ФОП ГОНЧАРУК ВОЛОДИМИР МИКОЛАЙОВИЧ</x:v>
      </x:c>
      <x:c r="D643" s="14" t="str">
        <x:v>HVAC / ОВіК</x:v>
      </x:c>
      <x:c r="E643" s="14" t="str">
        <x:v>Pilot now</x:v>
      </x:c>
      <x:c r="F643" s="17" t="str">
        <x:f>IF(E643="Pilot now",IF(P643&gt;=84,"P1",IF(P643&gt;=72,"P2","P3")),IF(E643="Expansion discovery",IF(Q643&gt;=88,"D1",IF(Q643&gt;=78,"D2","D3")),IF(E643="Later / requirements","L","Legacy")))</x:f>
        <x:v>P1</x:v>
      </x:c>
      <x:c r="G643" s="14" t="str"/>
      <x:c r="H643" s="14" t="str">
        <x:v>Пілот зараз — Н.14</x:v>
      </x:c>
      <x:c r="I643" s="16" t="n">
        <x:v>5</x:v>
      </x:c>
      <x:c r="J643" s="16" t="n">
        <x:v>5</x:v>
      </x:c>
      <x:c r="K643" s="16" t="n">
        <x:v>5</x:v>
      </x:c>
      <x:c r="L643" s="16" t="n">
        <x:v>1</x:v>
      </x:c>
      <x:c r="M643" s="16" t="n">
        <x:v>5</x:v>
      </x:c>
      <x:c r="N643" s="16" t="n">
        <x:v>3</x:v>
      </x:c>
      <x:c r="O643" s="16" t="n">
        <x:v>5</x:v>
      </x:c>
      <x:c r="P643" s="16" t="n">
        <x:f>IF(COUNT(I643:O643)&lt;7,"",I643*8+J643*3+K643*2+L643*2+M643*2+N643*2+O643)</x:f>
        <x:v>88</x:v>
      </x:c>
      <x:c r="Q643" s="16" t="n">
        <x:f>IF(COUNT(J643:O643)&lt;6,"",J643*5+K643*4+M643*4+L643*3+N643*2+O643*2)</x:f>
        <x:v>84</x:v>
      </x:c>
      <x:c r="R643" s="14" t="str">
        <x:v>high</x:v>
      </x:c>
      <x:c r="S643" s="14" t="str">
        <x:v>official_prozorro_award_2025_2026</x:v>
      </x:c>
      <x:c r="T643" s="14" t="str">
        <x:v>official_prozorro_api</x:v>
      </x:c>
      <x:c r="U643" s="14" t="str">
        <x:v>Не контактували</x:v>
      </x:c>
      <x:c r="V643" s="15" t="str">
        <x:v>Персоналізований free-pilot outreach по UA-2026-03-09-013138-a; попросити 1 пакет Н.14/Н.15</x:v>
      </x:c>
      <x:c r="W643" s="15" t="str">
        <x:v>Власник / виконавець; відповідальний за договір</x:v>
      </x:c>
      <x:c r="X643" s="15" t="str">
        <x:v>2 підтверджених перемог/договорів у Prozorro на 9 300 грн; 2 проєктів зі строком виконання не раніше 24.08.2026.</x:v>
      </x:c>
      <x:c r="Y643" s="15" t="str">
        <x:v>Послуга з поточного ремонту системи опалення (демонтаж, монтаж радіаторів системи опалення); строк до 2026-12-31. Попросити один знеособлений пакет здачі за цим workflow.</x:v>
      </x:c>
      <x:c r="Z643" s="15" t="str">
        <x:v>https://prozorro.gov.ua/tender/UA-2026-03-09-013138-a</x:v>
      </x:c>
      <x:c r="AA643" s="14" t="str">
        <x:v>2761325735</x:v>
      </x:c>
      <x:c r="AB643" s="14" t="str">
        <x:v>2026-08-24</x:v>
      </x:c>
      <x:c r="AC643" s="14" t="str"/>
      <x:c r="AD643" s="20" t="str"/>
      <x:c r="AE643" s="14" t="str"/>
      <x:c r="AF643" s="14" t="n">
        <x:v>45</x:v>
      </x:c>
      <x:c r="AG643" s="14" t="str">
        <x:v>I3</x:v>
      </x:c>
      <x:c r="AH643" s="14" t="n">
        <x:v>2</x:v>
      </x:c>
      <x:c r="AI643" s="14" t="n">
        <x:v>2</x:v>
      </x:c>
      <x:c r="AJ643" s="18" t="n">
        <x:v>9300</x:v>
      </x:c>
      <x:c r="AK643" s="14" t="str">
        <x:v>https://prozorro.gov.ua/tender/UA-2026-03-09-013138-a</x:v>
      </x:c>
      <x:c r="AL643" s="19" t="n">
        <x:v>46090.64353076389</x:v>
      </x:c>
      <x:c r="AM643" s="19" t="n">
        <x:v>46387</x:v>
      </x:c>
      <x:c r="AN643" s="15" t="str">
        <x:v>HVAC / ОВіК</x:v>
      </x:c>
      <x:c r="AO643" s="15" t="str">
        <x:v>not_found_in_top_search</x:v>
      </x:c>
    </x:row>
    <x:row r="644">
      <x:c r="A644" s="14" t="str">
        <x:v>W3-372</x:v>
      </x:c>
      <x:c r="B644" s="14" t="str">
        <x:v>Prozorro winners — 24.08</x:v>
      </x:c>
      <x:c r="C644" s="14" t="str">
        <x:v>ФОП КРЯЧКО ВІТАЛІЙ ЮРІЙОВИЧ</x:v>
      </x:c>
      <x:c r="D644" s="14" t="str">
        <x:v>Електромонтаж</x:v>
      </x:c>
      <x:c r="E644" s="14" t="str">
        <x:v>Pilot now</x:v>
      </x:c>
      <x:c r="F644" s="17" t="str">
        <x:f>IF(E644="Pilot now",IF(P644&gt;=84,"P1",IF(P644&gt;=72,"P2","P3")),IF(E644="Expansion discovery",IF(Q644&gt;=88,"D1",IF(Q644&gt;=78,"D2","D3")),IF(E644="Later / requirements","L","Legacy")))</x:f>
        <x:v>P1</x:v>
      </x:c>
      <x:c r="G644" s="14" t="str"/>
      <x:c r="H644" s="14" t="str">
        <x:v>Пілот зараз — Н.15</x:v>
      </x:c>
      <x:c r="I644" s="16" t="n">
        <x:v>5</x:v>
      </x:c>
      <x:c r="J644" s="16" t="n">
        <x:v>5</x:v>
      </x:c>
      <x:c r="K644" s="16" t="n">
        <x:v>5</x:v>
      </x:c>
      <x:c r="L644" s="16" t="n">
        <x:v>1</x:v>
      </x:c>
      <x:c r="M644" s="16" t="n">
        <x:v>5</x:v>
      </x:c>
      <x:c r="N644" s="16" t="n">
        <x:v>3</x:v>
      </x:c>
      <x:c r="O644" s="16" t="n">
        <x:v>5</x:v>
      </x:c>
      <x:c r="P644" s="16" t="n">
        <x:f>IF(COUNT(I644:O644)&lt;7,"",I644*8+J644*3+K644*2+L644*2+M644*2+N644*2+O644)</x:f>
        <x:v>88</x:v>
      </x:c>
      <x:c r="Q644" s="16" t="n">
        <x:f>IF(COUNT(J644:O644)&lt;6,"",J644*5+K644*4+M644*4+L644*3+N644*2+O644*2)</x:f>
        <x:v>84</x:v>
      </x:c>
      <x:c r="R644" s="14" t="str">
        <x:v>high</x:v>
      </x:c>
      <x:c r="S644" s="14" t="str">
        <x:v>official_prozorro_award_2025_2026</x:v>
      </x:c>
      <x:c r="T644" s="14" t="str">
        <x:v>official_prozorro_api</x:v>
      </x:c>
      <x:c r="U644" s="14" t="str">
        <x:v>Не контактували</x:v>
      </x:c>
      <x:c r="V644" s="15" t="str">
        <x:v>Персоналізований free-pilot outreach по UA-2026-07-10-007609-a; попросити 1 пакет Н.14/Н.15</x:v>
      </x:c>
      <x:c r="W644" s="15" t="str">
        <x:v>Власник / виконавець; відповідальний за договір</x:v>
      </x:c>
      <x:c r="X644" s="15" t="str">
        <x:v>1 підтверджених перемог/договорів у Prozorro на 95 900 грн; 0 проєктів зі строком виконання не раніше 24.08.2026.</x:v>
      </x:c>
      <x:c r="Y644" s="15" t="str">
        <x:v>Послуги з монтажу (заміни) частини електричного обладнання системи резервного живлення (дизель-генератора) будівлі літ. А-6 КНП "МКЛБ №17" ХМР, за адресою: м.Харків, вул. О. Гончара, буд. 5 (ДК 021:2015: 51110000-6 Послуги зі встановлення електричного обладнання); строк до 2026-07-31. Попросити один знеособлений пакет здачі за цим workflow.</x:v>
      </x:c>
      <x:c r="Z644" s="15" t="str">
        <x:v>https://prozorro.gov.ua/tender/UA-2026-07-10-007609-a</x:v>
      </x:c>
      <x:c r="AA644" s="14" t="str">
        <x:v>2815704419</x:v>
      </x:c>
      <x:c r="AB644" s="14" t="str">
        <x:v>2026-08-24</x:v>
      </x:c>
      <x:c r="AC644" s="14" t="str"/>
      <x:c r="AD644" s="20" t="str"/>
      <x:c r="AE644" s="14" t="str"/>
      <x:c r="AF644" s="14" t="n">
        <x:v>44</x:v>
      </x:c>
      <x:c r="AG644" s="14" t="str">
        <x:v>I3</x:v>
      </x:c>
      <x:c r="AH644" s="14" t="n">
        <x:v>1</x:v>
      </x:c>
      <x:c r="AI644" s="14" t="n">
        <x:v>0</x:v>
      </x:c>
      <x:c r="AJ644" s="18" t="n">
        <x:v>95900</x:v>
      </x:c>
      <x:c r="AK644" s="14" t="str">
        <x:v>https://prozorro.gov.ua/tender/UA-2026-07-10-007609-a</x:v>
      </x:c>
      <x:c r="AL644" s="19" t="n">
        <x:v>46213.47965162037</x:v>
      </x:c>
      <x:c r="AM644" s="19" t="n">
        <x:v>46234.87498842592</x:v>
      </x:c>
      <x:c r="AN644" s="15" t="str">
        <x:v>Електромонтаж</x:v>
      </x:c>
      <x:c r="AO644" s="15" t="str">
        <x:v>not_found_in_top_search</x:v>
      </x:c>
    </x:row>
    <x:row r="645">
      <x:c r="A645" s="14" t="str">
        <x:v>W3-373</x:v>
      </x:c>
      <x:c r="B645" s="14" t="str">
        <x:v>Prozorro winners — 24.08</x:v>
      </x:c>
      <x:c r="C645" s="14" t="str">
        <x:v>ПРОЙЧЕНКО ІВАН ІВАНОВИЧ</x:v>
      </x:c>
      <x:c r="D645" s="14" t="str">
        <x:v>Електромонтаж</x:v>
      </x:c>
      <x:c r="E645" s="14" t="str">
        <x:v>Pilot now</x:v>
      </x:c>
      <x:c r="F645" s="17" t="str">
        <x:f>IF(E645="Pilot now",IF(P645&gt;=84,"P1",IF(P645&gt;=72,"P2","P3")),IF(E645="Expansion discovery",IF(Q645&gt;=88,"D1",IF(Q645&gt;=78,"D2","D3")),IF(E645="Later / requirements","L","Legacy")))</x:f>
        <x:v>P1</x:v>
      </x:c>
      <x:c r="G645" s="14" t="str"/>
      <x:c r="H645" s="14" t="str">
        <x:v>Пілот зараз — Н.15</x:v>
      </x:c>
      <x:c r="I645" s="16" t="n">
        <x:v>5</x:v>
      </x:c>
      <x:c r="J645" s="16" t="n">
        <x:v>5</x:v>
      </x:c>
      <x:c r="K645" s="16" t="n">
        <x:v>5</x:v>
      </x:c>
      <x:c r="L645" s="16" t="n">
        <x:v>1</x:v>
      </x:c>
      <x:c r="M645" s="16" t="n">
        <x:v>5</x:v>
      </x:c>
      <x:c r="N645" s="16" t="n">
        <x:v>3</x:v>
      </x:c>
      <x:c r="O645" s="16" t="n">
        <x:v>5</x:v>
      </x:c>
      <x:c r="P645" s="16" t="n">
        <x:f>IF(COUNT(I645:O645)&lt;7,"",I645*8+J645*3+K645*2+L645*2+M645*2+N645*2+O645)</x:f>
        <x:v>88</x:v>
      </x:c>
      <x:c r="Q645" s="16" t="n">
        <x:f>IF(COUNT(J645:O645)&lt;6,"",J645*5+K645*4+M645*4+L645*3+N645*2+O645*2)</x:f>
        <x:v>84</x:v>
      </x:c>
      <x:c r="R645" s="14" t="str">
        <x:v>high</x:v>
      </x:c>
      <x:c r="S645" s="14" t="str">
        <x:v>official_prozorro_award_2025_2026</x:v>
      </x:c>
      <x:c r="T645" s="14" t="str">
        <x:v>official_prozorro_api</x:v>
      </x:c>
      <x:c r="U645" s="14" t="str">
        <x:v>Не контактували</x:v>
      </x:c>
      <x:c r="V645" s="15" t="str">
        <x:v>Персоналізований free-pilot outreach по UA-2026-08-11-005325-a; попросити 1 пакет Н.14/Н.15</x:v>
      </x:c>
      <x:c r="W645" s="15" t="str">
        <x:v>Власник / виконавець; відповідальний за договір</x:v>
      </x:c>
      <x:c r="X645" s="15" t="str">
        <x:v>1 підтверджених перемог/договорів у Prozorro на 52 530 грн; 0 проєктів зі строком виконання не раніше 24.08.2026.</x:v>
      </x:c>
      <x:c r="Y645" s="15" t="str">
        <x:v>Послуги з утримання в належному стані внутрішніх мереж електропостачання: послуги зі встановлення контрольного обладнання ( демонтаж та встановлення (монтаж) електричних лічильників із забезпеченням їх державної повірки; строк до 2026-07-29. Попросити один знеособлений пакет здачі за цим workflow.</x:v>
      </x:c>
      <x:c r="Z645" s="15" t="str">
        <x:v>https://prozorro.gov.ua/tender/UA-2026-08-11-005325-a</x:v>
      </x:c>
      <x:c r="AA645" s="14" t="str">
        <x:v>3077618016</x:v>
      </x:c>
      <x:c r="AB645" s="14" t="str">
        <x:v>2026-08-24</x:v>
      </x:c>
      <x:c r="AC645" s="14" t="str"/>
      <x:c r="AD645" s="20" t="str"/>
      <x:c r="AE645" s="14" t="str"/>
      <x:c r="AF645" s="14" t="n">
        <x:v>44</x:v>
      </x:c>
      <x:c r="AG645" s="14" t="str">
        <x:v>I3</x:v>
      </x:c>
      <x:c r="AH645" s="14" t="n">
        <x:v>1</x:v>
      </x:c>
      <x:c r="AI645" s="14" t="n">
        <x:v>0</x:v>
      </x:c>
      <x:c r="AJ645" s="18" t="n">
        <x:v>52530</x:v>
      </x:c>
      <x:c r="AK645" s="14" t="str">
        <x:v>https://prozorro.gov.ua/tender/UA-2026-08-11-005325-a</x:v>
      </x:c>
      <x:c r="AL645" s="19" t="n">
        <x:v>46245.395472199074</x:v>
      </x:c>
      <x:c r="AM645" s="19" t="n">
        <x:v>46232</x:v>
      </x:c>
      <x:c r="AN645" s="15" t="str">
        <x:v>Електромонтаж</x:v>
      </x:c>
      <x:c r="AO645" s="15" t="str">
        <x:v>not_found_in_top_search</x:v>
      </x:c>
    </x:row>
    <x:row r="646">
      <x:c r="A646" s="14" t="str">
        <x:v>W3-374</x:v>
      </x:c>
      <x:c r="B646" s="14" t="str">
        <x:v>Prozorro winners — 24.08</x:v>
      </x:c>
      <x:c r="C646" s="14" t="str">
        <x:v>ПОПОВСЬКА ОКСАНА АНАТОЛІЇВНА</x:v>
      </x:c>
      <x:c r="D646" s="14" t="str">
        <x:v>Безпека / СКУД / CCTV</x:v>
      </x:c>
      <x:c r="E646" s="14" t="str">
        <x:v>Expansion discovery</x:v>
      </x:c>
      <x:c r="F646" s="17" t="str">
        <x:f>IF(E646="Pilot now",IF(P646&gt;=84,"P1",IF(P646&gt;=72,"P2","P3")),IF(E646="Expansion discovery",IF(Q646&gt;=88,"D1",IF(Q646&gt;=78,"D2","D3")),IF(E646="Later / requirements","L","Legacy")))</x:f>
        <x:v>D2</x:v>
      </x:c>
      <x:c r="G646" s="14" t="str"/>
      <x:c r="H646" s="14" t="str">
        <x:v>Discovery розширення — 2 тижні</x:v>
      </x:c>
      <x:c r="I646" s="16" t="n">
        <x:v>1</x:v>
      </x:c>
      <x:c r="J646" s="16" t="n">
        <x:v>5</x:v>
      </x:c>
      <x:c r="K646" s="16" t="n">
        <x:v>4</x:v>
      </x:c>
      <x:c r="L646" s="16" t="n">
        <x:v>1</x:v>
      </x:c>
      <x:c r="M646" s="16" t="n">
        <x:v>5</x:v>
      </x:c>
      <x:c r="N646" s="16" t="n">
        <x:v>3</x:v>
      </x:c>
      <x:c r="O646" s="16" t="n">
        <x:v>5</x:v>
      </x:c>
      <x:c r="P646" s="16" t="n">
        <x:f>IF(COUNT(I646:O646)&lt;7,"",I646*8+J646*3+K646*2+L646*2+M646*2+N646*2+O646)</x:f>
        <x:v>54</x:v>
      </x:c>
      <x:c r="Q646" s="16" t="n">
        <x:f>IF(COUNT(J646:O646)&lt;6,"",J646*5+K646*4+M646*4+L646*3+N646*2+O646*2)</x:f>
        <x:v>80</x:v>
      </x:c>
      <x:c r="R646" s="14" t="str">
        <x:v>high</x:v>
      </x:c>
      <x:c r="S646" s="14" t="str">
        <x:v>official_prozorro_award_2025_2026</x:v>
      </x:c>
      <x:c r="T646" s="14" t="str">
        <x:v>official_prozorro_api</x:v>
      </x:c>
      <x:c r="U646" s="14" t="str">
        <x:v>Не контактували</x:v>
      </x:c>
      <x:c r="V646" s="15" t="str">
        <x:v>Workflow-audit outreach по UA-2026-07-22-002862-a; попросити 1 пакет здачі та вимоги проєкту</x:v>
      </x:c>
      <x:c r="W646" s="15" t="str">
        <x:v>Власник / виконавець; відповідальний за договір</x:v>
      </x:c>
      <x:c r="X646" s="15" t="str">
        <x:v>1 підтверджених перемог/договорів у Prozorro на 47 202 грн; 0 проєктів зі строком виконання не раніше 24.08.2026.</x:v>
      </x:c>
      <x:c r="Y646" s="15" t="str">
        <x:v>Послуги з монтажу системи відеоспостереження; строк до 2026-07-31. Попросити один знеособлений пакет здачі за цим workflow.</x:v>
      </x:c>
      <x:c r="Z646" s="15" t="str">
        <x:v>https://prozorro.gov.ua/tender/UA-2026-07-22-002862-a</x:v>
      </x:c>
      <x:c r="AA646" s="14" t="str">
        <x:v>2729308340</x:v>
      </x:c>
      <x:c r="AB646" s="14" t="str">
        <x:v>2026-08-24</x:v>
      </x:c>
      <x:c r="AC646" s="14" t="str"/>
      <x:c r="AD646" s="20" t="str"/>
      <x:c r="AE646" s="14" t="str"/>
      <x:c r="AF646" s="14" t="n">
        <x:v>44</x:v>
      </x:c>
      <x:c r="AG646" s="14" t="str">
        <x:v>I3</x:v>
      </x:c>
      <x:c r="AH646" s="14" t="n">
        <x:v>1</x:v>
      </x:c>
      <x:c r="AI646" s="14" t="n">
        <x:v>0</x:v>
      </x:c>
      <x:c r="AJ646" s="18" t="n">
        <x:v>47201.8</x:v>
      </x:c>
      <x:c r="AK646" s="14" t="str">
        <x:v>https://prozorro.gov.ua/tender/UA-2026-07-22-002862-a</x:v>
      </x:c>
      <x:c r="AL646" s="19" t="n">
        <x:v>46225.33639276621</x:v>
      </x:c>
      <x:c r="AM646" s="19" t="n">
        <x:v>46234</x:v>
      </x:c>
      <x:c r="AN646" s="15" t="str">
        <x:v>Безпека / СКУД / CCTV</x:v>
      </x:c>
      <x:c r="AO646" s="15" t="str">
        <x:v>not_found_in_top_search</x:v>
      </x:c>
    </x:row>
    <x:row r="647">
      <x:c r="A647" s="14" t="str">
        <x:v>W3-375</x:v>
      </x:c>
      <x:c r="B647" s="14" t="str">
        <x:v>Prozorro winners — 24.08</x:v>
      </x:c>
      <x:c r="C647" s="14" t="str">
        <x:v>Мельніковський Максим Олександрович</x:v>
      </x:c>
      <x:c r="D647" s="14" t="str">
        <x:v>Безпека / СКУД / CCTV</x:v>
      </x:c>
      <x:c r="E647" s="14" t="str">
        <x:v>Expansion discovery</x:v>
      </x:c>
      <x:c r="F647" s="17" t="str">
        <x:f>IF(E647="Pilot now",IF(P647&gt;=84,"P1",IF(P647&gt;=72,"P2","P3")),IF(E647="Expansion discovery",IF(Q647&gt;=88,"D1",IF(Q647&gt;=78,"D2","D3")),IF(E647="Later / requirements","L","Legacy")))</x:f>
        <x:v>D2</x:v>
      </x:c>
      <x:c r="G647" s="14" t="str"/>
      <x:c r="H647" s="14" t="str">
        <x:v>Discovery розширення — 2 тижні</x:v>
      </x:c>
      <x:c r="I647" s="16" t="n">
        <x:v>1</x:v>
      </x:c>
      <x:c r="J647" s="16" t="n">
        <x:v>5</x:v>
      </x:c>
      <x:c r="K647" s="16" t="n">
        <x:v>4</x:v>
      </x:c>
      <x:c r="L647" s="16" t="n">
        <x:v>1</x:v>
      </x:c>
      <x:c r="M647" s="16" t="n">
        <x:v>5</x:v>
      </x:c>
      <x:c r="N647" s="16" t="n">
        <x:v>3</x:v>
      </x:c>
      <x:c r="O647" s="16" t="n">
        <x:v>5</x:v>
      </x:c>
      <x:c r="P647" s="16" t="n">
        <x:f>IF(COUNT(I647:O647)&lt;7,"",I647*8+J647*3+K647*2+L647*2+M647*2+N647*2+O647)</x:f>
        <x:v>54</x:v>
      </x:c>
      <x:c r="Q647" s="16" t="n">
        <x:f>IF(COUNT(J647:O647)&lt;6,"",J647*5+K647*4+M647*4+L647*3+N647*2+O647*2)</x:f>
        <x:v>80</x:v>
      </x:c>
      <x:c r="R647" s="14" t="str">
        <x:v>high</x:v>
      </x:c>
      <x:c r="S647" s="14" t="str">
        <x:v>official_prozorro_award_2025_2026</x:v>
      </x:c>
      <x:c r="T647" s="14" t="str">
        <x:v>official_prozorro_api</x:v>
      </x:c>
      <x:c r="U647" s="14" t="str">
        <x:v>Не контактували</x:v>
      </x:c>
      <x:c r="V647" s="15" t="str">
        <x:v>Workflow-audit outreach по UA-2026-08-03-003923-a; попросити 1 пакет здачі та вимоги проєкту</x:v>
      </x:c>
      <x:c r="W647" s="15" t="str">
        <x:v>Власник / виконавець; відповідальний за договір</x:v>
      </x:c>
      <x:c r="X647" s="15" t="str">
        <x:v>1 підтверджених перемог/договорів у Prozorro на 45 590 грн; 0 проєктів зі строком виконання не раніше 24.08.2026.</x:v>
      </x:c>
      <x:c r="Y647" s="15" t="str">
        <x:v>Послуги з монтажу та налагодження системи відеоспостереження; строк до 2026-08-14. Попросити один знеособлений пакет здачі за цим workflow.</x:v>
      </x:c>
      <x:c r="Z647" s="15" t="str">
        <x:v>https://prozorro.gov.ua/tender/UA-2026-08-03-003923-a</x:v>
      </x:c>
      <x:c r="AA647" s="14" t="str">
        <x:v>3177207373</x:v>
      </x:c>
      <x:c r="AB647" s="14" t="str">
        <x:v>2026-08-24</x:v>
      </x:c>
      <x:c r="AC647" s="14" t="str"/>
      <x:c r="AD647" s="20" t="str"/>
      <x:c r="AE647" s="14" t="str"/>
      <x:c r="AF647" s="14" t="n">
        <x:v>44</x:v>
      </x:c>
      <x:c r="AG647" s="14" t="str">
        <x:v>I3</x:v>
      </x:c>
      <x:c r="AH647" s="14" t="n">
        <x:v>1</x:v>
      </x:c>
      <x:c r="AI647" s="14" t="n">
        <x:v>0</x:v>
      </x:c>
      <x:c r="AJ647" s="18" t="n">
        <x:v>45590</x:v>
      </x:c>
      <x:c r="AK647" s="14" t="str">
        <x:v>https://prozorro.gov.ua/tender/UA-2026-08-03-003923-a</x:v>
      </x:c>
      <x:c r="AL647" s="19" t="n">
        <x:v>46237.37379709491</x:v>
      </x:c>
      <x:c r="AM647" s="19" t="n">
        <x:v>46248</x:v>
      </x:c>
      <x:c r="AN647" s="15" t="str">
        <x:v>Безпека / СКУД / CCTV</x:v>
      </x:c>
      <x:c r="AO647" s="15" t="str">
        <x:v>not_found_in_top_search</x:v>
      </x:c>
    </x:row>
    <x:row r="648">
      <x:c r="A648" s="14" t="str">
        <x:v>W3-376</x:v>
      </x:c>
      <x:c r="B648" s="14" t="str">
        <x:v>Prozorro winners — 24.08</x:v>
      </x:c>
      <x:c r="C648" s="14" t="str">
        <x:v>Антоненко Максим Юрійович</x:v>
      </x:c>
      <x:c r="D648" s="14" t="str">
        <x:v>Електромонтаж</x:v>
      </x:c>
      <x:c r="E648" s="14" t="str">
        <x:v>Pilot now</x:v>
      </x:c>
      <x:c r="F648" s="17" t="str">
        <x:f>IF(E648="Pilot now",IF(P648&gt;=84,"P1",IF(P648&gt;=72,"P2","P3")),IF(E648="Expansion discovery",IF(Q648&gt;=88,"D1",IF(Q648&gt;=78,"D2","D3")),IF(E648="Later / requirements","L","Legacy")))</x:f>
        <x:v>P1</x:v>
      </x:c>
      <x:c r="G648" s="14" t="str"/>
      <x:c r="H648" s="14" t="str">
        <x:v>Пілот зараз — Н.15</x:v>
      </x:c>
      <x:c r="I648" s="16" t="n">
        <x:v>5</x:v>
      </x:c>
      <x:c r="J648" s="16" t="n">
        <x:v>5</x:v>
      </x:c>
      <x:c r="K648" s="16" t="n">
        <x:v>5</x:v>
      </x:c>
      <x:c r="L648" s="16" t="n">
        <x:v>1</x:v>
      </x:c>
      <x:c r="M648" s="16" t="n">
        <x:v>5</x:v>
      </x:c>
      <x:c r="N648" s="16" t="n">
        <x:v>3</x:v>
      </x:c>
      <x:c r="O648" s="16" t="n">
        <x:v>5</x:v>
      </x:c>
      <x:c r="P648" s="16" t="n">
        <x:f>IF(COUNT(I648:O648)&lt;7,"",I648*8+J648*3+K648*2+L648*2+M648*2+N648*2+O648)</x:f>
        <x:v>88</x:v>
      </x:c>
      <x:c r="Q648" s="16" t="n">
        <x:f>IF(COUNT(J648:O648)&lt;6,"",J648*5+K648*4+M648*4+L648*3+N648*2+O648*2)</x:f>
        <x:v>84</x:v>
      </x:c>
      <x:c r="R648" s="14" t="str">
        <x:v>high</x:v>
      </x:c>
      <x:c r="S648" s="14" t="str">
        <x:v>official_prozorro_award_2025_2026</x:v>
      </x:c>
      <x:c r="T648" s="14" t="str">
        <x:v>official_prozorro_api</x:v>
      </x:c>
      <x:c r="U648" s="14" t="str">
        <x:v>Не контактували</x:v>
      </x:c>
      <x:c r="V648" s="15" t="str">
        <x:v>Персоналізований free-pilot outreach по UA-2026-08-17-009902-a; попросити 1 пакет Н.14/Н.15</x:v>
      </x:c>
      <x:c r="W648" s="15" t="str">
        <x:v>Власник / виконавець; відповідальний за договір</x:v>
      </x:c>
      <x:c r="X648" s="15" t="str">
        <x:v>1 підтверджених перемог/договорів у Prozorro на 36 600 грн; 0 проєктів зі строком виконання не раніше 24.08.2026.</x:v>
      </x:c>
      <x:c r="Y648" s="15" t="str">
        <x:v>Електромонтажні роботи. Класифікація за ДК 021-2015 (CPV): 45310000-3 - Електромонтажні роботи; строк до 2026-08-17. Попросити один знеособлений пакет здачі за цим workflow.</x:v>
      </x:c>
      <x:c r="Z648" s="15" t="str">
        <x:v>https://prozorro.gov.ua/tender/UA-2026-08-17-009902-a</x:v>
      </x:c>
      <x:c r="AA648" s="14" t="str">
        <x:v>3716103678</x:v>
      </x:c>
      <x:c r="AB648" s="14" t="str">
        <x:v>2026-08-24</x:v>
      </x:c>
      <x:c r="AC648" s="14" t="str"/>
      <x:c r="AD648" s="20" t="str"/>
      <x:c r="AE648" s="14" t="str"/>
      <x:c r="AF648" s="14" t="n">
        <x:v>44</x:v>
      </x:c>
      <x:c r="AG648" s="14" t="str">
        <x:v>I3</x:v>
      </x:c>
      <x:c r="AH648" s="14" t="n">
        <x:v>1</x:v>
      </x:c>
      <x:c r="AI648" s="14" t="n">
        <x:v>0</x:v>
      </x:c>
      <x:c r="AJ648" s="18" t="n">
        <x:v>36600</x:v>
      </x:c>
      <x:c r="AK648" s="14" t="str">
        <x:v>https://prozorro.gov.ua/tender/UA-2026-08-17-009902-a</x:v>
      </x:c>
      <x:c r="AL648" s="19" t="n">
        <x:v>46251.53463201389</x:v>
      </x:c>
      <x:c r="AM648" s="19" t="n">
        <x:v>46251.53681712963</x:v>
      </x:c>
      <x:c r="AN648" s="15" t="str">
        <x:v>Електромонтаж</x:v>
      </x:c>
      <x:c r="AO648" s="15" t="str">
        <x:v>not_found_in_top_search</x:v>
      </x:c>
    </x:row>
    <x:row r="649">
      <x:c r="A649" s="14" t="str">
        <x:v>W3-377</x:v>
      </x:c>
      <x:c r="B649" s="14" t="str">
        <x:v>Prozorro winners — 24.08</x:v>
      </x:c>
      <x:c r="C649" s="14" t="str">
        <x:v>КОВАЛЕНКО ВОЛОДИМИР СЕРГІЙОВИЧ</x:v>
      </x:c>
      <x:c r="D649" s="14" t="str">
        <x:v>HVAC / ОВіК</x:v>
      </x:c>
      <x:c r="E649" s="14" t="str">
        <x:v>Pilot now</x:v>
      </x:c>
      <x:c r="F649" s="17" t="str">
        <x:f>IF(E649="Pilot now",IF(P649&gt;=84,"P1",IF(P649&gt;=72,"P2","P3")),IF(E649="Expansion discovery",IF(Q649&gt;=88,"D1",IF(Q649&gt;=78,"D2","D3")),IF(E649="Later / requirements","L","Legacy")))</x:f>
        <x:v>P1</x:v>
      </x:c>
      <x:c r="G649" s="14" t="str"/>
      <x:c r="H649" s="14" t="str">
        <x:v>Пілот зараз — Н.14</x:v>
      </x:c>
      <x:c r="I649" s="16" t="n">
        <x:v>5</x:v>
      </x:c>
      <x:c r="J649" s="16" t="n">
        <x:v>5</x:v>
      </x:c>
      <x:c r="K649" s="16" t="n">
        <x:v>5</x:v>
      </x:c>
      <x:c r="L649" s="16" t="n">
        <x:v>1</x:v>
      </x:c>
      <x:c r="M649" s="16" t="n">
        <x:v>5</x:v>
      </x:c>
      <x:c r="N649" s="16" t="n">
        <x:v>3</x:v>
      </x:c>
      <x:c r="O649" s="16" t="n">
        <x:v>5</x:v>
      </x:c>
      <x:c r="P649" s="16" t="n">
        <x:f>IF(COUNT(I649:O649)&lt;7,"",I649*8+J649*3+K649*2+L649*2+M649*2+N649*2+O649)</x:f>
        <x:v>88</x:v>
      </x:c>
      <x:c r="Q649" s="16" t="n">
        <x:f>IF(COUNT(J649:O649)&lt;6,"",J649*5+K649*4+M649*4+L649*3+N649*2+O649*2)</x:f>
        <x:v>84</x:v>
      </x:c>
      <x:c r="R649" s="14" t="str">
        <x:v>high</x:v>
      </x:c>
      <x:c r="S649" s="14" t="str">
        <x:v>official_prozorro_award_2025_2026</x:v>
      </x:c>
      <x:c r="T649" s="14" t="str">
        <x:v>official_prozorro_api</x:v>
      </x:c>
      <x:c r="U649" s="14" t="str">
        <x:v>Не контактували</x:v>
      </x:c>
      <x:c r="V649" s="15" t="str">
        <x:v>Персоналізований free-pilot outreach по UA-2026-07-15-000429-a; попросити 1 пакет Н.14/Н.15</x:v>
      </x:c>
      <x:c r="W649" s="15" t="str">
        <x:v>Власник / виконавець; відповідальний за договір</x:v>
      </x:c>
      <x:c r="X649" s="15" t="str">
        <x:v>1 підтверджених перемог/договорів у Prozorro на 24 000 грн; 0 проєктів зі строком виконання не раніше 24.08.2026.</x:v>
      </x:c>
      <x:c r="Y649" s="15" t="str">
        <x:v>Послуги з виготовлення проектно-кошторисної документації на монтаж системи вентиляції у приміщеннях 2, 4, 7, 8 громадського будинку адміністративно-побутової будівлі ГУ ДСНС України у Полтавській області за адресою: м. Полтава, вул. Решетилівська, 26/1.; строк до 2026-08-10. Попросити один знеособлений пакет здачі за цим workflow.</x:v>
      </x:c>
      <x:c r="Z649" s="15" t="str">
        <x:v>https://prozorro.gov.ua/tender/UA-2026-07-15-000429-a</x:v>
      </x:c>
      <x:c r="AA649" s="14" t="str">
        <x:v>3110919730</x:v>
      </x:c>
      <x:c r="AB649" s="14" t="str">
        <x:v>2026-08-24</x:v>
      </x:c>
      <x:c r="AC649" s="14" t="str"/>
      <x:c r="AD649" s="20" t="str"/>
      <x:c r="AE649" s="14" t="str"/>
      <x:c r="AF649" s="14" t="n">
        <x:v>44</x:v>
      </x:c>
      <x:c r="AG649" s="14" t="str">
        <x:v>I3</x:v>
      </x:c>
      <x:c r="AH649" s="14" t="n">
        <x:v>1</x:v>
      </x:c>
      <x:c r="AI649" s="14" t="n">
        <x:v>0</x:v>
      </x:c>
      <x:c r="AJ649" s="18" t="n">
        <x:v>24000</x:v>
      </x:c>
      <x:c r="AK649" s="14" t="str">
        <x:v>https://prozorro.gov.ua/tender/UA-2026-07-15-000429-a</x:v>
      </x:c>
      <x:c r="AL649" s="19" t="n">
        <x:v>46218.25353581019</x:v>
      </x:c>
      <x:c r="AM649" s="19" t="n">
        <x:v>46244</x:v>
      </x:c>
      <x:c r="AN649" s="15" t="str">
        <x:v>HVAC / ОВіК</x:v>
      </x:c>
      <x:c r="AO649" s="15" t="str">
        <x:v>not_found_in_top_search</x:v>
      </x:c>
    </x:row>
    <x:row r="650">
      <x:c r="A650" s="14" t="str">
        <x:v>W3-378</x:v>
      </x:c>
      <x:c r="B650" s="14" t="str">
        <x:v>Prozorro winners — 24.08</x:v>
      </x:c>
      <x:c r="C650" s="14" t="str">
        <x:v>Владов Дмитро Олексійович</x:v>
      </x:c>
      <x:c r="D650" s="14" t="str">
        <x:v>HVAC / ОВіК</x:v>
      </x:c>
      <x:c r="E650" s="14" t="str">
        <x:v>Pilot now</x:v>
      </x:c>
      <x:c r="F650" s="17" t="str">
        <x:f>IF(E650="Pilot now",IF(P650&gt;=84,"P1",IF(P650&gt;=72,"P2","P3")),IF(E650="Expansion discovery",IF(Q650&gt;=88,"D1",IF(Q650&gt;=78,"D2","D3")),IF(E650="Later / requirements","L","Legacy")))</x:f>
        <x:v>P1</x:v>
      </x:c>
      <x:c r="G650" s="14" t="str"/>
      <x:c r="H650" s="14" t="str">
        <x:v>Пілот зараз — Н.14</x:v>
      </x:c>
      <x:c r="I650" s="16" t="n">
        <x:v>5</x:v>
      </x:c>
      <x:c r="J650" s="16" t="n">
        <x:v>5</x:v>
      </x:c>
      <x:c r="K650" s="16" t="n">
        <x:v>5</x:v>
      </x:c>
      <x:c r="L650" s="16" t="n">
        <x:v>1</x:v>
      </x:c>
      <x:c r="M650" s="16" t="n">
        <x:v>5</x:v>
      </x:c>
      <x:c r="N650" s="16" t="n">
        <x:v>3</x:v>
      </x:c>
      <x:c r="O650" s="16" t="n">
        <x:v>5</x:v>
      </x:c>
      <x:c r="P650" s="16" t="n">
        <x:f>IF(COUNT(I650:O650)&lt;7,"",I650*8+J650*3+K650*2+L650*2+M650*2+N650*2+O650)</x:f>
        <x:v>88</x:v>
      </x:c>
      <x:c r="Q650" s="16" t="n">
        <x:f>IF(COUNT(J650:O650)&lt;6,"",J650*5+K650*4+M650*4+L650*3+N650*2+O650*2)</x:f>
        <x:v>84</x:v>
      </x:c>
      <x:c r="R650" s="14" t="str">
        <x:v>high</x:v>
      </x:c>
      <x:c r="S650" s="14" t="str">
        <x:v>official_prozorro_award_2025_2026</x:v>
      </x:c>
      <x:c r="T650" s="14" t="str">
        <x:v>official_prozorro_api</x:v>
      </x:c>
      <x:c r="U650" s="14" t="str">
        <x:v>Не контактували</x:v>
      </x:c>
      <x:c r="V650" s="15" t="str">
        <x:v>Персоналізований free-pilot outreach по UA-2026-08-03-008838-a; попросити 1 пакет Н.14/Н.15</x:v>
      </x:c>
      <x:c r="W650" s="15" t="str">
        <x:v>Власник / виконавець; відповідальний за договір</x:v>
      </x:c>
      <x:c r="X650" s="15" t="str">
        <x:v>1 підтверджених перемог/договорів у Prozorro на 19 825 грн; 0 проєктів зі строком виконання не раніше 24.08.2026.</x:v>
      </x:c>
      <x:c r="Y650" s="15" t="str">
        <x:v>послуги з демонтажу та монтажу, перегрупуванню та підключенню до системи опалення сталевих та чавуних  радіаторів, прокладання труб; строк до 2026-08-04. Попросити один знеособлений пакет здачі за цим workflow.</x:v>
      </x:c>
      <x:c r="Z650" s="15" t="str">
        <x:v>https://prozorro.gov.ua/tender/UA-2026-08-03-008838-a</x:v>
      </x:c>
      <x:c r="AA650" s="14" t="str">
        <x:v>1916807599</x:v>
      </x:c>
      <x:c r="AB650" s="14" t="str">
        <x:v>2026-08-24</x:v>
      </x:c>
      <x:c r="AC650" s="14" t="str"/>
      <x:c r="AD650" s="20" t="str"/>
      <x:c r="AE650" s="14" t="str"/>
      <x:c r="AF650" s="14" t="n">
        <x:v>44</x:v>
      </x:c>
      <x:c r="AG650" s="14" t="str">
        <x:v>I3</x:v>
      </x:c>
      <x:c r="AH650" s="14" t="n">
        <x:v>1</x:v>
      </x:c>
      <x:c r="AI650" s="14" t="n">
        <x:v>0</x:v>
      </x:c>
      <x:c r="AJ650" s="18" t="n">
        <x:v>19825</x:v>
      </x:c>
      <x:c r="AK650" s="14" t="str">
        <x:v>https://prozorro.gov.ua/tender/UA-2026-08-03-008838-a</x:v>
      </x:c>
      <x:c r="AL650" s="19" t="n">
        <x:v>46237.53604215278</x:v>
      </x:c>
      <x:c r="AM650" s="19" t="n">
        <x:v>46238.532175925924</x:v>
      </x:c>
      <x:c r="AN650" s="15" t="str">
        <x:v>HVAC / ОВіК</x:v>
      </x:c>
      <x:c r="AO650" s="15" t="str">
        <x:v>not_found_in_top_search</x:v>
      </x:c>
    </x:row>
    <x:row r="651">
      <x:c r="A651" s="14" t="str">
        <x:v>W3-379</x:v>
      </x:c>
      <x:c r="B651" s="14" t="str">
        <x:v>Prozorro winners — 24.08</x:v>
      </x:c>
      <x:c r="C651" s="14" t="str">
        <x:v>ФОП Різник Руслан Сергійович</x:v>
      </x:c>
      <x:c r="D651" s="14" t="str">
        <x:v>Мости / інфраструктура</x:v>
      </x:c>
      <x:c r="E651" s="14" t="str">
        <x:v>Expansion discovery</x:v>
      </x:c>
      <x:c r="F651" s="17" t="str">
        <x:f>IF(E651="Pilot now",IF(P651&gt;=84,"P1",IF(P651&gt;=72,"P2","P3")),IF(E651="Expansion discovery",IF(Q651&gt;=88,"D1",IF(Q651&gt;=78,"D2","D3")),IF(E651="Later / requirements","L","Legacy")))</x:f>
        <x:v>D2</x:v>
      </x:c>
      <x:c r="G651" s="14" t="str"/>
      <x:c r="H651" s="14" t="str">
        <x:v>Discovery розширення — 2 тижні</x:v>
      </x:c>
      <x:c r="I651" s="16" t="n">
        <x:v>1</x:v>
      </x:c>
      <x:c r="J651" s="16" t="n">
        <x:v>5</x:v>
      </x:c>
      <x:c r="K651" s="16" t="n">
        <x:v>4</x:v>
      </x:c>
      <x:c r="L651" s="16" t="n">
        <x:v>1</x:v>
      </x:c>
      <x:c r="M651" s="16" t="n">
        <x:v>5</x:v>
      </x:c>
      <x:c r="N651" s="16" t="n">
        <x:v>3</x:v>
      </x:c>
      <x:c r="O651" s="16" t="n">
        <x:v>5</x:v>
      </x:c>
      <x:c r="P651" s="16" t="n">
        <x:f>IF(COUNT(I651:O651)&lt;7,"",I651*8+J651*3+K651*2+L651*2+M651*2+N651*2+O651)</x:f>
        <x:v>54</x:v>
      </x:c>
      <x:c r="Q651" s="16" t="n">
        <x:f>IF(COUNT(J651:O651)&lt;6,"",J651*5+K651*4+M651*4+L651*3+N651*2+O651*2)</x:f>
        <x:v>80</x:v>
      </x:c>
      <x:c r="R651" s="14" t="str">
        <x:v>high</x:v>
      </x:c>
      <x:c r="S651" s="14" t="str">
        <x:v>official_prozorro_award_2025_2026</x:v>
      </x:c>
      <x:c r="T651" s="14" t="str">
        <x:v>official_prozorro_api</x:v>
      </x:c>
      <x:c r="U651" s="14" t="str">
        <x:v>Не контактували</x:v>
      </x:c>
      <x:c r="V651" s="15" t="str">
        <x:v>Workflow-audit outreach по UA-2026-07-16-010202-a; попросити 1 пакет здачі та вимоги проєкту</x:v>
      </x:c>
      <x:c r="W651" s="15" t="str">
        <x:v>Власник / виконавець; відповідальний за договір</x:v>
      </x:c>
      <x:c r="X651" s="15" t="str">
        <x:v>1 підтверджених перемог/договорів у Prozorro на 11 000 грн; 0 проєктів зі строком виконання не раніше 24.08.2026.</x:v>
      </x:c>
      <x:c r="Y651" s="15" t="str">
        <x:v>Ремонт переднього моста, ремонт задньої підвіски, заміна фільтрів і оливи, змащування автобуса; строк до 2026-07-25. Попросити один знеособлений пакет здачі за цим workflow.</x:v>
      </x:c>
      <x:c r="Z651" s="15" t="str">
        <x:v>https://prozorro.gov.ua/tender/UA-2026-07-16-010202-a</x:v>
      </x:c>
      <x:c r="AA651" s="14" t="str">
        <x:v>3468107094</x:v>
      </x:c>
      <x:c r="AB651" s="14" t="str">
        <x:v>2026-08-24</x:v>
      </x:c>
      <x:c r="AC651" s="14" t="str"/>
      <x:c r="AD651" s="20" t="str"/>
      <x:c r="AE651" s="14" t="str"/>
      <x:c r="AF651" s="14" t="n">
        <x:v>44</x:v>
      </x:c>
      <x:c r="AG651" s="14" t="str">
        <x:v>I3</x:v>
      </x:c>
      <x:c r="AH651" s="14" t="n">
        <x:v>1</x:v>
      </x:c>
      <x:c r="AI651" s="14" t="n">
        <x:v>0</x:v>
      </x:c>
      <x:c r="AJ651" s="18" t="n">
        <x:v>11000</x:v>
      </x:c>
      <x:c r="AK651" s="14" t="str">
        <x:v>https://prozorro.gov.ua/tender/UA-2026-07-16-010202-a</x:v>
      </x:c>
      <x:c r="AL651" s="19" t="n">
        <x:v>46219.61719828704</x:v>
      </x:c>
      <x:c r="AM651" s="19" t="n">
        <x:v>46228.61788194445</x:v>
      </x:c>
      <x:c r="AN651" s="15" t="str">
        <x:v>Мости / інфраструктура</x:v>
      </x:c>
      <x:c r="AO651" s="15" t="str">
        <x:v>not_found_in_top_search</x:v>
      </x:c>
    </x:row>
    <x:row r="652">
      <x:c r="A652" s="14" t="str">
        <x:v>W3-380</x:v>
      </x:c>
      <x:c r="B652" s="14" t="str">
        <x:v>Prozorro winners — 24.08</x:v>
      </x:c>
      <x:c r="C652" s="14" t="str">
        <x:v>ФОП ОПАНАСЮК ВОЛОДИМИР ЛЕОНІДОВИЧ</x:v>
      </x:c>
      <x:c r="D652" s="14" t="str">
        <x:v>HVAC / ОВіК</x:v>
      </x:c>
      <x:c r="E652" s="14" t="str">
        <x:v>Pilot now</x:v>
      </x:c>
      <x:c r="F652" s="17" t="str">
        <x:f>IF(E652="Pilot now",IF(P652&gt;=84,"P1",IF(P652&gt;=72,"P2","P3")),IF(E652="Expansion discovery",IF(Q652&gt;=88,"D1",IF(Q652&gt;=78,"D2","D3")),IF(E652="Later / requirements","L","Legacy")))</x:f>
        <x:v>P1</x:v>
      </x:c>
      <x:c r="G652" s="14" t="str"/>
      <x:c r="H652" s="14" t="str">
        <x:v>Пілот зараз — Н.14</x:v>
      </x:c>
      <x:c r="I652" s="16" t="n">
        <x:v>5</x:v>
      </x:c>
      <x:c r="J652" s="16" t="n">
        <x:v>5</x:v>
      </x:c>
      <x:c r="K652" s="16" t="n">
        <x:v>5</x:v>
      </x:c>
      <x:c r="L652" s="16" t="n">
        <x:v>3</x:v>
      </x:c>
      <x:c r="M652" s="16" t="n">
        <x:v>5</x:v>
      </x:c>
      <x:c r="N652" s="16" t="n">
        <x:v>3</x:v>
      </x:c>
      <x:c r="O652" s="16" t="n">
        <x:v>5</x:v>
      </x:c>
      <x:c r="P652" s="16" t="n">
        <x:f>IF(COUNT(I652:O652)&lt;7,"",I652*8+J652*3+K652*2+L652*2+M652*2+N652*2+O652)</x:f>
        <x:v>92</x:v>
      </x:c>
      <x:c r="Q652" s="16" t="n">
        <x:f>IF(COUNT(J652:O652)&lt;6,"",J652*5+K652*4+M652*4+L652*3+N652*2+O652*2)</x:f>
        <x:v>90</x:v>
      </x:c>
      <x:c r="R652" s="14" t="str">
        <x:v>high</x:v>
      </x:c>
      <x:c r="S652" s="14" t="str">
        <x:v>official_prozorro_award_2025_2026</x:v>
      </x:c>
      <x:c r="T652" s="14" t="str">
        <x:v>official_prozorro_api</x:v>
      </x:c>
      <x:c r="U652" s="14" t="str">
        <x:v>Не контактували</x:v>
      </x:c>
      <x:c r="V652" s="15" t="str">
        <x:v>Персоналізований free-pilot outreach по UA-2026-03-18-007973-a; попросити 1 пакет Н.14/Н.15</x:v>
      </x:c>
      <x:c r="W652" s="15" t="str">
        <x:v>Власник / виконавець; відповідальний за договір</x:v>
      </x:c>
      <x:c r="X652" s="15" t="str">
        <x:v>1 підтверджених перемог/договорів у Prozorro на 839 738 грн; 1 проєктів зі строком виконання не раніше 24.08.2026.</x:v>
      </x:c>
      <x:c r="Y652" s="15" t="str">
        <x:v>Послуги з демонтажу та монтажу тимчасової тентової конструкції накриття басейну з технічним обслуговуванням системи вентиляції; строк до 2026-11-30. Попросити один знеособлений пакет здачі за цим workflow.</x:v>
      </x:c>
      <x:c r="Z652" s="15" t="str">
        <x:v>https://prozorro.gov.ua/tender/UA-2026-03-18-007973-a</x:v>
      </x:c>
      <x:c r="AA652" s="14" t="str">
        <x:v>3308815293</x:v>
      </x:c>
      <x:c r="AB652" s="14" t="str">
        <x:v>2026-08-24</x:v>
      </x:c>
      <x:c r="AC652" s="14" t="str"/>
      <x:c r="AD652" s="20" t="str"/>
      <x:c r="AE652" s="14" t="str"/>
      <x:c r="AF652" s="14" t="n">
        <x:v>43</x:v>
      </x:c>
      <x:c r="AG652" s="14" t="str">
        <x:v>I3</x:v>
      </x:c>
      <x:c r="AH652" s="14" t="n">
        <x:v>1</x:v>
      </x:c>
      <x:c r="AI652" s="14" t="n">
        <x:v>1</x:v>
      </x:c>
      <x:c r="AJ652" s="18" t="n">
        <x:v>839738.07</x:v>
      </x:c>
      <x:c r="AK652" s="14" t="str">
        <x:v>https://prozorro.gov.ua/tender/UA-2026-03-18-007973-a</x:v>
      </x:c>
      <x:c r="AL652" s="19" t="n">
        <x:v>46113.573004432874</x:v>
      </x:c>
      <x:c r="AM652" s="19" t="n">
        <x:v>46356</x:v>
      </x:c>
      <x:c r="AN652" s="15" t="str">
        <x:v>HVAC / ОВіК</x:v>
      </x:c>
      <x:c r="AO652" s="15" t="str">
        <x:v>not_found_in_top_search</x:v>
      </x:c>
    </x:row>
    <x:row r="653">
      <x:c r="A653" s="14" t="str">
        <x:v>W3-381</x:v>
      </x:c>
      <x:c r="B653" s="14" t="str">
        <x:v>Prozorro winners — 24.08</x:v>
      </x:c>
      <x:c r="C653" s="14" t="str">
        <x:v>ОМЕЛЬЧУК ВІКТОР ПАВЛОВИЧ</x:v>
      </x:c>
      <x:c r="D653" s="14" t="str">
        <x:v>Водоочищення / очисні споруди</x:v>
      </x:c>
      <x:c r="E653" s="14" t="str">
        <x:v>Expansion discovery</x:v>
      </x:c>
      <x:c r="F653" s="17" t="str">
        <x:f>IF(E653="Pilot now",IF(P653&gt;=84,"P1",IF(P653&gt;=72,"P2","P3")),IF(E653="Expansion discovery",IF(Q653&gt;=88,"D1",IF(Q653&gt;=78,"D2","D3")),IF(E653="Later / requirements","L","Legacy")))</x:f>
        <x:v>D2</x:v>
      </x:c>
      <x:c r="G653" s="14" t="str"/>
      <x:c r="H653" s="14" t="str">
        <x:v>Discovery розширення — 2 тижні</x:v>
      </x:c>
      <x:c r="I653" s="16" t="n">
        <x:v>1</x:v>
      </x:c>
      <x:c r="J653" s="16" t="n">
        <x:v>5</x:v>
      </x:c>
      <x:c r="K653" s="16" t="n">
        <x:v>4</x:v>
      </x:c>
      <x:c r="L653" s="16" t="n">
        <x:v>1</x:v>
      </x:c>
      <x:c r="M653" s="16" t="n">
        <x:v>5</x:v>
      </x:c>
      <x:c r="N653" s="16" t="n">
        <x:v>3</x:v>
      </x:c>
      <x:c r="O653" s="16" t="n">
        <x:v>5</x:v>
      </x:c>
      <x:c r="P653" s="16" t="n">
        <x:f>IF(COUNT(I653:O653)&lt;7,"",I653*8+J653*3+K653*2+L653*2+M653*2+N653*2+O653)</x:f>
        <x:v>54</x:v>
      </x:c>
      <x:c r="Q653" s="16" t="n">
        <x:f>IF(COUNT(J653:O653)&lt;6,"",J653*5+K653*4+M653*4+L653*3+N653*2+O653*2)</x:f>
        <x:v>80</x:v>
      </x:c>
      <x:c r="R653" s="14" t="str">
        <x:v>high</x:v>
      </x:c>
      <x:c r="S653" s="14" t="str">
        <x:v>official_prozorro_award_2025_2026</x:v>
      </x:c>
      <x:c r="T653" s="14" t="str">
        <x:v>official_prozorro_api</x:v>
      </x:c>
      <x:c r="U653" s="14" t="str">
        <x:v>Не контактували</x:v>
      </x:c>
      <x:c r="V653" s="15" t="str">
        <x:v>Workflow-audit outreach по UA-2026-07-09-011277-a; попросити 1 пакет здачі та вимоги проєкту</x:v>
      </x:c>
      <x:c r="W653" s="15" t="str">
        <x:v>Власник / виконавець; відповідальний за договір</x:v>
      </x:c>
      <x:c r="X653" s="15" t="str">
        <x:v>1 підтверджених перемог/договорів у Prozorro на 99 651 грн; 1 проєктів зі строком виконання не раніше 24.08.2026.</x:v>
      </x:c>
      <x:c r="Y653" s="15" t="str">
        <x:v>Виготовлення проектно-кошторисної документації по  робочому проекту: " Реконструкція очисних споруд каналізації с. Біла Криниця, Рівненського району, Рівненської області"; строк до 2026-12-31. Попросити один знеособлений пакет здачі за цим workflow.</x:v>
      </x:c>
      <x:c r="Z653" s="15" t="str">
        <x:v>https://prozorro.gov.ua/tender/UA-2026-07-09-011277-a</x:v>
      </x:c>
      <x:c r="AA653" s="14" t="str">
        <x:v>2522409470</x:v>
      </x:c>
      <x:c r="AB653" s="14" t="str">
        <x:v>2026-08-24</x:v>
      </x:c>
      <x:c r="AC653" s="14" t="str"/>
      <x:c r="AD653" s="20" t="str"/>
      <x:c r="AE653" s="14" t="str"/>
      <x:c r="AF653" s="14" t="n">
        <x:v>43</x:v>
      </x:c>
      <x:c r="AG653" s="14" t="str">
        <x:v>I3</x:v>
      </x:c>
      <x:c r="AH653" s="14" t="n">
        <x:v>1</x:v>
      </x:c>
      <x:c r="AI653" s="14" t="n">
        <x:v>1</x:v>
      </x:c>
      <x:c r="AJ653" s="18" t="n">
        <x:v>99651</x:v>
      </x:c>
      <x:c r="AK653" s="14" t="str">
        <x:v>https://prozorro.gov.ua/tender/UA-2026-07-09-011277-a</x:v>
      </x:c>
      <x:c r="AL653" s="19" t="n">
        <x:v>46212.63753219907</x:v>
      </x:c>
      <x:c r="AM653" s="19" t="n">
        <x:v>46387</x:v>
      </x:c>
      <x:c r="AN653" s="15" t="str">
        <x:v>Водоочищення / очисні споруди</x:v>
      </x:c>
      <x:c r="AO653" s="15" t="str">
        <x:v>not_found_in_top_search</x:v>
      </x:c>
    </x:row>
    <x:row r="654">
      <x:c r="A654" s="14" t="str">
        <x:v>W3-382</x:v>
      </x:c>
      <x:c r="B654" s="14" t="str">
        <x:v>Prozorro winners — 24.08</x:v>
      </x:c>
      <x:c r="C654" s="14" t="str">
        <x:v>МАКАРУХА МИХАЙЛО ІВАНОВИЧ</x:v>
      </x:c>
      <x:c r="D654" s="14" t="str">
        <x:v>HVAC / ОВіК</x:v>
      </x:c>
      <x:c r="E654" s="14" t="str">
        <x:v>Pilot now</x:v>
      </x:c>
      <x:c r="F654" s="17" t="str">
        <x:f>IF(E654="Pilot now",IF(P654&gt;=84,"P1",IF(P654&gt;=72,"P2","P3")),IF(E654="Expansion discovery",IF(Q654&gt;=88,"D1",IF(Q654&gt;=78,"D2","D3")),IF(E654="Later / requirements","L","Legacy")))</x:f>
        <x:v>P1</x:v>
      </x:c>
      <x:c r="G654" s="14" t="str"/>
      <x:c r="H654" s="14" t="str">
        <x:v>Пілот зараз — Н.14</x:v>
      </x:c>
      <x:c r="I654" s="16" t="n">
        <x:v>5</x:v>
      </x:c>
      <x:c r="J654" s="16" t="n">
        <x:v>5</x:v>
      </x:c>
      <x:c r="K654" s="16" t="n">
        <x:v>5</x:v>
      </x:c>
      <x:c r="L654" s="16" t="n">
        <x:v>1</x:v>
      </x:c>
      <x:c r="M654" s="16" t="n">
        <x:v>5</x:v>
      </x:c>
      <x:c r="N654" s="16" t="n">
        <x:v>3</x:v>
      </x:c>
      <x:c r="O654" s="16" t="n">
        <x:v>5</x:v>
      </x:c>
      <x:c r="P654" s="16" t="n">
        <x:f>IF(COUNT(I654:O654)&lt;7,"",I654*8+J654*3+K654*2+L654*2+M654*2+N654*2+O654)</x:f>
        <x:v>88</x:v>
      </x:c>
      <x:c r="Q654" s="16" t="n">
        <x:f>IF(COUNT(J654:O654)&lt;6,"",J654*5+K654*4+M654*4+L654*3+N654*2+O654*2)</x:f>
        <x:v>84</x:v>
      </x:c>
      <x:c r="R654" s="14" t="str">
        <x:v>high</x:v>
      </x:c>
      <x:c r="S654" s="14" t="str">
        <x:v>official_prozorro_award_2025_2026</x:v>
      </x:c>
      <x:c r="T654" s="14" t="str">
        <x:v>official_prozorro_api</x:v>
      </x:c>
      <x:c r="U654" s="14" t="str">
        <x:v>Не контактували</x:v>
      </x:c>
      <x:c r="V654" s="15" t="str">
        <x:v>Персоналізований free-pilot outreach по UA-2026-06-05-011359-a; попросити 1 пакет Н.14/Н.15</x:v>
      </x:c>
      <x:c r="W654" s="15" t="str">
        <x:v>Власник / виконавець; відповідальний за договір</x:v>
      </x:c>
      <x:c r="X654" s="15" t="str">
        <x:v>1 підтверджених перемог/договорів у Prozorro на 96 596 грн; 1 проєктів зі строком виконання не раніше 24.08.2026.</x:v>
      </x:c>
      <x:c r="Y654" s="15" t="str">
        <x:v>Класифікатори	
ДК 021:2015
50720000-8 Послуги з ремонту і технічного обслуговування систем центрального опалення(послуги з монтажу додаткових елементів системи опалення у Судововишнянському ліцеї імені Тадея Дмитрасевича); строк до 2026-12-31. Попросити один знеособлений пакет здачі за цим workflow.</x:v>
      </x:c>
      <x:c r="Z654" s="15" t="str">
        <x:v>https://prozorro.gov.ua/tender/UA-2026-06-05-011359-a</x:v>
      </x:c>
      <x:c r="AA654" s="14" t="str">
        <x:v>3283304577</x:v>
      </x:c>
      <x:c r="AB654" s="14" t="str">
        <x:v>2026-08-24</x:v>
      </x:c>
      <x:c r="AC654" s="14" t="str"/>
      <x:c r="AD654" s="20" t="str"/>
      <x:c r="AE654" s="14" t="str"/>
      <x:c r="AF654" s="14" t="n">
        <x:v>43</x:v>
      </x:c>
      <x:c r="AG654" s="14" t="str">
        <x:v>I3</x:v>
      </x:c>
      <x:c r="AH654" s="14" t="n">
        <x:v>1</x:v>
      </x:c>
      <x:c r="AI654" s="14" t="n">
        <x:v>1</x:v>
      </x:c>
      <x:c r="AJ654" s="18" t="n">
        <x:v>96595.64</x:v>
      </x:c>
      <x:c r="AK654" s="14" t="str">
        <x:v>https://prozorro.gov.ua/tender/UA-2026-06-05-011359-a</x:v>
      </x:c>
      <x:c r="AL654" s="19" t="n">
        <x:v>46178.56325513889</x:v>
      </x:c>
      <x:c r="AM654" s="19" t="n">
        <x:v>46387</x:v>
      </x:c>
      <x:c r="AN654" s="15" t="str">
        <x:v>HVAC / ОВіК</x:v>
      </x:c>
      <x:c r="AO654" s="15" t="str">
        <x:v>not_found_in_top_search</x:v>
      </x:c>
    </x:row>
    <x:row r="655">
      <x:c r="A655" s="14" t="str">
        <x:v>W3-383</x:v>
      </x:c>
      <x:c r="B655" s="14" t="str">
        <x:v>Prozorro winners — 24.08</x:v>
      </x:c>
      <x:c r="C655" s="14" t="str">
        <x:v>ФОП Льогких Дмитро Анатолійович</x:v>
      </x:c>
      <x:c r="D655" s="14" t="str">
        <x:v>Пожежогасіння</x:v>
      </x:c>
      <x:c r="E655" s="14" t="str">
        <x:v>Expansion discovery</x:v>
      </x:c>
      <x:c r="F655" s="17" t="str">
        <x:f>IF(E655="Pilot now",IF(P655&gt;=84,"P1",IF(P655&gt;=72,"P2","P3")),IF(E655="Expansion discovery",IF(Q655&gt;=88,"D1",IF(Q655&gt;=78,"D2","D3")),IF(E655="Later / requirements","L","Legacy")))</x:f>
        <x:v>D2</x:v>
      </x:c>
      <x:c r="G655" s="14" t="str"/>
      <x:c r="H655" s="14" t="str">
        <x:v>Discovery розширення — 2 тижні</x:v>
      </x:c>
      <x:c r="I655" s="16" t="n">
        <x:v>1</x:v>
      </x:c>
      <x:c r="J655" s="16" t="n">
        <x:v>5</x:v>
      </x:c>
      <x:c r="K655" s="16" t="n">
        <x:v>4</x:v>
      </x:c>
      <x:c r="L655" s="16" t="n">
        <x:v>1</x:v>
      </x:c>
      <x:c r="M655" s="16" t="n">
        <x:v>5</x:v>
      </x:c>
      <x:c r="N655" s="16" t="n">
        <x:v>3</x:v>
      </x:c>
      <x:c r="O655" s="16" t="n">
        <x:v>5</x:v>
      </x:c>
      <x:c r="P655" s="16" t="n">
        <x:f>IF(COUNT(I655:O655)&lt;7,"",I655*8+J655*3+K655*2+L655*2+M655*2+N655*2+O655)</x:f>
        <x:v>54</x:v>
      </x:c>
      <x:c r="Q655" s="16" t="n">
        <x:f>IF(COUNT(J655:O655)&lt;6,"",J655*5+K655*4+M655*4+L655*3+N655*2+O655*2)</x:f>
        <x:v>80</x:v>
      </x:c>
      <x:c r="R655" s="14" t="str">
        <x:v>high</x:v>
      </x:c>
      <x:c r="S655" s="14" t="str">
        <x:v>official_prozorro_award_2025_2026</x:v>
      </x:c>
      <x:c r="T655" s="14" t="str">
        <x:v>official_prozorro_api</x:v>
      </x:c>
      <x:c r="U655" s="14" t="str">
        <x:v>Не контактували</x:v>
      </x:c>
      <x:c r="V655" s="15" t="str">
        <x:v>Workflow-audit outreach по UA-2026-06-02-013120-a; попросити 1 пакет здачі та вимоги проєкту</x:v>
      </x:c>
      <x:c r="W655" s="15" t="str">
        <x:v>Власник / виконавець; відповідальний за договір</x:v>
      </x:c>
      <x:c r="X655" s="15" t="str">
        <x:v>1 підтверджених перемог/договорів у Prozorro на 86 857 грн; 1 проєктів зі строком виконання не раніше 24.08.2026.</x:v>
      </x:c>
      <x:c r="Y655" s="15" t="str">
        <x:v>Послуги з монтажу системи автоматичної пожежної сигналізації, системи оповіщення людей про пожежу, системи передавання тривожних сповіщень. (Поточний ремонт з монтажу системи автоматичної пожежної сигналізації, системи оповіщення людей про пожежу, системи передавання тривожних сповіщень частини підвальних приміщень учбового корпусу коледжу); строк до 2026-12-31. Попросити один знеособлений пакет здачі за цим workflow.</x:v>
      </x:c>
      <x:c r="Z655" s="15" t="str">
        <x:v>https://prozorro.gov.ua/tender/UA-2026-06-02-013120-a</x:v>
      </x:c>
      <x:c r="AA655" s="14" t="str">
        <x:v>3006011193</x:v>
      </x:c>
      <x:c r="AB655" s="14" t="str">
        <x:v>2026-08-24</x:v>
      </x:c>
      <x:c r="AC655" s="14" t="str"/>
      <x:c r="AD655" s="20" t="str"/>
      <x:c r="AE655" s="14" t="str"/>
      <x:c r="AF655" s="14" t="n">
        <x:v>43</x:v>
      </x:c>
      <x:c r="AG655" s="14" t="str">
        <x:v>I3</x:v>
      </x:c>
      <x:c r="AH655" s="14" t="n">
        <x:v>1</x:v>
      </x:c>
      <x:c r="AI655" s="14" t="n">
        <x:v>1</x:v>
      </x:c>
      <x:c r="AJ655" s="18" t="n">
        <x:v>86857.4</x:v>
      </x:c>
      <x:c r="AK655" s="14" t="str">
        <x:v>https://prozorro.gov.ua/tender/UA-2026-06-02-013120-a</x:v>
      </x:c>
      <x:c r="AL655" s="19" t="n">
        <x:v>46175.59332990741</x:v>
      </x:c>
      <x:c r="AM655" s="19" t="n">
        <x:v>46387</x:v>
      </x:c>
      <x:c r="AN655" s="15" t="str">
        <x:v>Пожежогасіння</x:v>
      </x:c>
      <x:c r="AO655" s="15" t="str">
        <x:v>not_found_in_top_search</x:v>
      </x:c>
    </x:row>
    <x:row r="656">
      <x:c r="A656" s="14" t="str">
        <x:v>W3-384</x:v>
      </x:c>
      <x:c r="B656" s="14" t="str">
        <x:v>Prozorro winners — 24.08</x:v>
      </x:c>
      <x:c r="C656" s="14" t="str">
        <x:v>ФОП Атясов Андрій Миколайович</x:v>
      </x:c>
      <x:c r="D656" s="14" t="str">
        <x:v>HVAC / ОВіК</x:v>
      </x:c>
      <x:c r="E656" s="14" t="str">
        <x:v>Pilot now</x:v>
      </x:c>
      <x:c r="F656" s="17" t="str">
        <x:f>IF(E656="Pilot now",IF(P656&gt;=84,"P1",IF(P656&gt;=72,"P2","P3")),IF(E656="Expansion discovery",IF(Q656&gt;=88,"D1",IF(Q656&gt;=78,"D2","D3")),IF(E656="Later / requirements","L","Legacy")))</x:f>
        <x:v>P1</x:v>
      </x:c>
      <x:c r="G656" s="14" t="str"/>
      <x:c r="H656" s="14" t="str">
        <x:v>Пілот зараз — Н.14</x:v>
      </x:c>
      <x:c r="I656" s="16" t="n">
        <x:v>5</x:v>
      </x:c>
      <x:c r="J656" s="16" t="n">
        <x:v>5</x:v>
      </x:c>
      <x:c r="K656" s="16" t="n">
        <x:v>5</x:v>
      </x:c>
      <x:c r="L656" s="16" t="n">
        <x:v>1</x:v>
      </x:c>
      <x:c r="M656" s="16" t="n">
        <x:v>5</x:v>
      </x:c>
      <x:c r="N656" s="16" t="n">
        <x:v>3</x:v>
      </x:c>
      <x:c r="O656" s="16" t="n">
        <x:v>5</x:v>
      </x:c>
      <x:c r="P656" s="16" t="n">
        <x:f>IF(COUNT(I656:O656)&lt;7,"",I656*8+J656*3+K656*2+L656*2+M656*2+N656*2+O656)</x:f>
        <x:v>88</x:v>
      </x:c>
      <x:c r="Q656" s="16" t="n">
        <x:f>IF(COUNT(J656:O656)&lt;6,"",J656*5+K656*4+M656*4+L656*3+N656*2+O656*2)</x:f>
        <x:v>84</x:v>
      </x:c>
      <x:c r="R656" s="14" t="str">
        <x:v>high</x:v>
      </x:c>
      <x:c r="S656" s="14" t="str">
        <x:v>official_prozorro_award_2025_2026</x:v>
      </x:c>
      <x:c r="T656" s="14" t="str">
        <x:v>official_prozorro_api</x:v>
      </x:c>
      <x:c r="U656" s="14" t="str">
        <x:v>Не контактували</x:v>
      </x:c>
      <x:c r="V656" s="15" t="str">
        <x:v>Персоналізований free-pilot outreach по UA-2026-05-13-003291-a; попросити 1 пакет Н.14/Н.15</x:v>
      </x:c>
      <x:c r="W656" s="15" t="str">
        <x:v>Власник / виконавець; відповідальний за договір</x:v>
      </x:c>
      <x:c r="X656" s="15" t="str">
        <x:v>1 підтверджених перемог/договорів у Prozorro на 80 000 грн; 1 проєктів зі строком виконання не раніше 24.08.2026.</x:v>
      </x:c>
      <x:c r="Y656" s="15" t="str">
        <x:v>Монтаж буферної ємності системи опалення та димаря опалювального котла; строк до 2026-11-30. Попросити один знеособлений пакет здачі за цим workflow.</x:v>
      </x:c>
      <x:c r="Z656" s="15" t="str">
        <x:v>https://prozorro.gov.ua/tender/UA-2026-05-13-003291-a</x:v>
      </x:c>
      <x:c r="AA656" s="14" t="str">
        <x:v>2676702933</x:v>
      </x:c>
      <x:c r="AB656" s="14" t="str">
        <x:v>2026-08-24</x:v>
      </x:c>
      <x:c r="AC656" s="14" t="str"/>
      <x:c r="AD656" s="20" t="str"/>
      <x:c r="AE656" s="14" t="str"/>
      <x:c r="AF656" s="14" t="n">
        <x:v>43</x:v>
      </x:c>
      <x:c r="AG656" s="14" t="str">
        <x:v>I3</x:v>
      </x:c>
      <x:c r="AH656" s="14" t="n">
        <x:v>1</x:v>
      </x:c>
      <x:c r="AI656" s="14" t="n">
        <x:v>1</x:v>
      </x:c>
      <x:c r="AJ656" s="18" t="n">
        <x:v>80000</x:v>
      </x:c>
      <x:c r="AK656" s="14" t="str">
        <x:v>https://prozorro.gov.ua/tender/UA-2026-05-13-003291-a</x:v>
      </x:c>
      <x:c r="AL656" s="19" t="n">
        <x:v>46155.33405505787</x:v>
      </x:c>
      <x:c r="AM656" s="19" t="n">
        <x:v>46356.37567129629</x:v>
      </x:c>
      <x:c r="AN656" s="15" t="str">
        <x:v>HVAC / ОВіК</x:v>
      </x:c>
      <x:c r="AO656" s="15" t="str">
        <x:v>not_found_in_top_search</x:v>
      </x:c>
    </x:row>
    <x:row r="657">
      <x:c r="A657" s="14" t="str">
        <x:v>W3-385</x:v>
      </x:c>
      <x:c r="B657" s="14" t="str">
        <x:v>Prozorro winners — 24.08</x:v>
      </x:c>
      <x:c r="C657" s="14" t="str">
        <x:v>ФОП Буслаєв Дмитро Петрович</x:v>
      </x:c>
      <x:c r="D657" s="14" t="str">
        <x:v>Електромонтаж</x:v>
      </x:c>
      <x:c r="E657" s="14" t="str">
        <x:v>Pilot now</x:v>
      </x:c>
      <x:c r="F657" s="17" t="str">
        <x:f>IF(E657="Pilot now",IF(P657&gt;=84,"P1",IF(P657&gt;=72,"P2","P3")),IF(E657="Expansion discovery",IF(Q657&gt;=88,"D1",IF(Q657&gt;=78,"D2","D3")),IF(E657="Later / requirements","L","Legacy")))</x:f>
        <x:v>P1</x:v>
      </x:c>
      <x:c r="G657" s="14" t="str"/>
      <x:c r="H657" s="14" t="str">
        <x:v>Пілот зараз — Н.15</x:v>
      </x:c>
      <x:c r="I657" s="16" t="n">
        <x:v>5</x:v>
      </x:c>
      <x:c r="J657" s="16" t="n">
        <x:v>5</x:v>
      </x:c>
      <x:c r="K657" s="16" t="n">
        <x:v>5</x:v>
      </x:c>
      <x:c r="L657" s="16" t="n">
        <x:v>1</x:v>
      </x:c>
      <x:c r="M657" s="16" t="n">
        <x:v>5</x:v>
      </x:c>
      <x:c r="N657" s="16" t="n">
        <x:v>3</x:v>
      </x:c>
      <x:c r="O657" s="16" t="n">
        <x:v>5</x:v>
      </x:c>
      <x:c r="P657" s="16" t="n">
        <x:f>IF(COUNT(I657:O657)&lt;7,"",I657*8+J657*3+K657*2+L657*2+M657*2+N657*2+O657)</x:f>
        <x:v>88</x:v>
      </x:c>
      <x:c r="Q657" s="16" t="n">
        <x:f>IF(COUNT(J657:O657)&lt;6,"",J657*5+K657*4+M657*4+L657*3+N657*2+O657*2)</x:f>
        <x:v>84</x:v>
      </x:c>
      <x:c r="R657" s="14" t="str">
        <x:v>high</x:v>
      </x:c>
      <x:c r="S657" s="14" t="str">
        <x:v>official_prozorro_award_2025_2026</x:v>
      </x:c>
      <x:c r="T657" s="14" t="str">
        <x:v>official_prozorro_api</x:v>
      </x:c>
      <x:c r="U657" s="14" t="str">
        <x:v>Не контактували</x:v>
      </x:c>
      <x:c r="V657" s="15" t="str">
        <x:v>Персоналізований free-pilot outreach по UA-2026-05-11-006522-a; попросити 1 пакет Н.14/Н.15</x:v>
      </x:c>
      <x:c r="W657" s="15" t="str">
        <x:v>Власник / виконавець; відповідальний за договір</x:v>
      </x:c>
      <x:c r="X657" s="15" t="str">
        <x:v>1 підтверджених перемог/договорів у Prozorro на 79 705 грн; 1 проєктів зі строком виконання не раніше 24.08.2026.</x:v>
      </x:c>
      <x:c r="Y657" s="15" t="str">
        <x:v>Послуги з прокладання, монтажу та підключення електричних мереж в адміністративній будівлі запорізького НДЕКЦ МВС за адресою: м. Запоріжжя, вул. Республіканська, 73 А; строк до 2026-12-31. Попросити один знеособлений пакет здачі за цим workflow.</x:v>
      </x:c>
      <x:c r="Z657" s="15" t="str">
        <x:v>https://prozorro.gov.ua/tender/UA-2026-05-11-006522-a</x:v>
      </x:c>
      <x:c r="AA657" s="14" t="str">
        <x:v>2930816259</x:v>
      </x:c>
      <x:c r="AB657" s="14" t="str">
        <x:v>2026-08-24</x:v>
      </x:c>
      <x:c r="AC657" s="14" t="str"/>
      <x:c r="AD657" s="20" t="str"/>
      <x:c r="AE657" s="14" t="str"/>
      <x:c r="AF657" s="14" t="n">
        <x:v>43</x:v>
      </x:c>
      <x:c r="AG657" s="14" t="str">
        <x:v>I3</x:v>
      </x:c>
      <x:c r="AH657" s="14" t="n">
        <x:v>1</x:v>
      </x:c>
      <x:c r="AI657" s="14" t="n">
        <x:v>1</x:v>
      </x:c>
      <x:c r="AJ657" s="18" t="n">
        <x:v>79705</x:v>
      </x:c>
      <x:c r="AK657" s="14" t="str">
        <x:v>https://prozorro.gov.ua/tender/UA-2026-05-11-006522-a</x:v>
      </x:c>
      <x:c r="AL657" s="19" t="n">
        <x:v>46153.42331789352</x:v>
      </x:c>
      <x:c r="AM657" s="19" t="n">
        <x:v>46387.464641203704</x:v>
      </x:c>
      <x:c r="AN657" s="15" t="str">
        <x:v>Електромонтаж</x:v>
      </x:c>
      <x:c r="AO657" s="15" t="str">
        <x:v>not_found_in_top_search</x:v>
      </x:c>
    </x:row>
    <x:row r="658">
      <x:c r="A658" s="14" t="str">
        <x:v>W3-386</x:v>
      </x:c>
      <x:c r="B658" s="14" t="str">
        <x:v>Prozorro winners — 24.08</x:v>
      </x:c>
      <x:c r="C658" s="14" t="str">
        <x:v>ФОП Сологуб Богдан Михайлович</x:v>
      </x:c>
      <x:c r="D658" s="14" t="str">
        <x:v>Безпека / СКУД / CCTV</x:v>
      </x:c>
      <x:c r="E658" s="14" t="str">
        <x:v>Expansion discovery</x:v>
      </x:c>
      <x:c r="F658" s="17" t="str">
        <x:f>IF(E658="Pilot now",IF(P658&gt;=84,"P1",IF(P658&gt;=72,"P2","P3")),IF(E658="Expansion discovery",IF(Q658&gt;=88,"D1",IF(Q658&gt;=78,"D2","D3")),IF(E658="Later / requirements","L","Legacy")))</x:f>
        <x:v>D2</x:v>
      </x:c>
      <x:c r="G658" s="14" t="str"/>
      <x:c r="H658" s="14" t="str">
        <x:v>Discovery розширення — 2 тижні</x:v>
      </x:c>
      <x:c r="I658" s="16" t="n">
        <x:v>1</x:v>
      </x:c>
      <x:c r="J658" s="16" t="n">
        <x:v>5</x:v>
      </x:c>
      <x:c r="K658" s="16" t="n">
        <x:v>4</x:v>
      </x:c>
      <x:c r="L658" s="16" t="n">
        <x:v>1</x:v>
      </x:c>
      <x:c r="M658" s="16" t="n">
        <x:v>5</x:v>
      </x:c>
      <x:c r="N658" s="16" t="n">
        <x:v>3</x:v>
      </x:c>
      <x:c r="O658" s="16" t="n">
        <x:v>5</x:v>
      </x:c>
      <x:c r="P658" s="16" t="n">
        <x:f>IF(COUNT(I658:O658)&lt;7,"",I658*8+J658*3+K658*2+L658*2+M658*2+N658*2+O658)</x:f>
        <x:v>54</x:v>
      </x:c>
      <x:c r="Q658" s="16" t="n">
        <x:f>IF(COUNT(J658:O658)&lt;6,"",J658*5+K658*4+M658*4+L658*3+N658*2+O658*2)</x:f>
        <x:v>80</x:v>
      </x:c>
      <x:c r="R658" s="14" t="str">
        <x:v>high</x:v>
      </x:c>
      <x:c r="S658" s="14" t="str">
        <x:v>official_prozorro_award_2025_2026</x:v>
      </x:c>
      <x:c r="T658" s="14" t="str">
        <x:v>official_prozorro_api</x:v>
      </x:c>
      <x:c r="U658" s="14" t="str">
        <x:v>Не контактували</x:v>
      </x:c>
      <x:c r="V658" s="15" t="str">
        <x:v>Workflow-audit outreach по UA-2026-06-19-012235-a; попросити 1 пакет здачі та вимоги проєкту</x:v>
      </x:c>
      <x:c r="W658" s="15" t="str">
        <x:v>Власник / виконавець; відповідальний за договір</x:v>
      </x:c>
      <x:c r="X658" s="15" t="str">
        <x:v>2 підтверджених перемог/договорів у Prozorro на 76 000 грн; 0 проєктів зі строком виконання не раніше 24.08.2026.</x:v>
      </x:c>
      <x:c r="Y658" s="15" t="str">
        <x:v>Послуги з монтажу та підключення системи контролю доступу в службовому приміщенні Львівської обласної прокуратури за адресою: м. Яворів, вул. Львівська, 25; строк до 2026-07-03. Попросити один знеособлений пакет здачі за цим workflow.</x:v>
      </x:c>
      <x:c r="Z658" s="15" t="str">
        <x:v>https://prozorro.gov.ua/tender/UA-2026-06-19-012235-a</x:v>
      </x:c>
      <x:c r="AA658" s="14" t="str">
        <x:v>3329403156</x:v>
      </x:c>
      <x:c r="AB658" s="14" t="str">
        <x:v>2026-08-24</x:v>
      </x:c>
      <x:c r="AC658" s="14" t="str"/>
      <x:c r="AD658" s="20" t="str"/>
      <x:c r="AE658" s="14" t="str"/>
      <x:c r="AF658" s="14" t="n">
        <x:v>43</x:v>
      </x:c>
      <x:c r="AG658" s="14" t="str">
        <x:v>I3</x:v>
      </x:c>
      <x:c r="AH658" s="14" t="n">
        <x:v>2</x:v>
      </x:c>
      <x:c r="AI658" s="14" t="n">
        <x:v>0</x:v>
      </x:c>
      <x:c r="AJ658" s="18" t="n">
        <x:v>76000</x:v>
      </x:c>
      <x:c r="AK658" s="14" t="str">
        <x:v>https://prozorro.gov.ua/tender/UA-2026-06-19-012235-a</x:v>
      </x:c>
      <x:c r="AL658" s="19" t="n">
        <x:v>46192.57537104167</x:v>
      </x:c>
      <x:c r="AM658" s="19" t="n">
        <x:v>46206</x:v>
      </x:c>
      <x:c r="AN658" s="15" t="str">
        <x:v>Безпека / СКУД / CCTV</x:v>
      </x:c>
      <x:c r="AO658" s="15" t="str">
        <x:v>not_found_in_top_search</x:v>
      </x:c>
    </x:row>
    <x:row r="659">
      <x:c r="A659" s="14" t="str">
        <x:v>W3-387</x:v>
      </x:c>
      <x:c r="B659" s="14" t="str">
        <x:v>Prozorro winners — 24.08</x:v>
      </x:c>
      <x:c r="C659" s="14" t="str">
        <x:v>КИРПОТА ВАДИМ ВІКТОРОВИЧ</x:v>
      </x:c>
      <x:c r="D659" s="14" t="str">
        <x:v>HVAC / ОВіК</x:v>
      </x:c>
      <x:c r="E659" s="14" t="str">
        <x:v>Pilot now</x:v>
      </x:c>
      <x:c r="F659" s="17" t="str">
        <x:f>IF(E659="Pilot now",IF(P659&gt;=84,"P1",IF(P659&gt;=72,"P2","P3")),IF(E659="Expansion discovery",IF(Q659&gt;=88,"D1",IF(Q659&gt;=78,"D2","D3")),IF(E659="Later / requirements","L","Legacy")))</x:f>
        <x:v>P1</x:v>
      </x:c>
      <x:c r="G659" s="14" t="str"/>
      <x:c r="H659" s="14" t="str">
        <x:v>Пілот зараз — Н.14</x:v>
      </x:c>
      <x:c r="I659" s="16" t="n">
        <x:v>5</x:v>
      </x:c>
      <x:c r="J659" s="16" t="n">
        <x:v>5</x:v>
      </x:c>
      <x:c r="K659" s="16" t="n">
        <x:v>5</x:v>
      </x:c>
      <x:c r="L659" s="16" t="n">
        <x:v>1</x:v>
      </x:c>
      <x:c r="M659" s="16" t="n">
        <x:v>5</x:v>
      </x:c>
      <x:c r="N659" s="16" t="n">
        <x:v>3</x:v>
      </x:c>
      <x:c r="O659" s="16" t="n">
        <x:v>5</x:v>
      </x:c>
      <x:c r="P659" s="16" t="n">
        <x:f>IF(COUNT(I659:O659)&lt;7,"",I659*8+J659*3+K659*2+L659*2+M659*2+N659*2+O659)</x:f>
        <x:v>88</x:v>
      </x:c>
      <x:c r="Q659" s="16" t="n">
        <x:f>IF(COUNT(J659:O659)&lt;6,"",J659*5+K659*4+M659*4+L659*3+N659*2+O659*2)</x:f>
        <x:v>84</x:v>
      </x:c>
      <x:c r="R659" s="14" t="str">
        <x:v>high</x:v>
      </x:c>
      <x:c r="S659" s="14" t="str">
        <x:v>official_prozorro_award_2025_2026</x:v>
      </x:c>
      <x:c r="T659" s="14" t="str">
        <x:v>official_prozorro_api</x:v>
      </x:c>
      <x:c r="U659" s="14" t="str">
        <x:v>Не контактували</x:v>
      </x:c>
      <x:c r="V659" s="15" t="str">
        <x:v>Персоналізований free-pilot outreach по UA-2026-05-15-000062-a; попросити 1 пакет Н.14/Н.15</x:v>
      </x:c>
      <x:c r="W659" s="15" t="str">
        <x:v>Власник / виконавець; відповідальний за договір</x:v>
      </x:c>
      <x:c r="X659" s="15" t="str">
        <x:v>1 підтверджених перемог/договорів у Prozorro на 75 000 грн; 1 проєктів зі строком виконання не раніше 24.08.2026.</x:v>
      </x:c>
      <x:c r="Y659" s="15" t="str">
        <x:v>Послуги з монтажу та обслуговування систем кондиціонування та вентиляції; строк до 2026-12-31. Попросити один знеособлений пакет здачі за цим workflow.</x:v>
      </x:c>
      <x:c r="Z659" s="15" t="str">
        <x:v>https://prozorro.gov.ua/tender/UA-2026-05-15-000062-a</x:v>
      </x:c>
      <x:c r="AA659" s="14" t="str">
        <x:v>3204302870</x:v>
      </x:c>
      <x:c r="AB659" s="14" t="str">
        <x:v>2026-08-24</x:v>
      </x:c>
      <x:c r="AC659" s="14" t="str"/>
      <x:c r="AD659" s="20" t="str"/>
      <x:c r="AE659" s="14" t="str"/>
      <x:c r="AF659" s="14" t="n">
        <x:v>43</x:v>
      </x:c>
      <x:c r="AG659" s="14" t="str">
        <x:v>I3</x:v>
      </x:c>
      <x:c r="AH659" s="14" t="n">
        <x:v>1</x:v>
      </x:c>
      <x:c r="AI659" s="14" t="n">
        <x:v>1</x:v>
      </x:c>
      <x:c r="AJ659" s="18" t="n">
        <x:v>75000</x:v>
      </x:c>
      <x:c r="AK659" s="14" t="str">
        <x:v>https://prozorro.gov.ua/tender/UA-2026-05-15-000062-a</x:v>
      </x:c>
      <x:c r="AL659" s="19" t="n">
        <x:v>46157.19254790509</x:v>
      </x:c>
      <x:c r="AM659" s="19" t="n">
        <x:v>46387</x:v>
      </x:c>
      <x:c r="AN659" s="15" t="str">
        <x:v>HVAC / ОВіК</x:v>
      </x:c>
      <x:c r="AO659" s="15" t="str">
        <x:v>not_found_in_top_search</x:v>
      </x:c>
    </x:row>
    <x:row r="660">
      <x:c r="A660" s="14" t="str">
        <x:v>W3-388</x:v>
      </x:c>
      <x:c r="B660" s="14" t="str">
        <x:v>Prozorro winners — 24.08</x:v>
      </x:c>
      <x:c r="C660" s="14" t="str">
        <x:v>ФОП Лобода Марія Василівна</x:v>
      </x:c>
      <x:c r="D660" s="14" t="str">
        <x:v>HVAC / ОВіК</x:v>
      </x:c>
      <x:c r="E660" s="14" t="str">
        <x:v>Pilot now</x:v>
      </x:c>
      <x:c r="F660" s="17" t="str">
        <x:f>IF(E660="Pilot now",IF(P660&gt;=84,"P1",IF(P660&gt;=72,"P2","P3")),IF(E660="Expansion discovery",IF(Q660&gt;=88,"D1",IF(Q660&gt;=78,"D2","D3")),IF(E660="Later / requirements","L","Legacy")))</x:f>
        <x:v>P1</x:v>
      </x:c>
      <x:c r="G660" s="14" t="str"/>
      <x:c r="H660" s="14" t="str">
        <x:v>Пілот зараз — Н.14</x:v>
      </x:c>
      <x:c r="I660" s="16" t="n">
        <x:v>5</x:v>
      </x:c>
      <x:c r="J660" s="16" t="n">
        <x:v>5</x:v>
      </x:c>
      <x:c r="K660" s="16" t="n">
        <x:v>5</x:v>
      </x:c>
      <x:c r="L660" s="16" t="n">
        <x:v>1</x:v>
      </x:c>
      <x:c r="M660" s="16" t="n">
        <x:v>5</x:v>
      </x:c>
      <x:c r="N660" s="16" t="n">
        <x:v>3</x:v>
      </x:c>
      <x:c r="O660" s="16" t="n">
        <x:v>5</x:v>
      </x:c>
      <x:c r="P660" s="16" t="n">
        <x:f>IF(COUNT(I660:O660)&lt;7,"",I660*8+J660*3+K660*2+L660*2+M660*2+N660*2+O660)</x:f>
        <x:v>88</x:v>
      </x:c>
      <x:c r="Q660" s="16" t="n">
        <x:f>IF(COUNT(J660:O660)&lt;6,"",J660*5+K660*4+M660*4+L660*3+N660*2+O660*2)</x:f>
        <x:v>84</x:v>
      </x:c>
      <x:c r="R660" s="14" t="str">
        <x:v>high</x:v>
      </x:c>
      <x:c r="S660" s="14" t="str">
        <x:v>official_prozorro_award_2025_2026</x:v>
      </x:c>
      <x:c r="T660" s="14" t="str">
        <x:v>official_prozorro_api</x:v>
      </x:c>
      <x:c r="U660" s="14" t="str">
        <x:v>Не контактували</x:v>
      </x:c>
      <x:c r="V660" s="15" t="str">
        <x:v>Персоналізований free-pilot outreach по UA-2026-05-12-005333-a; попросити 1 пакет Н.14/Н.15</x:v>
      </x:c>
      <x:c r="W660" s="15" t="str">
        <x:v>Власник / виконавець; відповідальний за договір</x:v>
      </x:c>
      <x:c r="X660" s="15" t="str">
        <x:v>1 підтверджених перемог/договорів у Prozorro на 74 300 грн; 1 проєктів зі строком виконання не раніше 24.08.2026.</x:v>
      </x:c>
      <x:c r="Y660" s="15" t="str">
        <x:v>Монтаж водопровідних мереж, систем опалення та кондиціонування; строк до 2026-12-31. Попросити один знеособлений пакет здачі за цим workflow.</x:v>
      </x:c>
      <x:c r="Z660" s="15" t="str">
        <x:v>https://prozorro.gov.ua/tender/UA-2026-05-12-005333-a</x:v>
      </x:c>
      <x:c r="AA660" s="14" t="str">
        <x:v>3478613245</x:v>
      </x:c>
      <x:c r="AB660" s="14" t="str">
        <x:v>2026-08-24</x:v>
      </x:c>
      <x:c r="AC660" s="14" t="str"/>
      <x:c r="AD660" s="20" t="str"/>
      <x:c r="AE660" s="14" t="str"/>
      <x:c r="AF660" s="14" t="n">
        <x:v>43</x:v>
      </x:c>
      <x:c r="AG660" s="14" t="str">
        <x:v>I3</x:v>
      </x:c>
      <x:c r="AH660" s="14" t="n">
        <x:v>1</x:v>
      </x:c>
      <x:c r="AI660" s="14" t="n">
        <x:v>1</x:v>
      </x:c>
      <x:c r="AJ660" s="18" t="n">
        <x:v>74300</x:v>
      </x:c>
      <x:c r="AK660" s="14" t="str">
        <x:v>https://prozorro.gov.ua/tender/UA-2026-05-12-005333-a</x:v>
      </x:c>
      <x:c r="AL660" s="19" t="n">
        <x:v>46154.36841935185</x:v>
      </x:c>
      <x:c r="AM660" s="19" t="n">
        <x:v>46387.40935185185</x:v>
      </x:c>
      <x:c r="AN660" s="15" t="str">
        <x:v>HVAC / ОВіК</x:v>
      </x:c>
      <x:c r="AO660" s="15" t="str">
        <x:v>not_found_in_top_search</x:v>
      </x:c>
    </x:row>
    <x:row r="661">
      <x:c r="A661" s="14" t="str">
        <x:v>W3-389</x:v>
      </x:c>
      <x:c r="B661" s="14" t="str">
        <x:v>Prozorro winners — 24.08</x:v>
      </x:c>
      <x:c r="C661" s="14" t="str">
        <x:v>ДАНИЛЮК ВОЛОДИМИР ВАСИЛЬОВИЧ</x:v>
      </x:c>
      <x:c r="D661" s="14" t="str">
        <x:v>HVAC / ОВіК</x:v>
      </x:c>
      <x:c r="E661" s="14" t="str">
        <x:v>Pilot now</x:v>
      </x:c>
      <x:c r="F661" s="17" t="str">
        <x:f>IF(E661="Pilot now",IF(P661&gt;=84,"P1",IF(P661&gt;=72,"P2","P3")),IF(E661="Expansion discovery",IF(Q661&gt;=88,"D1",IF(Q661&gt;=78,"D2","D3")),IF(E661="Later / requirements","L","Legacy")))</x:f>
        <x:v>P1</x:v>
      </x:c>
      <x:c r="G661" s="14" t="str"/>
      <x:c r="H661" s="14" t="str">
        <x:v>Пілот зараз — Н.14</x:v>
      </x:c>
      <x:c r="I661" s="16" t="n">
        <x:v>5</x:v>
      </x:c>
      <x:c r="J661" s="16" t="n">
        <x:v>5</x:v>
      </x:c>
      <x:c r="K661" s="16" t="n">
        <x:v>5</x:v>
      </x:c>
      <x:c r="L661" s="16" t="n">
        <x:v>1</x:v>
      </x:c>
      <x:c r="M661" s="16" t="n">
        <x:v>5</x:v>
      </x:c>
      <x:c r="N661" s="16" t="n">
        <x:v>3</x:v>
      </x:c>
      <x:c r="O661" s="16" t="n">
        <x:v>5</x:v>
      </x:c>
      <x:c r="P661" s="16" t="n">
        <x:f>IF(COUNT(I661:O661)&lt;7,"",I661*8+J661*3+K661*2+L661*2+M661*2+N661*2+O661)</x:f>
        <x:v>88</x:v>
      </x:c>
      <x:c r="Q661" s="16" t="n">
        <x:f>IF(COUNT(J661:O661)&lt;6,"",J661*5+K661*4+M661*4+L661*3+N661*2+O661*2)</x:f>
        <x:v>84</x:v>
      </x:c>
      <x:c r="R661" s="14" t="str">
        <x:v>high</x:v>
      </x:c>
      <x:c r="S661" s="14" t="str">
        <x:v>official_prozorro_award_2025_2026</x:v>
      </x:c>
      <x:c r="T661" s="14" t="str">
        <x:v>official_prozorro_api</x:v>
      </x:c>
      <x:c r="U661" s="14" t="str">
        <x:v>Не контактували</x:v>
      </x:c>
      <x:c r="V661" s="15" t="str">
        <x:v>Персоналізований free-pilot outreach по UA-2026-05-13-001714-a; попросити 1 пакет Н.14/Н.15</x:v>
      </x:c>
      <x:c r="W661" s="15" t="str">
        <x:v>Власник / виконавець; відповідальний за договір</x:v>
      </x:c>
      <x:c r="X661" s="15" t="str">
        <x:v>1 підтверджених перемог/договорів у Prozorro на 72 248 грн; 1 проєктів зі строком виконання не раніше 24.08.2026.</x:v>
      </x:c>
      <x:c r="Y661" s="15" t="str">
        <x:v>Послуга з монтажу системи опалення теплиці; строк до 2026-12-31. Попросити один знеособлений пакет здачі за цим workflow.</x:v>
      </x:c>
      <x:c r="Z661" s="15" t="str">
        <x:v>https://prozorro.gov.ua/tender/UA-2026-05-13-001714-a</x:v>
      </x:c>
      <x:c r="AA661" s="14" t="str">
        <x:v>3025618591</x:v>
      </x:c>
      <x:c r="AB661" s="14" t="str">
        <x:v>2026-08-24</x:v>
      </x:c>
      <x:c r="AC661" s="14" t="str"/>
      <x:c r="AD661" s="20" t="str"/>
      <x:c r="AE661" s="14" t="str"/>
      <x:c r="AF661" s="14" t="n">
        <x:v>43</x:v>
      </x:c>
      <x:c r="AG661" s="14" t="str">
        <x:v>I3</x:v>
      </x:c>
      <x:c r="AH661" s="14" t="n">
        <x:v>1</x:v>
      </x:c>
      <x:c r="AI661" s="14" t="n">
        <x:v>1</x:v>
      </x:c>
      <x:c r="AJ661" s="18" t="n">
        <x:v>72248</x:v>
      </x:c>
      <x:c r="AK661" s="14" t="str">
        <x:v>https://prozorro.gov.ua/tender/UA-2026-05-13-001714-a</x:v>
      </x:c>
      <x:c r="AL661" s="19" t="n">
        <x:v>46155.29248162037</x:v>
      </x:c>
      <x:c r="AM661" s="19" t="n">
        <x:v>46387</x:v>
      </x:c>
      <x:c r="AN661" s="15" t="str">
        <x:v>HVAC / ОВіК</x:v>
      </x:c>
      <x:c r="AO661" s="15" t="str">
        <x:v>not_found_in_top_search</x:v>
      </x:c>
    </x:row>
    <x:row r="662">
      <x:c r="A662" s="14" t="str">
        <x:v>W3-390</x:v>
      </x:c>
      <x:c r="B662" s="14" t="str">
        <x:v>Prozorro winners — 24.08</x:v>
      </x:c>
      <x:c r="C662" s="14" t="str">
        <x:v>ФОП "Іваненко Я.О."</x:v>
      </x:c>
      <x:c r="D662" s="14" t="str">
        <x:v>Мости / інфраструктура</x:v>
      </x:c>
      <x:c r="E662" s="14" t="str">
        <x:v>Expansion discovery</x:v>
      </x:c>
      <x:c r="F662" s="17" t="str">
        <x:f>IF(E662="Pilot now",IF(P662&gt;=84,"P1",IF(P662&gt;=72,"P2","P3")),IF(E662="Expansion discovery",IF(Q662&gt;=88,"D1",IF(Q662&gt;=78,"D2","D3")),IF(E662="Later / requirements","L","Legacy")))</x:f>
        <x:v>D2</x:v>
      </x:c>
      <x:c r="G662" s="14" t="str"/>
      <x:c r="H662" s="14" t="str">
        <x:v>Discovery розширення — 2 тижні</x:v>
      </x:c>
      <x:c r="I662" s="16" t="n">
        <x:v>1</x:v>
      </x:c>
      <x:c r="J662" s="16" t="n">
        <x:v>5</x:v>
      </x:c>
      <x:c r="K662" s="16" t="n">
        <x:v>4</x:v>
      </x:c>
      <x:c r="L662" s="16" t="n">
        <x:v>1</x:v>
      </x:c>
      <x:c r="M662" s="16" t="n">
        <x:v>5</x:v>
      </x:c>
      <x:c r="N662" s="16" t="n">
        <x:v>3</x:v>
      </x:c>
      <x:c r="O662" s="16" t="n">
        <x:v>5</x:v>
      </x:c>
      <x:c r="P662" s="16" t="n">
        <x:f>IF(COUNT(I662:O662)&lt;7,"",I662*8+J662*3+K662*2+L662*2+M662*2+N662*2+O662)</x:f>
        <x:v>54</x:v>
      </x:c>
      <x:c r="Q662" s="16" t="n">
        <x:f>IF(COUNT(J662:O662)&lt;6,"",J662*5+K662*4+M662*4+L662*3+N662*2+O662*2)</x:f>
        <x:v>80</x:v>
      </x:c>
      <x:c r="R662" s="14" t="str">
        <x:v>high</x:v>
      </x:c>
      <x:c r="S662" s="14" t="str">
        <x:v>official_prozorro_award_2025_2026</x:v>
      </x:c>
      <x:c r="T662" s="14" t="str">
        <x:v>official_prozorro_api</x:v>
      </x:c>
      <x:c r="U662" s="14" t="str">
        <x:v>Не контактували</x:v>
      </x:c>
      <x:c r="V662" s="15" t="str">
        <x:v>Workflow-audit outreach по UA-2026-06-17-011922-a; попросити 1 пакет здачі та вимоги проєкту</x:v>
      </x:c>
      <x:c r="W662" s="15" t="str">
        <x:v>Власник / виконавець; відповідальний за договір</x:v>
      </x:c>
      <x:c r="X662" s="15" t="str">
        <x:v>1 підтверджених перемог/договорів у Prozorro на 69 840 грн; 1 проєктів зі строком виконання не раніше 24.08.2026.</x:v>
      </x:c>
      <x:c r="Y662" s="15" t="str">
        <x:v>Запчастини для ремонту автомобіля ЗІЛ ММЗ(редуктор заднього моста, ресора задня(16 листів)); строк до 2026-12-31. Попросити один знеособлений пакет здачі за цим workflow.</x:v>
      </x:c>
      <x:c r="Z662" s="15" t="str">
        <x:v>https://prozorro.gov.ua/tender/UA-2026-06-17-011922-a</x:v>
      </x:c>
      <x:c r="AA662" s="14" t="str">
        <x:v>3031114075</x:v>
      </x:c>
      <x:c r="AB662" s="14" t="str">
        <x:v>2026-08-24</x:v>
      </x:c>
      <x:c r="AC662" s="14" t="str"/>
      <x:c r="AD662" s="20" t="str"/>
      <x:c r="AE662" s="14" t="str"/>
      <x:c r="AF662" s="14" t="n">
        <x:v>43</x:v>
      </x:c>
      <x:c r="AG662" s="14" t="str">
        <x:v>I3</x:v>
      </x:c>
      <x:c r="AH662" s="14" t="n">
        <x:v>1</x:v>
      </x:c>
      <x:c r="AI662" s="14" t="n">
        <x:v>1</x:v>
      </x:c>
      <x:c r="AJ662" s="18" t="n">
        <x:v>69840</x:v>
      </x:c>
      <x:c r="AK662" s="14" t="str">
        <x:v>https://prozorro.gov.ua/tender/UA-2026-06-17-011922-a</x:v>
      </x:c>
      <x:c r="AL662" s="19" t="n">
        <x:v>46190.54853583333</x:v>
      </x:c>
      <x:c r="AM662" s="19" t="n">
        <x:v>46387</x:v>
      </x:c>
      <x:c r="AN662" s="15" t="str">
        <x:v>Мости / інфраструктура</x:v>
      </x:c>
      <x:c r="AO662" s="15" t="str">
        <x:v>not_found_in_top_search</x:v>
      </x:c>
    </x:row>
    <x:row r="663">
      <x:c r="A663" s="14" t="str">
        <x:v>W3-391</x:v>
      </x:c>
      <x:c r="B663" s="14" t="str">
        <x:v>Prozorro winners — 24.08</x:v>
      </x:c>
      <x:c r="C663" s="14" t="str">
        <x:v>Гейне-Голованова Юлія Володимирівна</x:v>
      </x:c>
      <x:c r="D663" s="14" t="str">
        <x:v>Пожежогасіння</x:v>
      </x:c>
      <x:c r="E663" s="14" t="str">
        <x:v>Expansion discovery</x:v>
      </x:c>
      <x:c r="F663" s="17" t="str">
        <x:f>IF(E663="Pilot now",IF(P663&gt;=84,"P1",IF(P663&gt;=72,"P2","P3")),IF(E663="Expansion discovery",IF(Q663&gt;=88,"D1",IF(Q663&gt;=78,"D2","D3")),IF(E663="Later / requirements","L","Legacy")))</x:f>
        <x:v>D2</x:v>
      </x:c>
      <x:c r="G663" s="14" t="str"/>
      <x:c r="H663" s="14" t="str">
        <x:v>Discovery розширення — 2 тижні</x:v>
      </x:c>
      <x:c r="I663" s="16" t="n">
        <x:v>1</x:v>
      </x:c>
      <x:c r="J663" s="16" t="n">
        <x:v>5</x:v>
      </x:c>
      <x:c r="K663" s="16" t="n">
        <x:v>4</x:v>
      </x:c>
      <x:c r="L663" s="16" t="n">
        <x:v>1</x:v>
      </x:c>
      <x:c r="M663" s="16" t="n">
        <x:v>5</x:v>
      </x:c>
      <x:c r="N663" s="16" t="n">
        <x:v>3</x:v>
      </x:c>
      <x:c r="O663" s="16" t="n">
        <x:v>5</x:v>
      </x:c>
      <x:c r="P663" s="16" t="n">
        <x:f>IF(COUNT(I663:O663)&lt;7,"",I663*8+J663*3+K663*2+L663*2+M663*2+N663*2+O663)</x:f>
        <x:v>54</x:v>
      </x:c>
      <x:c r="Q663" s="16" t="n">
        <x:f>IF(COUNT(J663:O663)&lt;6,"",J663*5+K663*4+M663*4+L663*3+N663*2+O663*2)</x:f>
        <x:v>80</x:v>
      </x:c>
      <x:c r="R663" s="14" t="str">
        <x:v>high</x:v>
      </x:c>
      <x:c r="S663" s="14" t="str">
        <x:v>official_prozorro_award_2025_2026</x:v>
      </x:c>
      <x:c r="T663" s="14" t="str">
        <x:v>official_prozorro_api</x:v>
      </x:c>
      <x:c r="U663" s="14" t="str">
        <x:v>Не контактували</x:v>
      </x:c>
      <x:c r="V663" s="15" t="str">
        <x:v>Workflow-audit outreach по UA-2026-06-25-000434-a; попросити 1 пакет здачі та вимоги проєкту</x:v>
      </x:c>
      <x:c r="W663" s="15" t="str">
        <x:v>Власник / виконавець; відповідальний за договір</x:v>
      </x:c>
      <x:c r="X663" s="15" t="str">
        <x:v>1 підтверджених перемог/договорів у Prozorro на 62 949 грн; 1 проєктів зі строком виконання не раніше 24.08.2026.</x:v>
      </x:c>
      <x:c r="Y663" s="15" t="str">
        <x:v>Монтаж системи пожежної сигналізації, системи оповіщення про пожежу та системи централізованого пожежного спостереження в Комунальній установі " Корнинський заклад позашкільної освіти " Талант" Корнинської селищної ради; строк до 2026-12-31. Попросити один знеособлений пакет здачі за цим workflow.</x:v>
      </x:c>
      <x:c r="Z663" s="15" t="str">
        <x:v>https://prozorro.gov.ua/tender/UA-2026-06-25-000434-a</x:v>
      </x:c>
      <x:c r="AA663" s="14" t="str">
        <x:v>3194207541</x:v>
      </x:c>
      <x:c r="AB663" s="14" t="str">
        <x:v>2026-08-24</x:v>
      </x:c>
      <x:c r="AC663" s="14" t="str"/>
      <x:c r="AD663" s="20" t="str"/>
      <x:c r="AE663" s="14" t="str"/>
      <x:c r="AF663" s="14" t="n">
        <x:v>43</x:v>
      </x:c>
      <x:c r="AG663" s="14" t="str">
        <x:v>I3</x:v>
      </x:c>
      <x:c r="AH663" s="14" t="n">
        <x:v>1</x:v>
      </x:c>
      <x:c r="AI663" s="14" t="n">
        <x:v>1</x:v>
      </x:c>
      <x:c r="AJ663" s="18" t="n">
        <x:v>62948.66</x:v>
      </x:c>
      <x:c r="AK663" s="14" t="str">
        <x:v>https://prozorro.gov.ua/tender/UA-2026-06-25-000434-a</x:v>
      </x:c>
      <x:c r="AL663" s="19" t="n">
        <x:v>46198.24074804398</x:v>
      </x:c>
      <x:c r="AM663" s="19" t="n">
        <x:v>46387</x:v>
      </x:c>
      <x:c r="AN663" s="15" t="str">
        <x:v>Пожежогасіння</x:v>
      </x:c>
      <x:c r="AO663" s="15" t="str">
        <x:v>not_found_in_top_search</x:v>
      </x:c>
    </x:row>
    <x:row r="664">
      <x:c r="A664" s="14" t="str">
        <x:v>W3-392</x:v>
      </x:c>
      <x:c r="B664" s="14" t="str">
        <x:v>Prozorro winners — 24.08</x:v>
      </x:c>
      <x:c r="C664" s="14" t="str">
        <x:v>МАРЗАН ВАЛЕРІЙ ПЕТРОВИЧ</x:v>
      </x:c>
      <x:c r="D664" s="14" t="str">
        <x:v>Промисловий холод</x:v>
      </x:c>
      <x:c r="E664" s="14" t="str">
        <x:v>Expansion discovery</x:v>
      </x:c>
      <x:c r="F664" s="17" t="str">
        <x:f>IF(E664="Pilot now",IF(P664&gt;=84,"P1",IF(P664&gt;=72,"P2","P3")),IF(E664="Expansion discovery",IF(Q664&gt;=88,"D1",IF(Q664&gt;=78,"D2","D3")),IF(E664="Later / requirements","L","Legacy")))</x:f>
        <x:v>D2</x:v>
      </x:c>
      <x:c r="G664" s="14" t="str"/>
      <x:c r="H664" s="14" t="str">
        <x:v>Discovery розширення — 2 тижні</x:v>
      </x:c>
      <x:c r="I664" s="16" t="n">
        <x:v>1</x:v>
      </x:c>
      <x:c r="J664" s="16" t="n">
        <x:v>5</x:v>
      </x:c>
      <x:c r="K664" s="16" t="n">
        <x:v>4</x:v>
      </x:c>
      <x:c r="L664" s="16" t="n">
        <x:v>1</x:v>
      </x:c>
      <x:c r="M664" s="16" t="n">
        <x:v>5</x:v>
      </x:c>
      <x:c r="N664" s="16" t="n">
        <x:v>3</x:v>
      </x:c>
      <x:c r="O664" s="16" t="n">
        <x:v>5</x:v>
      </x:c>
      <x:c r="P664" s="16" t="n">
        <x:f>IF(COUNT(I664:O664)&lt;7,"",I664*8+J664*3+K664*2+L664*2+M664*2+N664*2+O664)</x:f>
        <x:v>54</x:v>
      </x:c>
      <x:c r="Q664" s="16" t="n">
        <x:f>IF(COUNT(J664:O664)&lt;6,"",J664*5+K664*4+M664*4+L664*3+N664*2+O664*2)</x:f>
        <x:v>80</x:v>
      </x:c>
      <x:c r="R664" s="14" t="str">
        <x:v>high</x:v>
      </x:c>
      <x:c r="S664" s="14" t="str">
        <x:v>official_prozorro_award_2025_2026</x:v>
      </x:c>
      <x:c r="T664" s="14" t="str">
        <x:v>official_prozorro_api</x:v>
      </x:c>
      <x:c r="U664" s="14" t="str">
        <x:v>Не контактували</x:v>
      </x:c>
      <x:c r="V664" s="15" t="str">
        <x:v>Workflow-audit outreach по UA-2026-07-06-008444-a; попросити 1 пакет здачі та вимоги проєкту</x:v>
      </x:c>
      <x:c r="W664" s="15" t="str">
        <x:v>Власник / виконавець; відповідальний за договір</x:v>
      </x:c>
      <x:c r="X664" s="15" t="str">
        <x:v>1 підтверджених перемог/договорів у Prozorro на 60 000 грн; 1 проєктів зі строком виконання не раніше 24.08.2026.</x:v>
      </x:c>
      <x:c r="Y664" s="15" t="str">
        <x:v>Кондиціонер Osaka STV-18 HH з монтажем за ДК 021:2015 "42510000-4 Теплообмінники, кондиціонери повітря, холодильне обладнання та фільтрувальні пристрої"; строк до 2026-12-31. Попросити один знеособлений пакет здачі за цим workflow.</x:v>
      </x:c>
      <x:c r="Z664" s="15" t="str">
        <x:v>https://prozorro.gov.ua/tender/UA-2026-07-06-008444-a</x:v>
      </x:c>
      <x:c r="AA664" s="14" t="str">
        <x:v>2218713259</x:v>
      </x:c>
      <x:c r="AB664" s="14" t="str">
        <x:v>2026-08-24</x:v>
      </x:c>
      <x:c r="AC664" s="14" t="str"/>
      <x:c r="AD664" s="20" t="str"/>
      <x:c r="AE664" s="14" t="str"/>
      <x:c r="AF664" s="14" t="n">
        <x:v>43</x:v>
      </x:c>
      <x:c r="AG664" s="14" t="str">
        <x:v>I3</x:v>
      </x:c>
      <x:c r="AH664" s="14" t="n">
        <x:v>1</x:v>
      </x:c>
      <x:c r="AI664" s="14" t="n">
        <x:v>1</x:v>
      </x:c>
      <x:c r="AJ664" s="18" t="n">
        <x:v>60000</x:v>
      </x:c>
      <x:c r="AK664" s="14" t="str">
        <x:v>https://prozorro.gov.ua/tender/UA-2026-07-06-008444-a</x:v>
      </x:c>
      <x:c r="AL664" s="19" t="n">
        <x:v>46209.536425659724</x:v>
      </x:c>
      <x:c r="AM664" s="19" t="n">
        <x:v>46387</x:v>
      </x:c>
      <x:c r="AN664" s="15" t="str">
        <x:v>Промисловий холод</x:v>
      </x:c>
      <x:c r="AO664" s="15" t="str">
        <x:v>not_found_in_top_search</x:v>
      </x:c>
    </x:row>
    <x:row r="665">
      <x:c r="A665" s="14" t="str">
        <x:v>W3-393</x:v>
      </x:c>
      <x:c r="B665" s="14" t="str">
        <x:v>Prozorro winners — 24.08</x:v>
      </x:c>
      <x:c r="C665" s="14" t="str">
        <x:v>ВАЩЕНКО ВОЛОДИМИР ІВАНОВИЧ</x:v>
      </x:c>
      <x:c r="D665" s="14" t="str">
        <x:v>HVAC / ОВіК</x:v>
      </x:c>
      <x:c r="E665" s="14" t="str">
        <x:v>Pilot now</x:v>
      </x:c>
      <x:c r="F665" s="17" t="str">
        <x:f>IF(E665="Pilot now",IF(P665&gt;=84,"P1",IF(P665&gt;=72,"P2","P3")),IF(E665="Expansion discovery",IF(Q665&gt;=88,"D1",IF(Q665&gt;=78,"D2","D3")),IF(E665="Later / requirements","L","Legacy")))</x:f>
        <x:v>P1</x:v>
      </x:c>
      <x:c r="G665" s="14" t="str"/>
      <x:c r="H665" s="14" t="str">
        <x:v>Пілот зараз — Н.14</x:v>
      </x:c>
      <x:c r="I665" s="16" t="n">
        <x:v>5</x:v>
      </x:c>
      <x:c r="J665" s="16" t="n">
        <x:v>5</x:v>
      </x:c>
      <x:c r="K665" s="16" t="n">
        <x:v>5</x:v>
      </x:c>
      <x:c r="L665" s="16" t="n">
        <x:v>1</x:v>
      </x:c>
      <x:c r="M665" s="16" t="n">
        <x:v>5</x:v>
      </x:c>
      <x:c r="N665" s="16" t="n">
        <x:v>3</x:v>
      </x:c>
      <x:c r="O665" s="16" t="n">
        <x:v>5</x:v>
      </x:c>
      <x:c r="P665" s="16" t="n">
        <x:f>IF(COUNT(I665:O665)&lt;7,"",I665*8+J665*3+K665*2+L665*2+M665*2+N665*2+O665)</x:f>
        <x:v>88</x:v>
      </x:c>
      <x:c r="Q665" s="16" t="n">
        <x:f>IF(COUNT(J665:O665)&lt;6,"",J665*5+K665*4+M665*4+L665*3+N665*2+O665*2)</x:f>
        <x:v>84</x:v>
      </x:c>
      <x:c r="R665" s="14" t="str">
        <x:v>high</x:v>
      </x:c>
      <x:c r="S665" s="14" t="str">
        <x:v>official_prozorro_award_2025_2026</x:v>
      </x:c>
      <x:c r="T665" s="14" t="str">
        <x:v>official_prozorro_api</x:v>
      </x:c>
      <x:c r="U665" s="14" t="str">
        <x:v>Не контактували</x:v>
      </x:c>
      <x:c r="V665" s="15" t="str">
        <x:v>Персоналізований free-pilot outreach по UA-2026-07-08-003640-a; попросити 1 пакет Н.14/Н.15</x:v>
      </x:c>
      <x:c r="W665" s="15" t="str">
        <x:v>Власник / виконавець; відповідальний за договір</x:v>
      </x:c>
      <x:c r="X665" s="15" t="str">
        <x:v>1 підтверджених перемог/договорів у Prozorro на 59 660 грн; 1 проєктів зі строком виконання не раніше 24.08.2026.</x:v>
      </x:c>
      <x:c r="Y665" s="15" t="str">
        <x:v>Роботи (послуги) з демонтажу та монтажу системи опалення за адресою вул. Любецька, 11 а, м. Чернігів (код згідно ЄЗС ДК 021:2015: 50720000-8 "Послуги з ремонту і технічного обслуговування систем центрального опалення ") ; строк до 2026-12-31. Попросити один знеособлений пакет здачі за цим workflow.</x:v>
      </x:c>
      <x:c r="Z665" s="15" t="str">
        <x:v>https://prozorro.gov.ua/tender/UA-2026-07-08-003640-a</x:v>
      </x:c>
      <x:c r="AA665" s="14" t="str">
        <x:v>2730510078</x:v>
      </x:c>
      <x:c r="AB665" s="14" t="str">
        <x:v>2026-08-24</x:v>
      </x:c>
      <x:c r="AC665" s="14" t="str"/>
      <x:c r="AD665" s="20" t="str"/>
      <x:c r="AE665" s="14" t="str"/>
      <x:c r="AF665" s="14" t="n">
        <x:v>43</x:v>
      </x:c>
      <x:c r="AG665" s="14" t="str">
        <x:v>I3</x:v>
      </x:c>
      <x:c r="AH665" s="14" t="n">
        <x:v>1</x:v>
      </x:c>
      <x:c r="AI665" s="14" t="n">
        <x:v>1</x:v>
      </x:c>
      <x:c r="AJ665" s="18" t="n">
        <x:v>59660</x:v>
      </x:c>
      <x:c r="AK665" s="14" t="str">
        <x:v>https://prozorro.gov.ua/tender/UA-2026-07-08-003640-a</x:v>
      </x:c>
      <x:c r="AL665" s="19" t="n">
        <x:v>46211.353690625</x:v>
      </x:c>
      <x:c r="AM665" s="19" t="n">
        <x:v>46387</x:v>
      </x:c>
      <x:c r="AN665" s="15" t="str">
        <x:v>HVAC / ОВіК</x:v>
      </x:c>
      <x:c r="AO665" s="15" t="str">
        <x:v>not_found_in_top_search</x:v>
      </x:c>
    </x:row>
    <x:row r="666">
      <x:c r="A666" s="14" t="str">
        <x:v>W3-394</x:v>
      </x:c>
      <x:c r="B666" s="14" t="str">
        <x:v>Prozorro winners — 24.08</x:v>
      </x:c>
      <x:c r="C666" s="14" t="str">
        <x:v>ФОП Поронюк Ольга Ігорівна</x:v>
      </x:c>
      <x:c r="D666" s="14" t="str">
        <x:v>Безпека / СКУД / CCTV</x:v>
      </x:c>
      <x:c r="E666" s="14" t="str">
        <x:v>Expansion discovery</x:v>
      </x:c>
      <x:c r="F666" s="17" t="str">
        <x:f>IF(E666="Pilot now",IF(P666&gt;=84,"P1",IF(P666&gt;=72,"P2","P3")),IF(E666="Expansion discovery",IF(Q666&gt;=88,"D1",IF(Q666&gt;=78,"D2","D3")),IF(E666="Later / requirements","L","Legacy")))</x:f>
        <x:v>D2</x:v>
      </x:c>
      <x:c r="G666" s="14" t="str"/>
      <x:c r="H666" s="14" t="str">
        <x:v>Discovery розширення — 2 тижні</x:v>
      </x:c>
      <x:c r="I666" s="16" t="n">
        <x:v>1</x:v>
      </x:c>
      <x:c r="J666" s="16" t="n">
        <x:v>5</x:v>
      </x:c>
      <x:c r="K666" s="16" t="n">
        <x:v>4</x:v>
      </x:c>
      <x:c r="L666" s="16" t="n">
        <x:v>1</x:v>
      </x:c>
      <x:c r="M666" s="16" t="n">
        <x:v>5</x:v>
      </x:c>
      <x:c r="N666" s="16" t="n">
        <x:v>3</x:v>
      </x:c>
      <x:c r="O666" s="16" t="n">
        <x:v>5</x:v>
      </x:c>
      <x:c r="P666" s="16" t="n">
        <x:f>IF(COUNT(I666:O666)&lt;7,"",I666*8+J666*3+K666*2+L666*2+M666*2+N666*2+O666)</x:f>
        <x:v>54</x:v>
      </x:c>
      <x:c r="Q666" s="16" t="n">
        <x:f>IF(COUNT(J666:O666)&lt;6,"",J666*5+K666*4+M666*4+L666*3+N666*2+O666*2)</x:f>
        <x:v>80</x:v>
      </x:c>
      <x:c r="R666" s="14" t="str">
        <x:v>high</x:v>
      </x:c>
      <x:c r="S666" s="14" t="str">
        <x:v>official_prozorro_award_2025_2026</x:v>
      </x:c>
      <x:c r="T666" s="14" t="str">
        <x:v>official_prozorro_api</x:v>
      </x:c>
      <x:c r="U666" s="14" t="str">
        <x:v>Не контактували</x:v>
      </x:c>
      <x:c r="V666" s="15" t="str">
        <x:v>Workflow-audit outreach по UA-2026-06-29-005630-a; попросити 1 пакет здачі та вимоги проєкту</x:v>
      </x:c>
      <x:c r="W666" s="15" t="str">
        <x:v>Власник / виконавець; відповідальний за договір</x:v>
      </x:c>
      <x:c r="X666" s="15" t="str">
        <x:v>1 підтверджених перемог/договорів у Prozorro на 53 901 грн; 1 проєктів зі строком виконання не раніше 24.08.2026.</x:v>
      </x:c>
      <x:c r="Y666" s="15" t="str">
        <x:v>Послуги з монтажу та установки системи відеоспостереження; строк до 2026-08-31. Попросити один знеособлений пакет здачі за цим workflow.</x:v>
      </x:c>
      <x:c r="Z666" s="15" t="str">
        <x:v>https://prozorro.gov.ua/tender/UA-2026-06-29-005630-a</x:v>
      </x:c>
      <x:c r="AA666" s="14" t="str">
        <x:v>3261604001</x:v>
      </x:c>
      <x:c r="AB666" s="14" t="str">
        <x:v>2026-08-24</x:v>
      </x:c>
      <x:c r="AC666" s="14" t="str"/>
      <x:c r="AD666" s="20" t="str"/>
      <x:c r="AE666" s="14" t="str"/>
      <x:c r="AF666" s="14" t="n">
        <x:v>43</x:v>
      </x:c>
      <x:c r="AG666" s="14" t="str">
        <x:v>I3</x:v>
      </x:c>
      <x:c r="AH666" s="14" t="n">
        <x:v>1</x:v>
      </x:c>
      <x:c r="AI666" s="14" t="n">
        <x:v>1</x:v>
      </x:c>
      <x:c r="AJ666" s="18" t="n">
        <x:v>53901</x:v>
      </x:c>
      <x:c r="AK666" s="14" t="str">
        <x:v>https://prozorro.gov.ua/tender/UA-2026-06-29-005630-a</x:v>
      </x:c>
      <x:c r="AL666" s="19" t="n">
        <x:v>46202.44037795139</x:v>
      </x:c>
      <x:c r="AM666" s="19" t="n">
        <x:v>46265.44179398148</x:v>
      </x:c>
      <x:c r="AN666" s="15" t="str">
        <x:v>Безпека / СКУД / CCTV</x:v>
      </x:c>
      <x:c r="AO666" s="15" t="str">
        <x:v>not_found_in_top_search</x:v>
      </x:c>
    </x:row>
    <x:row r="667">
      <x:c r="A667" s="14" t="str">
        <x:v>W3-395</x:v>
      </x:c>
      <x:c r="B667" s="14" t="str">
        <x:v>Prozorro winners — 24.08</x:v>
      </x:c>
      <x:c r="C667" s="14" t="str">
        <x:v>ТОВ "БМП "Електросервіс"</x:v>
      </x:c>
      <x:c r="D667" s="14" t="str">
        <x:v>Електромонтаж</x:v>
      </x:c>
      <x:c r="E667" s="14" t="str">
        <x:v>Pilot now</x:v>
      </x:c>
      <x:c r="F667" s="17" t="str">
        <x:f>IF(E667="Pilot now",IF(P667&gt;=84,"P1",IF(P667&gt;=72,"P2","P3")),IF(E667="Expansion discovery",IF(Q667&gt;=88,"D1",IF(Q667&gt;=78,"D2","D3")),IF(E667="Later / requirements","L","Legacy")))</x:f>
        <x:v>P1</x:v>
      </x:c>
      <x:c r="G667" s="14" t="str"/>
      <x:c r="H667" s="14" t="str">
        <x:v>Пілот зараз — Н.15</x:v>
      </x:c>
      <x:c r="I667" s="16" t="n">
        <x:v>5</x:v>
      </x:c>
      <x:c r="J667" s="16" t="n">
        <x:v>5</x:v>
      </x:c>
      <x:c r="K667" s="16" t="n">
        <x:v>5</x:v>
      </x:c>
      <x:c r="L667" s="16" t="n">
        <x:v>1</x:v>
      </x:c>
      <x:c r="M667" s="16" t="n">
        <x:v>5</x:v>
      </x:c>
      <x:c r="N667" s="16" t="n">
        <x:v>5</x:v>
      </x:c>
      <x:c r="O667" s="16" t="n">
        <x:v>5</x:v>
      </x:c>
      <x:c r="P667" s="16" t="n">
        <x:f>IF(COUNT(I667:O667)&lt;7,"",I667*8+J667*3+K667*2+L667*2+M667*2+N667*2+O667)</x:f>
        <x:v>92</x:v>
      </x:c>
      <x:c r="Q667" s="16" t="n">
        <x:f>IF(COUNT(J667:O667)&lt;6,"",J667*5+K667*4+M667*4+L667*3+N667*2+O667*2)</x:f>
        <x:v>88</x:v>
      </x:c>
      <x:c r="R667" s="14" t="str">
        <x:v>high</x:v>
      </x:c>
      <x:c r="S667" s="14" t="str">
        <x:v>official_prozorro_award_2025_2026</x:v>
      </x:c>
      <x:c r="T667" s="14" t="str">
        <x:v>official_prozorro_api</x:v>
      </x:c>
      <x:c r="U667" s="14" t="str">
        <x:v>Не контактували</x:v>
      </x:c>
      <x:c r="V667" s="15" t="str">
        <x:v>Персоналізований free-pilot outreach по UA-2026-03-26-000308-a; попросити 1 пакет Н.14/Н.15</x:v>
      </x:c>
      <x:c r="W667" s="15" t="str">
        <x:v>Власник / директор; керівник ПТО; відповідальний за договори</x:v>
      </x:c>
      <x:c r="X667" s="15" t="str">
        <x:v>2 підтверджених перемог/договорів у Prozorro на 50 809 грн; 1 проєктів зі строком виконання не раніше 24.08.2026.</x:v>
      </x:c>
      <x:c r="Y667" s="15" t="str">
        <x:v>Електровимірювальні роботи перехідного опору, опору ізоляції, петлі "фаза-нуль", контурів заземлення; строк до 2026-12-31. Попросити один знеособлений пакет здачі за цим workflow.</x:v>
      </x:c>
      <x:c r="Z667" s="15" t="str">
        <x:v>https://prozorro.gov.ua/tender/UA-2026-03-26-000308-a</x:v>
      </x:c>
      <x:c r="AA667" s="14" t="str">
        <x:v>42485094</x:v>
      </x:c>
      <x:c r="AB667" s="14" t="str">
        <x:v>2026-08-24</x:v>
      </x:c>
      <x:c r="AC667" s="14" t="str"/>
      <x:c r="AD667" s="20" t="str"/>
      <x:c r="AE667" s="14" t="str"/>
      <x:c r="AF667" s="14" t="n">
        <x:v>43</x:v>
      </x:c>
      <x:c r="AG667" s="14" t="str">
        <x:v>I3</x:v>
      </x:c>
      <x:c r="AH667" s="14" t="n">
        <x:v>2</x:v>
      </x:c>
      <x:c r="AI667" s="14" t="n">
        <x:v>1</x:v>
      </x:c>
      <x:c r="AJ667" s="18" t="n">
        <x:v>50808.8</x:v>
      </x:c>
      <x:c r="AK667" s="14" t="str">
        <x:v>https://prozorro.gov.ua/tender/UA-2026-03-26-000308-a</x:v>
      </x:c>
      <x:c r="AL667" s="19" t="n">
        <x:v>46107.27188730324</x:v>
      </x:c>
      <x:c r="AM667" s="19" t="n">
        <x:v>46387.27075231481</x:v>
      </x:c>
      <x:c r="AN667" s="15" t="str">
        <x:v>Електромонтаж</x:v>
      </x:c>
      <x:c r="AO667" s="15" t="str">
        <x:v>not_found_in_top_search</x:v>
      </x:c>
    </x:row>
    <x:row r="668">
      <x:c r="A668" s="14" t="str">
        <x:v>W3-396</x:v>
      </x:c>
      <x:c r="B668" s="14" t="str">
        <x:v>Prozorro winners — 24.08</x:v>
      </x:c>
      <x:c r="C668" s="14" t="str">
        <x:v>ФОП Ващенко Олег В'ячеславович</x:v>
      </x:c>
      <x:c r="D668" s="14" t="str">
        <x:v>HVAC / ОВіК</x:v>
      </x:c>
      <x:c r="E668" s="14" t="str">
        <x:v>Pilot now</x:v>
      </x:c>
      <x:c r="F668" s="17" t="str">
        <x:f>IF(E668="Pilot now",IF(P668&gt;=84,"P1",IF(P668&gt;=72,"P2","P3")),IF(E668="Expansion discovery",IF(Q668&gt;=88,"D1",IF(Q668&gt;=78,"D2","D3")),IF(E668="Later / requirements","L","Legacy")))</x:f>
        <x:v>P1</x:v>
      </x:c>
      <x:c r="G668" s="14" t="str"/>
      <x:c r="H668" s="14" t="str">
        <x:v>Пілот зараз — Н.14</x:v>
      </x:c>
      <x:c r="I668" s="16" t="n">
        <x:v>5</x:v>
      </x:c>
      <x:c r="J668" s="16" t="n">
        <x:v>5</x:v>
      </x:c>
      <x:c r="K668" s="16" t="n">
        <x:v>5</x:v>
      </x:c>
      <x:c r="L668" s="16" t="n">
        <x:v>1</x:v>
      </x:c>
      <x:c r="M668" s="16" t="n">
        <x:v>5</x:v>
      </x:c>
      <x:c r="N668" s="16" t="n">
        <x:v>3</x:v>
      </x:c>
      <x:c r="O668" s="16" t="n">
        <x:v>5</x:v>
      </x:c>
      <x:c r="P668" s="16" t="n">
        <x:f>IF(COUNT(I668:O668)&lt;7,"",I668*8+J668*3+K668*2+L668*2+M668*2+N668*2+O668)</x:f>
        <x:v>88</x:v>
      </x:c>
      <x:c r="Q668" s="16" t="n">
        <x:f>IF(COUNT(J668:O668)&lt;6,"",J668*5+K668*4+M668*4+L668*3+N668*2+O668*2)</x:f>
        <x:v>84</x:v>
      </x:c>
      <x:c r="R668" s="14" t="str">
        <x:v>high</x:v>
      </x:c>
      <x:c r="S668" s="14" t="str">
        <x:v>official_prozorro_award_2025_2026</x:v>
      </x:c>
      <x:c r="T668" s="14" t="str">
        <x:v>official_prozorro_api</x:v>
      </x:c>
      <x:c r="U668" s="14" t="str">
        <x:v>Не контактували</x:v>
      </x:c>
      <x:c r="V668" s="15" t="str">
        <x:v>Персоналізований free-pilot outreach по UA-2026-06-24-002311-a; попросити 1 пакет Н.14/Н.15</x:v>
      </x:c>
      <x:c r="W668" s="15" t="str">
        <x:v>Власник / виконавець; відповідальний за договір</x:v>
      </x:c>
      <x:c r="X668" s="15" t="str">
        <x:v>1 підтверджених перемог/договорів у Prozorro на 49 294 грн; 1 проєктів зі строком виконання не раніше 24.08.2026.</x:v>
      </x:c>
      <x:c r="Y668" s="15" t="str">
        <x:v>Додаткове обладнання для безпосереднього монтажу припливно-витяжної системи вентиляції з рекуперацією тепла; строк до 2026-12-31. Попросити один знеособлений пакет здачі за цим workflow.</x:v>
      </x:c>
      <x:c r="Z668" s="15" t="str">
        <x:v>https://prozorro.gov.ua/tender/UA-2026-06-24-002311-a</x:v>
      </x:c>
      <x:c r="AA668" s="14" t="str">
        <x:v>3082719552</x:v>
      </x:c>
      <x:c r="AB668" s="14" t="str">
        <x:v>2026-08-24</x:v>
      </x:c>
      <x:c r="AC668" s="14" t="str"/>
      <x:c r="AD668" s="20" t="str"/>
      <x:c r="AE668" s="14" t="str"/>
      <x:c r="AF668" s="14" t="n">
        <x:v>43</x:v>
      </x:c>
      <x:c r="AG668" s="14" t="str">
        <x:v>I3</x:v>
      </x:c>
      <x:c r="AH668" s="14" t="n">
        <x:v>1</x:v>
      </x:c>
      <x:c r="AI668" s="14" t="n">
        <x:v>1</x:v>
      </x:c>
      <x:c r="AJ668" s="18" t="n">
        <x:v>49294</x:v>
      </x:c>
      <x:c r="AK668" s="14" t="str">
        <x:v>https://prozorro.gov.ua/tender/UA-2026-06-24-002311-a</x:v>
      </x:c>
      <x:c r="AL668" s="19" t="n">
        <x:v>46197.31053866898</x:v>
      </x:c>
      <x:c r="AM668" s="19" t="n">
        <x:v>46387.35335648148</x:v>
      </x:c>
      <x:c r="AN668" s="15" t="str">
        <x:v>HVAC / ОВіК</x:v>
      </x:c>
      <x:c r="AO668" s="15" t="str">
        <x:v>not_found_in_top_search</x:v>
      </x:c>
    </x:row>
    <x:row r="669">
      <x:c r="A669" s="14" t="str">
        <x:v>W3-397</x:v>
      </x:c>
      <x:c r="B669" s="14" t="str">
        <x:v>Prozorro winners — 24.08</x:v>
      </x:c>
      <x:c r="C669" s="14" t="str">
        <x:v>Фізична особа-підприємець Слободенюк Павло Іванович</x:v>
      </x:c>
      <x:c r="D669" s="14" t="str">
        <x:v>Безпека / СКУД / CCTV</x:v>
      </x:c>
      <x:c r="E669" s="14" t="str">
        <x:v>Expansion discovery</x:v>
      </x:c>
      <x:c r="F669" s="17" t="str">
        <x:f>IF(E669="Pilot now",IF(P669&gt;=84,"P1",IF(P669&gt;=72,"P2","P3")),IF(E669="Expansion discovery",IF(Q669&gt;=88,"D1",IF(Q669&gt;=78,"D2","D3")),IF(E669="Later / requirements","L","Legacy")))</x:f>
        <x:v>D2</x:v>
      </x:c>
      <x:c r="G669" s="14" t="str"/>
      <x:c r="H669" s="14" t="str">
        <x:v>Discovery розширення — 2 тижні</x:v>
      </x:c>
      <x:c r="I669" s="16" t="n">
        <x:v>1</x:v>
      </x:c>
      <x:c r="J669" s="16" t="n">
        <x:v>5</x:v>
      </x:c>
      <x:c r="K669" s="16" t="n">
        <x:v>4</x:v>
      </x:c>
      <x:c r="L669" s="16" t="n">
        <x:v>1</x:v>
      </x:c>
      <x:c r="M669" s="16" t="n">
        <x:v>5</x:v>
      </x:c>
      <x:c r="N669" s="16" t="n">
        <x:v>3</x:v>
      </x:c>
      <x:c r="O669" s="16" t="n">
        <x:v>5</x:v>
      </x:c>
      <x:c r="P669" s="16" t="n">
        <x:f>IF(COUNT(I669:O669)&lt;7,"",I669*8+J669*3+K669*2+L669*2+M669*2+N669*2+O669)</x:f>
        <x:v>54</x:v>
      </x:c>
      <x:c r="Q669" s="16" t="n">
        <x:f>IF(COUNT(J669:O669)&lt;6,"",J669*5+K669*4+M669*4+L669*3+N669*2+O669*2)</x:f>
        <x:v>80</x:v>
      </x:c>
      <x:c r="R669" s="14" t="str">
        <x:v>high</x:v>
      </x:c>
      <x:c r="S669" s="14" t="str">
        <x:v>official_prozorro_award_2025_2026</x:v>
      </x:c>
      <x:c r="T669" s="14" t="str">
        <x:v>official_prozorro_api</x:v>
      </x:c>
      <x:c r="U669" s="14" t="str">
        <x:v>Не контактували</x:v>
      </x:c>
      <x:c r="V669" s="15" t="str">
        <x:v>Workflow-audit outreach по UA-2026-05-25-013477-a; попросити 1 пакет здачі та вимоги проєкту</x:v>
      </x:c>
      <x:c r="W669" s="15" t="str">
        <x:v>Власник / виконавець; відповідальний за договір</x:v>
      </x:c>
      <x:c r="X669" s="15" t="str">
        <x:v>1 підтверджених перемог/договорів у Prozorro на 39 206 грн; 1 проєктів зі строком виконання не раніше 24.08.2026.</x:v>
      </x:c>
      <x:c r="Y669" s="15" t="str">
        <x:v>Монтаж системи відеоспостереження; строк до 2026-12-31. Попросити один знеособлений пакет здачі за цим workflow.</x:v>
      </x:c>
      <x:c r="Z669" s="15" t="str">
        <x:v>https://prozorro.gov.ua/tender/UA-2026-05-25-013477-a</x:v>
      </x:c>
      <x:c r="AA669" s="14" t="str">
        <x:v>3416106495</x:v>
      </x:c>
      <x:c r="AB669" s="14" t="str">
        <x:v>2026-08-24</x:v>
      </x:c>
      <x:c r="AC669" s="14" t="str"/>
      <x:c r="AD669" s="20" t="str"/>
      <x:c r="AE669" s="14" t="str"/>
      <x:c r="AF669" s="14" t="n">
        <x:v>43</x:v>
      </x:c>
      <x:c r="AG669" s="14" t="str">
        <x:v>I3</x:v>
      </x:c>
      <x:c r="AH669" s="14" t="n">
        <x:v>1</x:v>
      </x:c>
      <x:c r="AI669" s="14" t="n">
        <x:v>1</x:v>
      </x:c>
      <x:c r="AJ669" s="18" t="n">
        <x:v>39206</x:v>
      </x:c>
      <x:c r="AK669" s="14" t="str">
        <x:v>https://prozorro.gov.ua/tender/UA-2026-05-25-013477-a</x:v>
      </x:c>
      <x:c r="AL669" s="19" t="n">
        <x:v>46167.60540934028</x:v>
      </x:c>
      <x:c r="AM669" s="19" t="n">
        <x:v>46387.64173611111</x:v>
      </x:c>
      <x:c r="AN669" s="15" t="str">
        <x:v>Безпека / СКУД / CCTV</x:v>
      </x:c>
      <x:c r="AO669" s="15" t="str">
        <x:v>not_found_in_top_search</x:v>
      </x:c>
    </x:row>
    <x:row r="670">
      <x:c r="A670" s="14" t="str">
        <x:v>W3-398</x:v>
      </x:c>
      <x:c r="B670" s="14" t="str">
        <x:v>Prozorro winners — 24.08</x:v>
      </x:c>
      <x:c r="C670" s="14" t="str">
        <x:v>КРАВЦОВА ДАРІЯ ОЛЕКСАНДРІВНА</x:v>
      </x:c>
      <x:c r="D670" s="14" t="str">
        <x:v>Теплові мережі</x:v>
      </x:c>
      <x:c r="E670" s="14" t="str">
        <x:v>Expansion discovery</x:v>
      </x:c>
      <x:c r="F670" s="17" t="str">
        <x:f>IF(E670="Pilot now",IF(P670&gt;=84,"P1",IF(P670&gt;=72,"P2","P3")),IF(E670="Expansion discovery",IF(Q670&gt;=88,"D1",IF(Q670&gt;=78,"D2","D3")),IF(E670="Later / requirements","L","Legacy")))</x:f>
        <x:v>D2</x:v>
      </x:c>
      <x:c r="G670" s="14" t="str"/>
      <x:c r="H670" s="14" t="str">
        <x:v>Discovery розширення — 2 тижні</x:v>
      </x:c>
      <x:c r="I670" s="16" t="n">
        <x:v>1</x:v>
      </x:c>
      <x:c r="J670" s="16" t="n">
        <x:v>5</x:v>
      </x:c>
      <x:c r="K670" s="16" t="n">
        <x:v>4</x:v>
      </x:c>
      <x:c r="L670" s="16" t="n">
        <x:v>1</x:v>
      </x:c>
      <x:c r="M670" s="16" t="n">
        <x:v>5</x:v>
      </x:c>
      <x:c r="N670" s="16" t="n">
        <x:v>3</x:v>
      </x:c>
      <x:c r="O670" s="16" t="n">
        <x:v>5</x:v>
      </x:c>
      <x:c r="P670" s="16" t="n">
        <x:f>IF(COUNT(I670:O670)&lt;7,"",I670*8+J670*3+K670*2+L670*2+M670*2+N670*2+O670)</x:f>
        <x:v>54</x:v>
      </x:c>
      <x:c r="Q670" s="16" t="n">
        <x:f>IF(COUNT(J670:O670)&lt;6,"",J670*5+K670*4+M670*4+L670*3+N670*2+O670*2)</x:f>
        <x:v>80</x:v>
      </x:c>
      <x:c r="R670" s="14" t="str">
        <x:v>high</x:v>
      </x:c>
      <x:c r="S670" s="14" t="str">
        <x:v>official_prozorro_award_2025_2026</x:v>
      </x:c>
      <x:c r="T670" s="14" t="str">
        <x:v>official_prozorro_api</x:v>
      </x:c>
      <x:c r="U670" s="14" t="str">
        <x:v>Не контактували</x:v>
      </x:c>
      <x:c r="V670" s="15" t="str">
        <x:v>Workflow-audit outreach по UA-2026-07-08-007601-a; попросити 1 пакет здачі та вимоги проєкту</x:v>
      </x:c>
      <x:c r="W670" s="15" t="str">
        <x:v>Власник / виконавець; відповідальний за договір</x:v>
      </x:c>
      <x:c r="X670" s="15" t="str">
        <x:v>1 підтверджених перемог/договорів у Prozorro на 35 778 грн; 1 проєктів зі строком виконання не раніше 24.08.2026.</x:v>
      </x:c>
      <x:c r="Y670" s="15" t="str">
        <x:v>Авторський нагляд на об'єкті: "Реконструкція із заміною теплової мережі по вул. Привокзальна площа,5, м.Ірпінь; строк до 2026-09-30. Попросити один знеособлений пакет здачі за цим workflow.</x:v>
      </x:c>
      <x:c r="Z670" s="15" t="str">
        <x:v>https://prozorro.gov.ua/tender/UA-2026-07-08-007601-a</x:v>
      </x:c>
      <x:c r="AA670" s="14" t="str">
        <x:v>3313601482</x:v>
      </x:c>
      <x:c r="AB670" s="14" t="str">
        <x:v>2026-08-24</x:v>
      </x:c>
      <x:c r="AC670" s="14" t="str"/>
      <x:c r="AD670" s="20" t="str"/>
      <x:c r="AE670" s="14" t="str"/>
      <x:c r="AF670" s="14" t="n">
        <x:v>43</x:v>
      </x:c>
      <x:c r="AG670" s="14" t="str">
        <x:v>I3</x:v>
      </x:c>
      <x:c r="AH670" s="14" t="n">
        <x:v>1</x:v>
      </x:c>
      <x:c r="AI670" s="14" t="n">
        <x:v>1</x:v>
      </x:c>
      <x:c r="AJ670" s="18" t="n">
        <x:v>35778</x:v>
      </x:c>
      <x:c r="AK670" s="14" t="str">
        <x:v>https://prozorro.gov.ua/tender/UA-2026-07-08-007601-a</x:v>
      </x:c>
      <x:c r="AL670" s="19" t="n">
        <x:v>46211.4903653125</x:v>
      </x:c>
      <x:c r="AM670" s="19" t="n">
        <x:v>46295</x:v>
      </x:c>
      <x:c r="AN670" s="15" t="str">
        <x:v>Теплові мережі</x:v>
      </x:c>
      <x:c r="AO670" s="15" t="str">
        <x:v>not_found_in_top_search</x:v>
      </x:c>
    </x:row>
    <x:row r="671">
      <x:c r="A671" s="14" t="str">
        <x:v>W3-399</x:v>
      </x:c>
      <x:c r="B671" s="14" t="str">
        <x:v>Prozorro winners — 24.08</x:v>
      </x:c>
      <x:c r="C671" s="14" t="str">
        <x:v>ФОП Мрака Олеся Богданівна</x:v>
      </x:c>
      <x:c r="D671" s="14" t="str">
        <x:v>Безпека / СКУД / CCTV</x:v>
      </x:c>
      <x:c r="E671" s="14" t="str">
        <x:v>Expansion discovery</x:v>
      </x:c>
      <x:c r="F671" s="17" t="str">
        <x:f>IF(E671="Pilot now",IF(P671&gt;=84,"P1",IF(P671&gt;=72,"P2","P3")),IF(E671="Expansion discovery",IF(Q671&gt;=88,"D1",IF(Q671&gt;=78,"D2","D3")),IF(E671="Later / requirements","L","Legacy")))</x:f>
        <x:v>D2</x:v>
      </x:c>
      <x:c r="G671" s="14" t="str"/>
      <x:c r="H671" s="14" t="str">
        <x:v>Discovery розширення — 2 тижні</x:v>
      </x:c>
      <x:c r="I671" s="16" t="n">
        <x:v>1</x:v>
      </x:c>
      <x:c r="J671" s="16" t="n">
        <x:v>5</x:v>
      </x:c>
      <x:c r="K671" s="16" t="n">
        <x:v>4</x:v>
      </x:c>
      <x:c r="L671" s="16" t="n">
        <x:v>1</x:v>
      </x:c>
      <x:c r="M671" s="16" t="n">
        <x:v>5</x:v>
      </x:c>
      <x:c r="N671" s="16" t="n">
        <x:v>3</x:v>
      </x:c>
      <x:c r="O671" s="16" t="n">
        <x:v>5</x:v>
      </x:c>
      <x:c r="P671" s="16" t="n">
        <x:f>IF(COUNT(I671:O671)&lt;7,"",I671*8+J671*3+K671*2+L671*2+M671*2+N671*2+O671)</x:f>
        <x:v>54</x:v>
      </x:c>
      <x:c r="Q671" s="16" t="n">
        <x:f>IF(COUNT(J671:O671)&lt;6,"",J671*5+K671*4+M671*4+L671*3+N671*2+O671*2)</x:f>
        <x:v>80</x:v>
      </x:c>
      <x:c r="R671" s="14" t="str">
        <x:v>high</x:v>
      </x:c>
      <x:c r="S671" s="14" t="str">
        <x:v>official_prozorro_award_2025_2026</x:v>
      </x:c>
      <x:c r="T671" s="14" t="str">
        <x:v>official_prozorro_api</x:v>
      </x:c>
      <x:c r="U671" s="14" t="str">
        <x:v>Не контактували</x:v>
      </x:c>
      <x:c r="V671" s="15" t="str">
        <x:v>Workflow-audit outreach по UA-2026-06-05-005357-a; попросити 1 пакет здачі та вимоги проєкту</x:v>
      </x:c>
      <x:c r="W671" s="15" t="str">
        <x:v>Власник / виконавець; відповідальний за договір</x:v>
      </x:c>
      <x:c r="X671" s="15" t="str">
        <x:v>1 підтверджених перемог/договорів у Prozorro на 35 514 грн; 1 проєктів зі строком виконання не раніше 24.08.2026.</x:v>
      </x:c>
      <x:c r="Y671" s="15" t="str">
        <x:v>Послуги з монтажу, встановлення та налаштування системи контролю доступу (аудіодомофону) у Закладі дошкільної освіти № 188, що знаходиться за адресою: м. Львів, вул. Сміливих, 26; строк до 2026-12-31. Попросити один знеособлений пакет здачі за цим workflow.</x:v>
      </x:c>
      <x:c r="Z671" s="15" t="str">
        <x:v>https://prozorro.gov.ua/tender/UA-2026-06-05-005357-a</x:v>
      </x:c>
      <x:c r="AA671" s="14" t="str">
        <x:v>3222204349</x:v>
      </x:c>
      <x:c r="AB671" s="14" t="str">
        <x:v>2026-08-24</x:v>
      </x:c>
      <x:c r="AC671" s="14" t="str"/>
      <x:c r="AD671" s="20" t="str"/>
      <x:c r="AE671" s="14" t="str"/>
      <x:c r="AF671" s="14" t="n">
        <x:v>43</x:v>
      </x:c>
      <x:c r="AG671" s="14" t="str">
        <x:v>I3</x:v>
      </x:c>
      <x:c r="AH671" s="14" t="n">
        <x:v>1</x:v>
      </x:c>
      <x:c r="AI671" s="14" t="n">
        <x:v>1</x:v>
      </x:c>
      <x:c r="AJ671" s="18" t="n">
        <x:v>35514</x:v>
      </x:c>
      <x:c r="AK671" s="14" t="str">
        <x:v>https://prozorro.gov.ua/tender/UA-2026-06-05-005357-a</x:v>
      </x:c>
      <x:c r="AL671" s="19" t="n">
        <x:v>46178.372875706016</x:v>
      </x:c>
      <x:c r="AM671" s="19" t="n">
        <x:v>46387</x:v>
      </x:c>
      <x:c r="AN671" s="15" t="str">
        <x:v>Безпека / СКУД / CCTV</x:v>
      </x:c>
      <x:c r="AO671" s="15" t="str">
        <x:v>not_found_in_top_search</x:v>
      </x:c>
    </x:row>
    <x:row r="672">
      <x:c r="A672" s="14" t="str">
        <x:v>W3-400</x:v>
      </x:c>
      <x:c r="B672" s="14" t="str">
        <x:v>Prozorro winners — 24.08</x:v>
      </x:c>
      <x:c r="C672" s="14" t="str">
        <x:v>ТИЧИНА СЕРГІЙ МИКОЛАЙОВИЧ</x:v>
      </x:c>
      <x:c r="D672" s="14" t="str">
        <x:v>Промисловий холод</x:v>
      </x:c>
      <x:c r="E672" s="14" t="str">
        <x:v>Expansion discovery</x:v>
      </x:c>
      <x:c r="F672" s="17" t="str">
        <x:f>IF(E672="Pilot now",IF(P672&gt;=84,"P1",IF(P672&gt;=72,"P2","P3")),IF(E672="Expansion discovery",IF(Q672&gt;=88,"D1",IF(Q672&gt;=78,"D2","D3")),IF(E672="Later / requirements","L","Legacy")))</x:f>
        <x:v>D2</x:v>
      </x:c>
      <x:c r="G672" s="14" t="str"/>
      <x:c r="H672" s="14" t="str">
        <x:v>Discovery розширення — 2 тижні</x:v>
      </x:c>
      <x:c r="I672" s="16" t="n">
        <x:v>1</x:v>
      </x:c>
      <x:c r="J672" s="16" t="n">
        <x:v>5</x:v>
      </x:c>
      <x:c r="K672" s="16" t="n">
        <x:v>4</x:v>
      </x:c>
      <x:c r="L672" s="16" t="n">
        <x:v>1</x:v>
      </x:c>
      <x:c r="M672" s="16" t="n">
        <x:v>5</x:v>
      </x:c>
      <x:c r="N672" s="16" t="n">
        <x:v>3</x:v>
      </x:c>
      <x:c r="O672" s="16" t="n">
        <x:v>5</x:v>
      </x:c>
      <x:c r="P672" s="16" t="n">
        <x:f>IF(COUNT(I672:O672)&lt;7,"",I672*8+J672*3+K672*2+L672*2+M672*2+N672*2+O672)</x:f>
        <x:v>54</x:v>
      </x:c>
      <x:c r="Q672" s="16" t="n">
        <x:f>IF(COUNT(J672:O672)&lt;6,"",J672*5+K672*4+M672*4+L672*3+N672*2+O672*2)</x:f>
        <x:v>80</x:v>
      </x:c>
      <x:c r="R672" s="14" t="str">
        <x:v>high</x:v>
      </x:c>
      <x:c r="S672" s="14" t="str">
        <x:v>official_prozorro_award_2025_2026</x:v>
      </x:c>
      <x:c r="T672" s="14" t="str">
        <x:v>official_prozorro_api</x:v>
      </x:c>
      <x:c r="U672" s="14" t="str">
        <x:v>Не контактували</x:v>
      </x:c>
      <x:c r="V672" s="15" t="str">
        <x:v>Workflow-audit outreach по UA-2026-07-06-007484-a; попросити 1 пакет здачі та вимоги проєкту</x:v>
      </x:c>
      <x:c r="W672" s="15" t="str">
        <x:v>Власник / виконавець; відповідальний за договір</x:v>
      </x:c>
      <x:c r="X672" s="15" t="str">
        <x:v>1 підтверджених перемог/договорів у Prozorro на 32 770 грн; 1 проєктів зі строком виконання не раніше 24.08.2026.</x:v>
      </x:c>
      <x:c r="Y672" s="15" t="str">
        <x:v>Послуги з технічного обслуговування та поточного ремонту обладнання: монтаж кондиціонера з витратними матеріалами, дозаправка кондиціонера фреоном, за 100г, ремонт кондиціонера, чистка зовнішнього блоку кондиціонера без розбирання, чистка внутрішнього блоку кондиціонера з розбиранням та обробкою протигрибковими засобами, ремонт мотора вентилятора конденсатора холодильної камери, чистка холодильної камери без розбираня, згідно  коду ДК 021:2015 50730000-1Послуги з ремонту і технічного обслуговування охолоджувальних установок.; строк до 2026-12-31. Попросити один знеособлений пакет здачі за цим workflow.</x:v>
      </x:c>
      <x:c r="Z672" s="15" t="str">
        <x:v>https://prozorro.gov.ua/tender/UA-2026-07-06-007484-a</x:v>
      </x:c>
      <x:c r="AA672" s="14" t="str">
        <x:v>2750313610</x:v>
      </x:c>
      <x:c r="AB672" s="14" t="str">
        <x:v>2026-08-24</x:v>
      </x:c>
      <x:c r="AC672" s="14" t="str"/>
      <x:c r="AD672" s="20" t="str"/>
      <x:c r="AE672" s="14" t="str"/>
      <x:c r="AF672" s="14" t="n">
        <x:v>43</x:v>
      </x:c>
      <x:c r="AG672" s="14" t="str">
        <x:v>I3</x:v>
      </x:c>
      <x:c r="AH672" s="14" t="n">
        <x:v>1</x:v>
      </x:c>
      <x:c r="AI672" s="14" t="n">
        <x:v>1</x:v>
      </x:c>
      <x:c r="AJ672" s="18" t="n">
        <x:v>32770</x:v>
      </x:c>
      <x:c r="AK672" s="14" t="str">
        <x:v>https://prozorro.gov.ua/tender/UA-2026-07-06-007484-a</x:v>
      </x:c>
      <x:c r="AL672" s="19" t="n">
        <x:v>46209.51092287037</x:v>
      </x:c>
      <x:c r="AM672" s="19" t="n">
        <x:v>46387</x:v>
      </x:c>
      <x:c r="AN672" s="15" t="str">
        <x:v>Промисловий холод</x:v>
      </x:c>
      <x:c r="AO672" s="15" t="str">
        <x:v>not_found_in_top_search</x:v>
      </x:c>
    </x:row>
    <x:row r="673">
      <x:c r="A673" s="14" t="str">
        <x:v>W3-401</x:v>
      </x:c>
      <x:c r="B673" s="14" t="str">
        <x:v>Prozorro winners — 24.08</x:v>
      </x:c>
      <x:c r="C673" s="14" t="str">
        <x:v>Іванець Дмитро Ігорович</x:v>
      </x:c>
      <x:c r="D673" s="14" t="str">
        <x:v>Сонячна енергетика</x:v>
      </x:c>
      <x:c r="E673" s="14" t="str">
        <x:v>Expansion discovery</x:v>
      </x:c>
      <x:c r="F673" s="17" t="str">
        <x:f>IF(E673="Pilot now",IF(P673&gt;=84,"P1",IF(P673&gt;=72,"P2","P3")),IF(E673="Expansion discovery",IF(Q673&gt;=88,"D1",IF(Q673&gt;=78,"D2","D3")),IF(E673="Later / requirements","L","Legacy")))</x:f>
        <x:v>D2</x:v>
      </x:c>
      <x:c r="G673" s="14" t="str"/>
      <x:c r="H673" s="14" t="str">
        <x:v>Discovery розширення — 2 тижні</x:v>
      </x:c>
      <x:c r="I673" s="16" t="n">
        <x:v>1</x:v>
      </x:c>
      <x:c r="J673" s="16" t="n">
        <x:v>5</x:v>
      </x:c>
      <x:c r="K673" s="16" t="n">
        <x:v>4</x:v>
      </x:c>
      <x:c r="L673" s="16" t="n">
        <x:v>1</x:v>
      </x:c>
      <x:c r="M673" s="16" t="n">
        <x:v>5</x:v>
      </x:c>
      <x:c r="N673" s="16" t="n">
        <x:v>3</x:v>
      </x:c>
      <x:c r="O673" s="16" t="n">
        <x:v>5</x:v>
      </x:c>
      <x:c r="P673" s="16" t="n">
        <x:f>IF(COUNT(I673:O673)&lt;7,"",I673*8+J673*3+K673*2+L673*2+M673*2+N673*2+O673)</x:f>
        <x:v>54</x:v>
      </x:c>
      <x:c r="Q673" s="16" t="n">
        <x:f>IF(COUNT(J673:O673)&lt;6,"",J673*5+K673*4+M673*4+L673*3+N673*2+O673*2)</x:f>
        <x:v>80</x:v>
      </x:c>
      <x:c r="R673" s="14" t="str">
        <x:v>high</x:v>
      </x:c>
      <x:c r="S673" s="14" t="str">
        <x:v>official_prozorro_award_2025_2026</x:v>
      </x:c>
      <x:c r="T673" s="14" t="str">
        <x:v>official_prozorro_api</x:v>
      </x:c>
      <x:c r="U673" s="14" t="str">
        <x:v>Не контактували</x:v>
      </x:c>
      <x:c r="V673" s="15" t="str">
        <x:v>Workflow-audit outreach по UA-2026-06-02-000725-a; попросити 1 пакет здачі та вимоги проєкту</x:v>
      </x:c>
      <x:c r="W673" s="15" t="str">
        <x:v>Власник / виконавець; відповідальний за договір</x:v>
      </x:c>
      <x:c r="X673" s="15" t="str">
        <x:v>1 підтверджених перемог/договорів у Prozorro на 27 693 грн; 1 проєктів зі строком виконання не раніше 24.08.2026.</x:v>
      </x:c>
      <x:c r="Y673" s="15" t="str">
        <x:v>Технічний нагляд по об’єкту: «Нове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 строк до 2026-08-31. Попросити один знеособлений пакет здачі за цим workflow.</x:v>
      </x:c>
      <x:c r="Z673" s="15" t="str">
        <x:v>https://prozorro.gov.ua/tender/UA-2026-06-02-000725-a</x:v>
      </x:c>
      <x:c r="AA673" s="14" t="str">
        <x:v>3097011118</x:v>
      </x:c>
      <x:c r="AB673" s="14" t="str">
        <x:v>2026-08-24</x:v>
      </x:c>
      <x:c r="AC673" s="14" t="str"/>
      <x:c r="AD673" s="20" t="str"/>
      <x:c r="AE673" s="14" t="str"/>
      <x:c r="AF673" s="14" t="n">
        <x:v>43</x:v>
      </x:c>
      <x:c r="AG673" s="14" t="str">
        <x:v>I3</x:v>
      </x:c>
      <x:c r="AH673" s="14" t="n">
        <x:v>1</x:v>
      </x:c>
      <x:c r="AI673" s="14" t="n">
        <x:v>1</x:v>
      </x:c>
      <x:c r="AJ673" s="18" t="n">
        <x:v>27693</x:v>
      </x:c>
      <x:c r="AK673" s="14" t="str">
        <x:v>https://prozorro.gov.ua/tender/UA-2026-06-02-000725-a</x:v>
      </x:c>
      <x:c r="AL673" s="19" t="n">
        <x:v>46175.26477175926</x:v>
      </x:c>
      <x:c r="AM673" s="19" t="n">
        <x:v>46265</x:v>
      </x:c>
      <x:c r="AN673" s="15" t="str">
        <x:v>Сонячна енергетика</x:v>
      </x:c>
      <x:c r="AO673" s="15" t="str">
        <x:v>not_found_in_top_search</x:v>
      </x:c>
    </x:row>
    <x:row r="674">
      <x:c r="A674" s="14" t="str">
        <x:v>W3-402</x:v>
      </x:c>
      <x:c r="B674" s="14" t="str">
        <x:v>Prozorro winners — 24.08</x:v>
      </x:c>
      <x:c r="C674" s="14" t="str">
        <x:v>ФОП Корабельський Дмитро Володимирович</x:v>
      </x:c>
      <x:c r="D674" s="14" t="str">
        <x:v>Безпека / СКУД / CCTV</x:v>
      </x:c>
      <x:c r="E674" s="14" t="str">
        <x:v>Expansion discovery</x:v>
      </x:c>
      <x:c r="F674" s="17" t="str">
        <x:f>IF(E674="Pilot now",IF(P674&gt;=84,"P1",IF(P674&gt;=72,"P2","P3")),IF(E674="Expansion discovery",IF(Q674&gt;=88,"D1",IF(Q674&gt;=78,"D2","D3")),IF(E674="Later / requirements","L","Legacy")))</x:f>
        <x:v>D2</x:v>
      </x:c>
      <x:c r="G674" s="14" t="str"/>
      <x:c r="H674" s="14" t="str">
        <x:v>Discovery розширення — 2 тижні</x:v>
      </x:c>
      <x:c r="I674" s="16" t="n">
        <x:v>1</x:v>
      </x:c>
      <x:c r="J674" s="16" t="n">
        <x:v>5</x:v>
      </x:c>
      <x:c r="K674" s="16" t="n">
        <x:v>4</x:v>
      </x:c>
      <x:c r="L674" s="16" t="n">
        <x:v>1</x:v>
      </x:c>
      <x:c r="M674" s="16" t="n">
        <x:v>5</x:v>
      </x:c>
      <x:c r="N674" s="16" t="n">
        <x:v>3</x:v>
      </x:c>
      <x:c r="O674" s="16" t="n">
        <x:v>5</x:v>
      </x:c>
      <x:c r="P674" s="16" t="n">
        <x:f>IF(COUNT(I674:O674)&lt;7,"",I674*8+J674*3+K674*2+L674*2+M674*2+N674*2+O674)</x:f>
        <x:v>54</x:v>
      </x:c>
      <x:c r="Q674" s="16" t="n">
        <x:f>IF(COUNT(J674:O674)&lt;6,"",J674*5+K674*4+M674*4+L674*3+N674*2+O674*2)</x:f>
        <x:v>80</x:v>
      </x:c>
      <x:c r="R674" s="14" t="str">
        <x:v>high</x:v>
      </x:c>
      <x:c r="S674" s="14" t="str">
        <x:v>official_prozorro_award_2025_2026</x:v>
      </x:c>
      <x:c r="T674" s="14" t="str">
        <x:v>official_prozorro_api</x:v>
      </x:c>
      <x:c r="U674" s="14" t="str">
        <x:v>Не контактували</x:v>
      </x:c>
      <x:c r="V674" s="15" t="str">
        <x:v>Workflow-audit outreach по UA-2026-06-12-000137-a; попросити 1 пакет здачі та вимоги проєкту</x:v>
      </x:c>
      <x:c r="W674" s="15" t="str">
        <x:v>Власник / виконавець; відповідальний за договір</x:v>
      </x:c>
      <x:c r="X674" s="15" t="str">
        <x:v>1 підтверджених перемог/договорів у Prozorro на 24 175 грн; 1 проєктів зі строком виконання не раніше 24.08.2026.</x:v>
      </x:c>
      <x:c r="Y674" s="15" t="str">
        <x:v>Послуги з монтажу та налаштування системи відеоспостереження; строк до 2026-12-31. Попросити один знеособлений пакет здачі за цим workflow.</x:v>
      </x:c>
      <x:c r="Z674" s="15" t="str">
        <x:v>https://prozorro.gov.ua/tender/UA-2026-06-12-000137-a</x:v>
      </x:c>
      <x:c r="AA674" s="14" t="str">
        <x:v>3742802693</x:v>
      </x:c>
      <x:c r="AB674" s="14" t="str">
        <x:v>2026-08-24</x:v>
      </x:c>
      <x:c r="AC674" s="14" t="str"/>
      <x:c r="AD674" s="20" t="str"/>
      <x:c r="AE674" s="14" t="str"/>
      <x:c r="AF674" s="14" t="n">
        <x:v>43</x:v>
      </x:c>
      <x:c r="AG674" s="14" t="str">
        <x:v>I3</x:v>
      </x:c>
      <x:c r="AH674" s="14" t="n">
        <x:v>1</x:v>
      </x:c>
      <x:c r="AI674" s="14" t="n">
        <x:v>1</x:v>
      </x:c>
      <x:c r="AJ674" s="18" t="n">
        <x:v>24175</x:v>
      </x:c>
      <x:c r="AK674" s="14" t="str">
        <x:v>https://prozorro.gov.ua/tender/UA-2026-06-12-000137-a</x:v>
      </x:c>
      <x:c r="AL674" s="19" t="n">
        <x:v>46188.548678541665</x:v>
      </x:c>
      <x:c r="AM674" s="19" t="n">
        <x:v>46387.26008101852</x:v>
      </x:c>
      <x:c r="AN674" s="15" t="str">
        <x:v>Безпека / СКУД / CCTV</x:v>
      </x:c>
      <x:c r="AO674" s="15" t="str">
        <x:v>not_found_in_top_search</x:v>
      </x:c>
    </x:row>
    <x:row r="675">
      <x:c r="A675" s="14" t="str">
        <x:v>W3-403</x:v>
      </x:c>
      <x:c r="B675" s="14" t="str">
        <x:v>Prozorro winners — 24.08</x:v>
      </x:c>
      <x:c r="C675" s="14" t="str">
        <x:v>ІВАНДЮК ВІКТОР ВАСИЛЬОВИЧ</x:v>
      </x:c>
      <x:c r="D675" s="14" t="str">
        <x:v>Водоочищення / очисні споруди</x:v>
      </x:c>
      <x:c r="E675" s="14" t="str">
        <x:v>Expansion discovery</x:v>
      </x:c>
      <x:c r="F675" s="17" t="str">
        <x:f>IF(E675="Pilot now",IF(P675&gt;=84,"P1",IF(P675&gt;=72,"P2","P3")),IF(E675="Expansion discovery",IF(Q675&gt;=88,"D1",IF(Q675&gt;=78,"D2","D3")),IF(E675="Later / requirements","L","Legacy")))</x:f>
        <x:v>D2</x:v>
      </x:c>
      <x:c r="G675" s="14" t="str"/>
      <x:c r="H675" s="14" t="str">
        <x:v>Discovery розширення — 2 тижні</x:v>
      </x:c>
      <x:c r="I675" s="16" t="n">
        <x:v>1</x:v>
      </x:c>
      <x:c r="J675" s="16" t="n">
        <x:v>5</x:v>
      </x:c>
      <x:c r="K675" s="16" t="n">
        <x:v>4</x:v>
      </x:c>
      <x:c r="L675" s="16" t="n">
        <x:v>1</x:v>
      </x:c>
      <x:c r="M675" s="16" t="n">
        <x:v>5</x:v>
      </x:c>
      <x:c r="N675" s="16" t="n">
        <x:v>3</x:v>
      </x:c>
      <x:c r="O675" s="16" t="n">
        <x:v>5</x:v>
      </x:c>
      <x:c r="P675" s="16" t="n">
        <x:f>IF(COUNT(I675:O675)&lt;7,"",I675*8+J675*3+K675*2+L675*2+M675*2+N675*2+O675)</x:f>
        <x:v>54</x:v>
      </x:c>
      <x:c r="Q675" s="16" t="n">
        <x:f>IF(COUNT(J675:O675)&lt;6,"",J675*5+K675*4+M675*4+L675*3+N675*2+O675*2)</x:f>
        <x:v>80</x:v>
      </x:c>
      <x:c r="R675" s="14" t="str">
        <x:v>high</x:v>
      </x:c>
      <x:c r="S675" s="14" t="str">
        <x:v>official_prozorro_award_2025_2026</x:v>
      </x:c>
      <x:c r="T675" s="14" t="str">
        <x:v>official_prozorro_api</x:v>
      </x:c>
      <x:c r="U675" s="14" t="str">
        <x:v>Не контактували</x:v>
      </x:c>
      <x:c r="V675" s="15" t="str">
        <x:v>Workflow-audit outreach по UA-2026-07-01-007304-a; попросити 1 пакет здачі та вимоги проєкту</x:v>
      </x:c>
      <x:c r="W675" s="15" t="str">
        <x:v>Власник / виконавець; відповідальний за договір</x:v>
      </x:c>
      <x:c r="X675" s="15" t="str">
        <x:v>1 підтверджених перемог/договорів у Prozorro на 22 902 грн; 1 проєктів зі строком виконання не раніше 24.08.2026.</x:v>
      </x:c>
      <x:c r="Y675" s="15" t="str">
        <x:v>Комплекс робіт по інженерно геодезичним вишукуванням на об*єкті "Реконструкція очисних споруд в м. Бобринець Кіровоградської області".; строк до 2026-12-31. Попросити один знеособлений пакет здачі за цим workflow.</x:v>
      </x:c>
      <x:c r="Z675" s="15" t="str">
        <x:v>https://prozorro.gov.ua/tender/UA-2026-07-01-007304-a</x:v>
      </x:c>
      <x:c r="AA675" s="14" t="str">
        <x:v>3028818933</x:v>
      </x:c>
      <x:c r="AB675" s="14" t="str">
        <x:v>2026-08-24</x:v>
      </x:c>
      <x:c r="AC675" s="14" t="str"/>
      <x:c r="AD675" s="20" t="str"/>
      <x:c r="AE675" s="14" t="str"/>
      <x:c r="AF675" s="14" t="n">
        <x:v>43</x:v>
      </x:c>
      <x:c r="AG675" s="14" t="str">
        <x:v>I3</x:v>
      </x:c>
      <x:c r="AH675" s="14" t="n">
        <x:v>1</x:v>
      </x:c>
      <x:c r="AI675" s="14" t="n">
        <x:v>1</x:v>
      </x:c>
      <x:c r="AJ675" s="18" t="n">
        <x:v>22902.06</x:v>
      </x:c>
      <x:c r="AK675" s="14" t="str">
        <x:v>https://prozorro.gov.ua/tender/UA-2026-07-01-007304-a</x:v>
      </x:c>
      <x:c r="AL675" s="19" t="n">
        <x:v>46204.518439074076</x:v>
      </x:c>
      <x:c r="AM675" s="19" t="n">
        <x:v>46387</x:v>
      </x:c>
      <x:c r="AN675" s="15" t="str">
        <x:v>Водоочищення / очисні споруди</x:v>
      </x:c>
      <x:c r="AO675" s="15" t="str">
        <x:v>not_found_in_top_search</x:v>
      </x:c>
    </x:row>
    <x:row r="676">
      <x:c r="A676" s="14" t="str">
        <x:v>W3-404</x:v>
      </x:c>
      <x:c r="B676" s="14" t="str">
        <x:v>Prozorro winners — 24.08</x:v>
      </x:c>
      <x:c r="C676" s="14" t="str">
        <x:v>ФОП Роман Віталій Васильович</x:v>
      </x:c>
      <x:c r="D676" s="14" t="str">
        <x:v>Безпека / СКУД / CCTV</x:v>
      </x:c>
      <x:c r="E676" s="14" t="str">
        <x:v>Expansion discovery</x:v>
      </x:c>
      <x:c r="F676" s="17" t="str">
        <x:f>IF(E676="Pilot now",IF(P676&gt;=84,"P1",IF(P676&gt;=72,"P2","P3")),IF(E676="Expansion discovery",IF(Q676&gt;=88,"D1",IF(Q676&gt;=78,"D2","D3")),IF(E676="Later / requirements","L","Legacy")))</x:f>
        <x:v>D2</x:v>
      </x:c>
      <x:c r="G676" s="14" t="str"/>
      <x:c r="H676" s="14" t="str">
        <x:v>Discovery розширення — 2 тижні</x:v>
      </x:c>
      <x:c r="I676" s="16" t="n">
        <x:v>1</x:v>
      </x:c>
      <x:c r="J676" s="16" t="n">
        <x:v>5</x:v>
      </x:c>
      <x:c r="K676" s="16" t="n">
        <x:v>4</x:v>
      </x:c>
      <x:c r="L676" s="16" t="n">
        <x:v>1</x:v>
      </x:c>
      <x:c r="M676" s="16" t="n">
        <x:v>5</x:v>
      </x:c>
      <x:c r="N676" s="16" t="n">
        <x:v>3</x:v>
      </x:c>
      <x:c r="O676" s="16" t="n">
        <x:v>5</x:v>
      </x:c>
      <x:c r="P676" s="16" t="n">
        <x:f>IF(COUNT(I676:O676)&lt;7,"",I676*8+J676*3+K676*2+L676*2+M676*2+N676*2+O676)</x:f>
        <x:v>54</x:v>
      </x:c>
      <x:c r="Q676" s="16" t="n">
        <x:f>IF(COUNT(J676:O676)&lt;6,"",J676*5+K676*4+M676*4+L676*3+N676*2+O676*2)</x:f>
        <x:v>80</x:v>
      </x:c>
      <x:c r="R676" s="14" t="str">
        <x:v>high</x:v>
      </x:c>
      <x:c r="S676" s="14" t="str">
        <x:v>official_prozorro_award_2025_2026</x:v>
      </x:c>
      <x:c r="T676" s="14" t="str">
        <x:v>official_prozorro_api</x:v>
      </x:c>
      <x:c r="U676" s="14" t="str">
        <x:v>Не контактували</x:v>
      </x:c>
      <x:c r="V676" s="15" t="str">
        <x:v>Workflow-audit outreach по UA-2026-05-07-012002-a; попросити 1 пакет здачі та вимоги проєкту</x:v>
      </x:c>
      <x:c r="W676" s="15" t="str">
        <x:v>Власник / виконавець; відповідальний за договір</x:v>
      </x:c>
      <x:c r="X676" s="15" t="str">
        <x:v>1 підтверджених перемог/договорів у Prozorro на 21 825 грн; 1 проєктів зі строком виконання не раніше 24.08.2026.</x:v>
      </x:c>
      <x:c r="Y676" s="15" t="str">
        <x:v>Послуги з монтажу системи контролю доступу; строк до 2026-12-31. Попросити один знеособлений пакет здачі за цим workflow.</x:v>
      </x:c>
      <x:c r="Z676" s="15" t="str">
        <x:v>https://prozorro.gov.ua/tender/UA-2026-05-07-012002-a</x:v>
      </x:c>
      <x:c r="AA676" s="14" t="str">
        <x:v>3016409930</x:v>
      </x:c>
      <x:c r="AB676" s="14" t="str">
        <x:v>2026-08-24</x:v>
      </x:c>
      <x:c r="AC676" s="14" t="str"/>
      <x:c r="AD676" s="20" t="str"/>
      <x:c r="AE676" s="14" t="str"/>
      <x:c r="AF676" s="14" t="n">
        <x:v>43</x:v>
      </x:c>
      <x:c r="AG676" s="14" t="str">
        <x:v>I3</x:v>
      </x:c>
      <x:c r="AH676" s="14" t="n">
        <x:v>1</x:v>
      </x:c>
      <x:c r="AI676" s="14" t="n">
        <x:v>1</x:v>
      </x:c>
      <x:c r="AJ676" s="18" t="n">
        <x:v>21825</x:v>
      </x:c>
      <x:c r="AK676" s="14" t="str">
        <x:v>https://prozorro.gov.ua/tender/UA-2026-05-07-012002-a</x:v>
      </x:c>
      <x:c r="AL676" s="19" t="n">
        <x:v>46149.54091869213</x:v>
      </x:c>
      <x:c r="AM676" s="19" t="n">
        <x:v>46387.5783912037</x:v>
      </x:c>
      <x:c r="AN676" s="15" t="str">
        <x:v>Безпека / СКУД / CCTV</x:v>
      </x:c>
      <x:c r="AO676" s="15" t="str">
        <x:v>not_found_in_top_search</x:v>
      </x:c>
    </x:row>
    <x:row r="677">
      <x:c r="A677" s="14" t="str">
        <x:v>W3-405</x:v>
      </x:c>
      <x:c r="B677" s="14" t="str">
        <x:v>Prozorro winners — 24.08</x:v>
      </x:c>
      <x:c r="C677" s="14" t="str">
        <x:v>Фізична особа-підприємець Триндяк Богдан Григорович</x:v>
      </x:c>
      <x:c r="D677" s="14" t="str">
        <x:v>Водоочищення / очисні споруди</x:v>
      </x:c>
      <x:c r="E677" s="14" t="str">
        <x:v>Expansion discovery</x:v>
      </x:c>
      <x:c r="F677" s="17" t="str">
        <x:f>IF(E677="Pilot now",IF(P677&gt;=84,"P1",IF(P677&gt;=72,"P2","P3")),IF(E677="Expansion discovery",IF(Q677&gt;=88,"D1",IF(Q677&gt;=78,"D2","D3")),IF(E677="Later / requirements","L","Legacy")))</x:f>
        <x:v>D2</x:v>
      </x:c>
      <x:c r="G677" s="14" t="str"/>
      <x:c r="H677" s="14" t="str">
        <x:v>Discovery розширення — 2 тижні</x:v>
      </x:c>
      <x:c r="I677" s="16" t="n">
        <x:v>1</x:v>
      </x:c>
      <x:c r="J677" s="16" t="n">
        <x:v>5</x:v>
      </x:c>
      <x:c r="K677" s="16" t="n">
        <x:v>4</x:v>
      </x:c>
      <x:c r="L677" s="16" t="n">
        <x:v>1</x:v>
      </x:c>
      <x:c r="M677" s="16" t="n">
        <x:v>5</x:v>
      </x:c>
      <x:c r="N677" s="16" t="n">
        <x:v>3</x:v>
      </x:c>
      <x:c r="O677" s="16" t="n">
        <x:v>5</x:v>
      </x:c>
      <x:c r="P677" s="16" t="n">
        <x:f>IF(COUNT(I677:O677)&lt;7,"",I677*8+J677*3+K677*2+L677*2+M677*2+N677*2+O677)</x:f>
        <x:v>54</x:v>
      </x:c>
      <x:c r="Q677" s="16" t="n">
        <x:f>IF(COUNT(J677:O677)&lt;6,"",J677*5+K677*4+M677*4+L677*3+N677*2+O677*2)</x:f>
        <x:v>80</x:v>
      </x:c>
      <x:c r="R677" s="14" t="str">
        <x:v>high</x:v>
      </x:c>
      <x:c r="S677" s="14" t="str">
        <x:v>official_prozorro_award_2025_2026</x:v>
      </x:c>
      <x:c r="T677" s="14" t="str">
        <x:v>official_prozorro_api</x:v>
      </x:c>
      <x:c r="U677" s="14" t="str">
        <x:v>Не контактували</x:v>
      </x:c>
      <x:c r="V677" s="15" t="str">
        <x:v>Workflow-audit outreach по UA-2026-06-30-005646-a; попросити 1 пакет здачі та вимоги проєкту</x:v>
      </x:c>
      <x:c r="W677" s="15" t="str">
        <x:v>Власник / виконавець; відповідальний за договір</x:v>
      </x:c>
      <x:c r="X677" s="15" t="str">
        <x:v>1 підтверджених перемог/договорів у Prozorro на 21 525 грн; 1 проєктів зі строком виконання не раніше 24.08.2026.</x:v>
      </x:c>
      <x:c r="Y677" s="15" t="str">
        <x:v>Здійснення технічного нагляду за будівельними роботами на обєкті "Реконструкція системи електропостачання (встановлення джерела резервного живлення сонячної електростанції ) на будівлі очисних споруд за адресою: вул. Яворницького, 106 м. Сокаль Львівська область"; строк до 2026-12-28. Попросити один знеособлений пакет здачі за цим workflow.</x:v>
      </x:c>
      <x:c r="Z677" s="15" t="str">
        <x:v>https://prozorro.gov.ua/tender/UA-2026-06-30-005646-a</x:v>
      </x:c>
      <x:c r="AA677" s="14" t="str">
        <x:v>2295118973</x:v>
      </x:c>
      <x:c r="AB677" s="14" t="str">
        <x:v>2026-08-24</x:v>
      </x:c>
      <x:c r="AC677" s="14" t="str"/>
      <x:c r="AD677" s="20" t="str"/>
      <x:c r="AE677" s="14" t="str"/>
      <x:c r="AF677" s="14" t="n">
        <x:v>43</x:v>
      </x:c>
      <x:c r="AG677" s="14" t="str">
        <x:v>I3</x:v>
      </x:c>
      <x:c r="AH677" s="14" t="n">
        <x:v>1</x:v>
      </x:c>
      <x:c r="AI677" s="14" t="n">
        <x:v>1</x:v>
      </x:c>
      <x:c r="AJ677" s="18" t="n">
        <x:v>21524.64</x:v>
      </x:c>
      <x:c r="AK677" s="14" t="str">
        <x:v>https://prozorro.gov.ua/tender/UA-2026-06-30-005646-a</x:v>
      </x:c>
      <x:c r="AL677" s="19" t="n">
        <x:v>46203.396445555554</x:v>
      </x:c>
      <x:c r="AM677" s="19" t="n">
        <x:v>46384</x:v>
      </x:c>
      <x:c r="AN677" s="15" t="str">
        <x:v>Водоочищення / очисні споруди</x:v>
      </x:c>
      <x:c r="AO677" s="15" t="str">
        <x:v>not_found_in_top_search</x:v>
      </x:c>
    </x:row>
    <x:row r="678">
      <x:c r="A678" s="14" t="str">
        <x:v>W3-406</x:v>
      </x:c>
      <x:c r="B678" s="14" t="str">
        <x:v>Prozorro winners — 24.08</x:v>
      </x:c>
      <x:c r="C678" s="14" t="str">
        <x:v>ФОП Дорош Ігор Григорович</x:v>
      </x:c>
      <x:c r="D678" s="14" t="str">
        <x:v>Пожежогасіння</x:v>
      </x:c>
      <x:c r="E678" s="14" t="str">
        <x:v>Expansion discovery</x:v>
      </x:c>
      <x:c r="F678" s="17" t="str">
        <x:f>IF(E678="Pilot now",IF(P678&gt;=84,"P1",IF(P678&gt;=72,"P2","P3")),IF(E678="Expansion discovery",IF(Q678&gt;=88,"D1",IF(Q678&gt;=78,"D2","D3")),IF(E678="Later / requirements","L","Legacy")))</x:f>
        <x:v>D2</x:v>
      </x:c>
      <x:c r="G678" s="14" t="str"/>
      <x:c r="H678" s="14" t="str">
        <x:v>Discovery розширення — 2 тижні</x:v>
      </x:c>
      <x:c r="I678" s="16" t="n">
        <x:v>1</x:v>
      </x:c>
      <x:c r="J678" s="16" t="n">
        <x:v>5</x:v>
      </x:c>
      <x:c r="K678" s="16" t="n">
        <x:v>4</x:v>
      </x:c>
      <x:c r="L678" s="16" t="n">
        <x:v>1</x:v>
      </x:c>
      <x:c r="M678" s="16" t="n">
        <x:v>5</x:v>
      </x:c>
      <x:c r="N678" s="16" t="n">
        <x:v>3</x:v>
      </x:c>
      <x:c r="O678" s="16" t="n">
        <x:v>5</x:v>
      </x:c>
      <x:c r="P678" s="16" t="n">
        <x:f>IF(COUNT(I678:O678)&lt;7,"",I678*8+J678*3+K678*2+L678*2+M678*2+N678*2+O678)</x:f>
        <x:v>54</x:v>
      </x:c>
      <x:c r="Q678" s="16" t="n">
        <x:f>IF(COUNT(J678:O678)&lt;6,"",J678*5+K678*4+M678*4+L678*3+N678*2+O678*2)</x:f>
        <x:v>80</x:v>
      </x:c>
      <x:c r="R678" s="14" t="str">
        <x:v>high</x:v>
      </x:c>
      <x:c r="S678" s="14" t="str">
        <x:v>official_prozorro_award_2025_2026</x:v>
      </x:c>
      <x:c r="T678" s="14" t="str">
        <x:v>official_prozorro_api</x:v>
      </x:c>
      <x:c r="U678" s="14" t="str">
        <x:v>Не контактували</x:v>
      </x:c>
      <x:c r="V678" s="15" t="str">
        <x:v>Workflow-audit outreach по UA-2026-07-02-006539-a; попросити 1 пакет здачі та вимоги проєкту</x:v>
      </x:c>
      <x:c r="W678" s="15" t="str">
        <x:v>Власник / виконавець; відповідальний за договір</x:v>
      </x:c>
      <x:c r="X678" s="15" t="str">
        <x:v>1 підтверджених перемог/договорів у Prozorro на 15 870 грн; 1 проєктів зі строком виконання не раніше 24.08.2026.</x:v>
      </x:c>
      <x:c r="Y678" s="15" t="str">
        <x:v>Монтаж та пусконалагоджування системи пожежної сигналізації та системи оповіщення; строк до 2026-12-31. Попросити один знеособлений пакет здачі за цим workflow.</x:v>
      </x:c>
      <x:c r="Z678" s="15" t="str">
        <x:v>https://prozorro.gov.ua/tender/UA-2026-07-02-006539-a</x:v>
      </x:c>
      <x:c r="AA678" s="14" t="str">
        <x:v>2850617657</x:v>
      </x:c>
      <x:c r="AB678" s="14" t="str">
        <x:v>2026-08-24</x:v>
      </x:c>
      <x:c r="AC678" s="14" t="str"/>
      <x:c r="AD678" s="20" t="str"/>
      <x:c r="AE678" s="14" t="str"/>
      <x:c r="AF678" s="14" t="n">
        <x:v>43</x:v>
      </x:c>
      <x:c r="AG678" s="14" t="str">
        <x:v>I3</x:v>
      </x:c>
      <x:c r="AH678" s="14" t="n">
        <x:v>1</x:v>
      </x:c>
      <x:c r="AI678" s="14" t="n">
        <x:v>1</x:v>
      </x:c>
      <x:c r="AJ678" s="18" t="n">
        <x:v>15870.2</x:v>
      </x:c>
      <x:c r="AK678" s="14" t="str">
        <x:v>https://prozorro.gov.ua/tender/UA-2026-07-02-006539-a</x:v>
      </x:c>
      <x:c r="AL678" s="19" t="n">
        <x:v>46205.48432412037</x:v>
      </x:c>
      <x:c r="AM678" s="19" t="n">
        <x:v>46387.52408564815</x:v>
      </x:c>
      <x:c r="AN678" s="15" t="str">
        <x:v>Пожежогасіння</x:v>
      </x:c>
      <x:c r="AO678" s="15" t="str">
        <x:v>not_found_in_top_search</x:v>
      </x:c>
    </x:row>
    <x:row r="679">
      <x:c r="A679" s="14" t="str">
        <x:v>W3-407</x:v>
      </x:c>
      <x:c r="B679" s="14" t="str">
        <x:v>Prozorro winners — 24.08</x:v>
      </x:c>
      <x:c r="C679" s="14" t="str">
        <x:v>ФОП Пюрик Марія Василівна</x:v>
      </x:c>
      <x:c r="D679" s="14" t="str">
        <x:v>Електромонтаж</x:v>
      </x:c>
      <x:c r="E679" s="14" t="str">
        <x:v>Pilot now</x:v>
      </x:c>
      <x:c r="F679" s="17" t="str">
        <x:f>IF(E679="Pilot now",IF(P679&gt;=84,"P1",IF(P679&gt;=72,"P2","P3")),IF(E679="Expansion discovery",IF(Q679&gt;=88,"D1",IF(Q679&gt;=78,"D2","D3")),IF(E679="Later / requirements","L","Legacy")))</x:f>
        <x:v>P1</x:v>
      </x:c>
      <x:c r="G679" s="14" t="str"/>
      <x:c r="H679" s="14" t="str">
        <x:v>Пілот зараз — Н.15</x:v>
      </x:c>
      <x:c r="I679" s="16" t="n">
        <x:v>5</x:v>
      </x:c>
      <x:c r="J679" s="16" t="n">
        <x:v>5</x:v>
      </x:c>
      <x:c r="K679" s="16" t="n">
        <x:v>5</x:v>
      </x:c>
      <x:c r="L679" s="16" t="n">
        <x:v>1</x:v>
      </x:c>
      <x:c r="M679" s="16" t="n">
        <x:v>5</x:v>
      </x:c>
      <x:c r="N679" s="16" t="n">
        <x:v>3</x:v>
      </x:c>
      <x:c r="O679" s="16" t="n">
        <x:v>5</x:v>
      </x:c>
      <x:c r="P679" s="16" t="n">
        <x:f>IF(COUNT(I679:O679)&lt;7,"",I679*8+J679*3+K679*2+L679*2+M679*2+N679*2+O679)</x:f>
        <x:v>88</x:v>
      </x:c>
      <x:c r="Q679" s="16" t="n">
        <x:f>IF(COUNT(J679:O679)&lt;6,"",J679*5+K679*4+M679*4+L679*3+N679*2+O679*2)</x:f>
        <x:v>84</x:v>
      </x:c>
      <x:c r="R679" s="14" t="str">
        <x:v>high</x:v>
      </x:c>
      <x:c r="S679" s="14" t="str">
        <x:v>official_prozorro_award_2025_2026</x:v>
      </x:c>
      <x:c r="T679" s="14" t="str">
        <x:v>official_prozorro_api</x:v>
      </x:c>
      <x:c r="U679" s="14" t="str">
        <x:v>Не контактували</x:v>
      </x:c>
      <x:c r="V679" s="15" t="str">
        <x:v>Персоналізований free-pilot outreach по UA-2026-05-07-005317-a; попросити 1 пакет Н.14/Н.15</x:v>
      </x:c>
      <x:c r="W679" s="15" t="str">
        <x:v>Власник / виконавець; відповідальний за договір</x:v>
      </x:c>
      <x:c r="X679" s="15" t="str">
        <x:v>1 підтверджених перемог/договорів у Prozorro на 15 815 грн; 1 проєктів зі строком виконання не раніше 24.08.2026.</x:v>
      </x:c>
      <x:c r="Y679" s="15" t="str">
        <x:v>Електровимірювальні роботи по перевірці опорів контурів заземлення та опорів ізоляції силових і освітлювальних ліній у будівлі Ліцею №28 ЛМР, м. Львів, вул. Тютюнників, 2 (технічне обслуговування та утримання в належному стані внутрішніх електромереж); строк до 2026-12-31. Попросити один знеособлений пакет здачі за цим workflow.</x:v>
      </x:c>
      <x:c r="Z679" s="15" t="str">
        <x:v>https://prozorro.gov.ua/tender/UA-2026-05-07-005317-a</x:v>
      </x:c>
      <x:c r="AA679" s="14" t="str">
        <x:v>3124005822</x:v>
      </x:c>
      <x:c r="AB679" s="14" t="str">
        <x:v>2026-08-24</x:v>
      </x:c>
      <x:c r="AC679" s="14" t="str"/>
      <x:c r="AD679" s="20" t="str"/>
      <x:c r="AE679" s="14" t="str"/>
      <x:c r="AF679" s="14" t="n">
        <x:v>43</x:v>
      </x:c>
      <x:c r="AG679" s="14" t="str">
        <x:v>I3</x:v>
      </x:c>
      <x:c r="AH679" s="14" t="n">
        <x:v>1</x:v>
      </x:c>
      <x:c r="AI679" s="14" t="n">
        <x:v>1</x:v>
      </x:c>
      <x:c r="AJ679" s="18" t="n">
        <x:v>15815</x:v>
      </x:c>
      <x:c r="AK679" s="14" t="str">
        <x:v>https://prozorro.gov.ua/tender/UA-2026-05-07-005317-a</x:v>
      </x:c>
      <x:c r="AL679" s="19" t="n">
        <x:v>46149.36312923611</x:v>
      </x:c>
      <x:c r="AM679" s="19" t="n">
        <x:v>46387</x:v>
      </x:c>
      <x:c r="AN679" s="15" t="str">
        <x:v>Електромонтаж</x:v>
      </x:c>
      <x:c r="AO679" s="15" t="str">
        <x:v>not_found_in_top_search</x:v>
      </x:c>
    </x:row>
    <x:row r="680">
      <x:c r="A680" s="14" t="str">
        <x:v>W3-408</x:v>
      </x:c>
      <x:c r="B680" s="14" t="str">
        <x:v>Prozorro winners — 24.08</x:v>
      </x:c>
      <x:c r="C680" s="14" t="str">
        <x:v>ФОП Ткачук Ю.Ю.</x:v>
      </x:c>
      <x:c r="D680" s="14" t="str">
        <x:v>Безпека / СКУД / CCTV</x:v>
      </x:c>
      <x:c r="E680" s="14" t="str">
        <x:v>Expansion discovery</x:v>
      </x:c>
      <x:c r="F680" s="17" t="str">
        <x:f>IF(E680="Pilot now",IF(P680&gt;=84,"P1",IF(P680&gt;=72,"P2","P3")),IF(E680="Expansion discovery",IF(Q680&gt;=88,"D1",IF(Q680&gt;=78,"D2","D3")),IF(E680="Later / requirements","L","Legacy")))</x:f>
        <x:v>D2</x:v>
      </x:c>
      <x:c r="G680" s="14" t="str"/>
      <x:c r="H680" s="14" t="str">
        <x:v>Discovery розширення — 2 тижні</x:v>
      </x:c>
      <x:c r="I680" s="16" t="n">
        <x:v>1</x:v>
      </x:c>
      <x:c r="J680" s="16" t="n">
        <x:v>5</x:v>
      </x:c>
      <x:c r="K680" s="16" t="n">
        <x:v>4</x:v>
      </x:c>
      <x:c r="L680" s="16" t="n">
        <x:v>1</x:v>
      </x:c>
      <x:c r="M680" s="16" t="n">
        <x:v>5</x:v>
      </x:c>
      <x:c r="N680" s="16" t="n">
        <x:v>3</x:v>
      </x:c>
      <x:c r="O680" s="16" t="n">
        <x:v>5</x:v>
      </x:c>
      <x:c r="P680" s="16" t="n">
        <x:f>IF(COUNT(I680:O680)&lt;7,"",I680*8+J680*3+K680*2+L680*2+M680*2+N680*2+O680)</x:f>
        <x:v>54</x:v>
      </x:c>
      <x:c r="Q680" s="16" t="n">
        <x:f>IF(COUNT(J680:O680)&lt;6,"",J680*5+K680*4+M680*4+L680*3+N680*2+O680*2)</x:f>
        <x:v>80</x:v>
      </x:c>
      <x:c r="R680" s="14" t="str">
        <x:v>high</x:v>
      </x:c>
      <x:c r="S680" s="14" t="str">
        <x:v>official_prozorro_award_2025_2026</x:v>
      </x:c>
      <x:c r="T680" s="14" t="str">
        <x:v>official_prozorro_api</x:v>
      </x:c>
      <x:c r="U680" s="14" t="str">
        <x:v>Не контактували</x:v>
      </x:c>
      <x:c r="V680" s="15" t="str">
        <x:v>Workflow-audit outreach по UA-2026-05-28-000899-a; попросити 1 пакет здачі та вимоги проєкту</x:v>
      </x:c>
      <x:c r="W680" s="15" t="str">
        <x:v>Власник / виконавець; відповідальний за договір</x:v>
      </x:c>
      <x:c r="X680" s="15" t="str">
        <x:v>1 підтверджених перемог/договорів у Prozorro на 12 000 грн; 1 проєктів зі строком виконання не раніше 24.08.2026.</x:v>
      </x:c>
      <x:c r="Y680" s="15" t="str">
        <x:v>Послуги з монтажу системи контролю доступу у приміщенні Косівської окружної прокуратури; строк до 2026-12-31. Попросити один знеособлений пакет здачі за цим workflow.</x:v>
      </x:c>
      <x:c r="Z680" s="15" t="str">
        <x:v>https://prozorro.gov.ua/tender/UA-2026-05-28-000899-a</x:v>
      </x:c>
      <x:c r="AA680" s="14" t="str">
        <x:v>3193923935</x:v>
      </x:c>
      <x:c r="AB680" s="14" t="str">
        <x:v>2026-08-24</x:v>
      </x:c>
      <x:c r="AC680" s="14" t="str"/>
      <x:c r="AD680" s="20" t="str"/>
      <x:c r="AE680" s="14" t="str"/>
      <x:c r="AF680" s="14" t="n">
        <x:v>43</x:v>
      </x:c>
      <x:c r="AG680" s="14" t="str">
        <x:v>I3</x:v>
      </x:c>
      <x:c r="AH680" s="14" t="n">
        <x:v>1</x:v>
      </x:c>
      <x:c r="AI680" s="14" t="n">
        <x:v>1</x:v>
      </x:c>
      <x:c r="AJ680" s="18" t="n">
        <x:v>12000</x:v>
      </x:c>
      <x:c r="AK680" s="14" t="str">
        <x:v>https://prozorro.gov.ua/tender/UA-2026-05-28-000899-a</x:v>
      </x:c>
      <x:c r="AL680" s="19" t="n">
        <x:v>46170.26546267361</x:v>
      </x:c>
      <x:c r="AM680" s="19" t="n">
        <x:v>46387</x:v>
      </x:c>
      <x:c r="AN680" s="15" t="str">
        <x:v>Безпека / СКУД / CCTV</x:v>
      </x:c>
      <x:c r="AO680" s="15" t="str">
        <x:v>not_found_in_top_search</x:v>
      </x:c>
    </x:row>
    <x:row r="681">
      <x:c r="A681" s="14" t="str">
        <x:v>W3-409</x:v>
      </x:c>
      <x:c r="B681" s="14" t="str">
        <x:v>Prozorro winners — 24.08</x:v>
      </x:c>
      <x:c r="C681" s="14" t="str">
        <x:v>НЕЧМОГЛОД АНДРІЙ ОЛЕКСАНДРОВИЧ</x:v>
      </x:c>
      <x:c r="D681" s="14" t="str">
        <x:v>Мости / інфраструктура</x:v>
      </x:c>
      <x:c r="E681" s="14" t="str">
        <x:v>Expansion discovery</x:v>
      </x:c>
      <x:c r="F681" s="17" t="str">
        <x:f>IF(E681="Pilot now",IF(P681&gt;=84,"P1",IF(P681&gt;=72,"P2","P3")),IF(E681="Expansion discovery",IF(Q681&gt;=88,"D1",IF(Q681&gt;=78,"D2","D3")),IF(E681="Later / requirements","L","Legacy")))</x:f>
        <x:v>D2</x:v>
      </x:c>
      <x:c r="G681" s="14" t="str"/>
      <x:c r="H681" s="14" t="str">
        <x:v>Discovery розширення — 2 тижні</x:v>
      </x:c>
      <x:c r="I681" s="16" t="n">
        <x:v>1</x:v>
      </x:c>
      <x:c r="J681" s="16" t="n">
        <x:v>5</x:v>
      </x:c>
      <x:c r="K681" s="16" t="n">
        <x:v>4</x:v>
      </x:c>
      <x:c r="L681" s="16" t="n">
        <x:v>1</x:v>
      </x:c>
      <x:c r="M681" s="16" t="n">
        <x:v>5</x:v>
      </x:c>
      <x:c r="N681" s="16" t="n">
        <x:v>3</x:v>
      </x:c>
      <x:c r="O681" s="16" t="n">
        <x:v>5</x:v>
      </x:c>
      <x:c r="P681" s="16" t="n">
        <x:f>IF(COUNT(I681:O681)&lt;7,"",I681*8+J681*3+K681*2+L681*2+M681*2+N681*2+O681)</x:f>
        <x:v>54</x:v>
      </x:c>
      <x:c r="Q681" s="16" t="n">
        <x:f>IF(COUNT(J681:O681)&lt;6,"",J681*5+K681*4+M681*4+L681*3+N681*2+O681*2)</x:f>
        <x:v>80</x:v>
      </x:c>
      <x:c r="R681" s="14" t="str">
        <x:v>high</x:v>
      </x:c>
      <x:c r="S681" s="14" t="str">
        <x:v>official_prozorro_award_2025_2026</x:v>
      </x:c>
      <x:c r="T681" s="14" t="str">
        <x:v>official_prozorro_api</x:v>
      </x:c>
      <x:c r="U681" s="14" t="str">
        <x:v>Не контактували</x:v>
      </x:c>
      <x:c r="V681" s="15" t="str">
        <x:v>Workflow-audit outreach по UA-2026-06-02-010608-a; попросити 1 пакет здачі та вимоги проєкту</x:v>
      </x:c>
      <x:c r="W681" s="15" t="str">
        <x:v>Власник / виконавець; відповідальний за договір</x:v>
      </x:c>
      <x:c r="X681" s="15" t="str">
        <x:v>1 підтверджених перемог/договорів у Prozorro на 10 240 грн; 1 проєктів зі строком виконання не раніше 24.08.2026.</x:v>
      </x:c>
      <x:c r="Y681" s="15" t="str">
        <x:v>Запчастини для ремонту автомобільного транспорту, а саме: (датчик температури рідини, вал карданний УАЗ-452 моста заднього, вал карданний УАЗ-452 моста переднього, датчик температури рідини Lanos); строк до 2026-12-31. Попросити один знеособлений пакет здачі за цим workflow.</x:v>
      </x:c>
      <x:c r="Z681" s="15" t="str">
        <x:v>https://prozorro.gov.ua/tender/UA-2026-06-02-010608-a</x:v>
      </x:c>
      <x:c r="AA681" s="14" t="str">
        <x:v>2775613999</x:v>
      </x:c>
      <x:c r="AB681" s="14" t="str">
        <x:v>2026-08-24</x:v>
      </x:c>
      <x:c r="AC681" s="14" t="str"/>
      <x:c r="AD681" s="20" t="str"/>
      <x:c r="AE681" s="14" t="str"/>
      <x:c r="AF681" s="14" t="n">
        <x:v>43</x:v>
      </x:c>
      <x:c r="AG681" s="14" t="str">
        <x:v>I3</x:v>
      </x:c>
      <x:c r="AH681" s="14" t="n">
        <x:v>1</x:v>
      </x:c>
      <x:c r="AI681" s="14" t="n">
        <x:v>1</x:v>
      </x:c>
      <x:c r="AJ681" s="18" t="n">
        <x:v>10240</x:v>
      </x:c>
      <x:c r="AK681" s="14" t="str">
        <x:v>https://prozorro.gov.ua/tender/UA-2026-06-02-010608-a</x:v>
      </x:c>
      <x:c r="AL681" s="19" t="n">
        <x:v>46175.526990046295</x:v>
      </x:c>
      <x:c r="AM681" s="19" t="n">
        <x:v>46387</x:v>
      </x:c>
      <x:c r="AN681" s="15" t="str">
        <x:v>Мости / інфраструктура</x:v>
      </x:c>
      <x:c r="AO681" s="15" t="str">
        <x:v>not_found_in_top_search</x:v>
      </x:c>
    </x:row>
    <x:row r="682">
      <x:c r="A682" s="14" t="str">
        <x:v>W3-410</x:v>
      </x:c>
      <x:c r="B682" s="14" t="str">
        <x:v>Prozorro winners — 24.08</x:v>
      </x:c>
      <x:c r="C682" s="14" t="str">
        <x:v>ЧЕРЕДНІЧЕНКО ДМИТРО ІВАНОВИЧ</x:v>
      </x:c>
      <x:c r="D682" s="14" t="str">
        <x:v>Безпека / СКУД / CCTV</x:v>
      </x:c>
      <x:c r="E682" s="14" t="str">
        <x:v>Expansion discovery</x:v>
      </x:c>
      <x:c r="F682" s="17" t="str">
        <x:f>IF(E682="Pilot now",IF(P682&gt;=84,"P1",IF(P682&gt;=72,"P2","P3")),IF(E682="Expansion discovery",IF(Q682&gt;=88,"D1",IF(Q682&gt;=78,"D2","D3")),IF(E682="Later / requirements","L","Legacy")))</x:f>
        <x:v>D2</x:v>
      </x:c>
      <x:c r="G682" s="14" t="str"/>
      <x:c r="H682" s="14" t="str">
        <x:v>Discovery розширення — 2 тижні</x:v>
      </x:c>
      <x:c r="I682" s="16" t="n">
        <x:v>1</x:v>
      </x:c>
      <x:c r="J682" s="16" t="n">
        <x:v>5</x:v>
      </x:c>
      <x:c r="K682" s="16" t="n">
        <x:v>4</x:v>
      </x:c>
      <x:c r="L682" s="16" t="n">
        <x:v>1</x:v>
      </x:c>
      <x:c r="M682" s="16" t="n">
        <x:v>5</x:v>
      </x:c>
      <x:c r="N682" s="16" t="n">
        <x:v>3</x:v>
      </x:c>
      <x:c r="O682" s="16" t="n">
        <x:v>5</x:v>
      </x:c>
      <x:c r="P682" s="16" t="n">
        <x:f>IF(COUNT(I682:O682)&lt;7,"",I682*8+J682*3+K682*2+L682*2+M682*2+N682*2+O682)</x:f>
        <x:v>54</x:v>
      </x:c>
      <x:c r="Q682" s="16" t="n">
        <x:f>IF(COUNT(J682:O682)&lt;6,"",J682*5+K682*4+M682*4+L682*3+N682*2+O682*2)</x:f>
        <x:v>80</x:v>
      </x:c>
      <x:c r="R682" s="14" t="str">
        <x:v>high</x:v>
      </x:c>
      <x:c r="S682" s="14" t="str">
        <x:v>official_prozorro_award_2025_2026</x:v>
      </x:c>
      <x:c r="T682" s="14" t="str">
        <x:v>official_prozorro_api</x:v>
      </x:c>
      <x:c r="U682" s="14" t="str">
        <x:v>Не контактували</x:v>
      </x:c>
      <x:c r="V682" s="15" t="str">
        <x:v>Workflow-audit outreach по UA-2026-07-07-001969-a; попросити 1 пакет здачі та вимоги проєкту</x:v>
      </x:c>
      <x:c r="W682" s="15" t="str">
        <x:v>Власник / виконавець; відповідальний за договір</x:v>
      </x:c>
      <x:c r="X682" s="15" t="str">
        <x:v>1 підтверджених перемог/договорів у Prozorro на 7 200 грн; 1 проєктів зі строком виконання не раніше 24.08.2026.</x:v>
      </x:c>
      <x:c r="Y682" s="15" t="str">
        <x:v>Послуги монтажу та налаштування системи відеоспостереження; строк до 2026-12-31. Попросити один знеособлений пакет здачі за цим workflow.</x:v>
      </x:c>
      <x:c r="Z682" s="15" t="str">
        <x:v>https://prozorro.gov.ua/tender/UA-2026-07-07-001969-a</x:v>
      </x:c>
      <x:c r="AA682" s="14" t="str">
        <x:v>3041613994</x:v>
      </x:c>
      <x:c r="AB682" s="14" t="str">
        <x:v>2026-08-24</x:v>
      </x:c>
      <x:c r="AC682" s="14" t="str"/>
      <x:c r="AD682" s="20" t="str"/>
      <x:c r="AE682" s="14" t="str"/>
      <x:c r="AF682" s="14" t="n">
        <x:v>43</x:v>
      </x:c>
      <x:c r="AG682" s="14" t="str">
        <x:v>I3</x:v>
      </x:c>
      <x:c r="AH682" s="14" t="n">
        <x:v>1</x:v>
      </x:c>
      <x:c r="AI682" s="14" t="n">
        <x:v>1</x:v>
      </x:c>
      <x:c r="AJ682" s="18" t="n">
        <x:v>7200</x:v>
      </x:c>
      <x:c r="AK682" s="14" t="str">
        <x:v>https://prozorro.gov.ua/tender/UA-2026-07-07-001969-a</x:v>
      </x:c>
      <x:c r="AL682" s="19" t="n">
        <x:v>46210.311359375</x:v>
      </x:c>
      <x:c r="AM682" s="19" t="n">
        <x:v>46387</x:v>
      </x:c>
      <x:c r="AN682" s="15" t="str">
        <x:v>Безпека / СКУД / CCTV</x:v>
      </x:c>
      <x:c r="AO682" s="15" t="str">
        <x:v>not_found_in_top_search</x:v>
      </x:c>
    </x:row>
    <x:row r="683">
      <x:c r="A683" s="14" t="str">
        <x:v>W3-411</x:v>
      </x:c>
      <x:c r="B683" s="14" t="str">
        <x:v>Prozorro winners — 24.08</x:v>
      </x:c>
      <x:c r="C683" s="14" t="str">
        <x:v>ШИПОША ОЛЕКСАНДР АНАТОЛІЙОВИЧ</x:v>
      </x:c>
      <x:c r="D683" s="14" t="str">
        <x:v>Сонячна енергетика</x:v>
      </x:c>
      <x:c r="E683" s="14" t="str">
        <x:v>Expansion discovery</x:v>
      </x:c>
      <x:c r="F683" s="17" t="str">
        <x:f>IF(E683="Pilot now",IF(P683&gt;=84,"P1",IF(P683&gt;=72,"P2","P3")),IF(E683="Expansion discovery",IF(Q683&gt;=88,"D1",IF(Q683&gt;=78,"D2","D3")),IF(E683="Later / requirements","L","Legacy")))</x:f>
        <x:v>D2</x:v>
      </x:c>
      <x:c r="G683" s="14" t="str"/>
      <x:c r="H683" s="14" t="str">
        <x:v>Discovery розширення — 2 тижні</x:v>
      </x:c>
      <x:c r="I683" s="16" t="n">
        <x:v>1</x:v>
      </x:c>
      <x:c r="J683" s="16" t="n">
        <x:v>5</x:v>
      </x:c>
      <x:c r="K683" s="16" t="n">
        <x:v>4</x:v>
      </x:c>
      <x:c r="L683" s="16" t="n">
        <x:v>1</x:v>
      </x:c>
      <x:c r="M683" s="16" t="n">
        <x:v>5</x:v>
      </x:c>
      <x:c r="N683" s="16" t="n">
        <x:v>3</x:v>
      </x:c>
      <x:c r="O683" s="16" t="n">
        <x:v>5</x:v>
      </x:c>
      <x:c r="P683" s="16" t="n">
        <x:f>IF(COUNT(I683:O683)&lt;7,"",I683*8+J683*3+K683*2+L683*2+M683*2+N683*2+O683)</x:f>
        <x:v>54</x:v>
      </x:c>
      <x:c r="Q683" s="16" t="n">
        <x:f>IF(COUNT(J683:O683)&lt;6,"",J683*5+K683*4+M683*4+L683*3+N683*2+O683*2)</x:f>
        <x:v>80</x:v>
      </x:c>
      <x:c r="R683" s="14" t="str">
        <x:v>high</x:v>
      </x:c>
      <x:c r="S683" s="14" t="str">
        <x:v>official_prozorro_award_2025_2026</x:v>
      </x:c>
      <x:c r="T683" s="14" t="str">
        <x:v>official_prozorro_api</x:v>
      </x:c>
      <x:c r="U683" s="14" t="str">
        <x:v>Не контактували</x:v>
      </x:c>
      <x:c r="V683" s="15" t="str">
        <x:v>Workflow-audit outreach по UA-2026-06-01-009569-a; попросити 1 пакет здачі та вимоги проєкту</x:v>
      </x:c>
      <x:c r="W683" s="15" t="str">
        <x:v>Власник / виконавець; відповідальний за договір</x:v>
      </x:c>
      <x:c r="X683" s="15" t="str">
        <x:v>1 підтверджених перемог/договорів у Prozorro на 7 120 грн; 1 проєктів зі строком виконання не раніше 24.08.2026.</x:v>
      </x:c>
      <x:c r="Y683" s="15" t="str">
        <x:v>Виконання авторського нагляду за об’єктом будівництва «Нове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 строк до 2026-08-31. Попросити один знеособлений пакет здачі за цим workflow.</x:v>
      </x:c>
      <x:c r="Z683" s="15" t="str">
        <x:v>https://prozorro.gov.ua/tender/UA-2026-06-01-009569-a</x:v>
      </x:c>
      <x:c r="AA683" s="14" t="str">
        <x:v>2888517635</x:v>
      </x:c>
      <x:c r="AB683" s="14" t="str">
        <x:v>2026-08-24</x:v>
      </x:c>
      <x:c r="AC683" s="14" t="str"/>
      <x:c r="AD683" s="20" t="str"/>
      <x:c r="AE683" s="14" t="str"/>
      <x:c r="AF683" s="14" t="n">
        <x:v>43</x:v>
      </x:c>
      <x:c r="AG683" s="14" t="str">
        <x:v>I3</x:v>
      </x:c>
      <x:c r="AH683" s="14" t="n">
        <x:v>1</x:v>
      </x:c>
      <x:c r="AI683" s="14" t="n">
        <x:v>1</x:v>
      </x:c>
      <x:c r="AJ683" s="18" t="n">
        <x:v>7120</x:v>
      </x:c>
      <x:c r="AK683" s="14" t="str">
        <x:v>https://prozorro.gov.ua/tender/UA-2026-06-01-009569-a</x:v>
      </x:c>
      <x:c r="AL683" s="19" t="n">
        <x:v>46174.526771689816</x:v>
      </x:c>
      <x:c r="AM683" s="19" t="n">
        <x:v>46265</x:v>
      </x:c>
      <x:c r="AN683" s="15" t="str">
        <x:v>Сонячна енергетика</x:v>
      </x:c>
      <x:c r="AO683" s="15" t="str">
        <x:v>not_found_in_top_search</x:v>
      </x:c>
    </x:row>
    <x:row r="684">
      <x:c r="A684" s="14" t="str">
        <x:v>W3-412</x:v>
      </x:c>
      <x:c r="B684" s="14" t="str">
        <x:v>Prozorro winners — 24.08</x:v>
      </x:c>
      <x:c r="C684" s="14" t="str">
        <x:v>Фізична особа-підприємець Зягун Микола Володимирович</x:v>
      </x:c>
      <x:c r="D684" s="14" t="str">
        <x:v>Безпека / СКУД / CCTV</x:v>
      </x:c>
      <x:c r="E684" s="14" t="str">
        <x:v>Expansion discovery</x:v>
      </x:c>
      <x:c r="F684" s="17" t="str">
        <x:f>IF(E684="Pilot now",IF(P684&gt;=84,"P1",IF(P684&gt;=72,"P2","P3")),IF(E684="Expansion discovery",IF(Q684&gt;=88,"D1",IF(Q684&gt;=78,"D2","D3")),IF(E684="Later / requirements","L","Legacy")))</x:f>
        <x:v>D2</x:v>
      </x:c>
      <x:c r="G684" s="14" t="str"/>
      <x:c r="H684" s="14" t="str">
        <x:v>Discovery розширення — 2 тижні</x:v>
      </x:c>
      <x:c r="I684" s="16" t="n">
        <x:v>1</x:v>
      </x:c>
      <x:c r="J684" s="16" t="n">
        <x:v>5</x:v>
      </x:c>
      <x:c r="K684" s="16" t="n">
        <x:v>4</x:v>
      </x:c>
      <x:c r="L684" s="16" t="n">
        <x:v>1</x:v>
      </x:c>
      <x:c r="M684" s="16" t="n">
        <x:v>5</x:v>
      </x:c>
      <x:c r="N684" s="16" t="n">
        <x:v>3</x:v>
      </x:c>
      <x:c r="O684" s="16" t="n">
        <x:v>5</x:v>
      </x:c>
      <x:c r="P684" s="16" t="n">
        <x:f>IF(COUNT(I684:O684)&lt;7,"",I684*8+J684*3+K684*2+L684*2+M684*2+N684*2+O684)</x:f>
        <x:v>54</x:v>
      </x:c>
      <x:c r="Q684" s="16" t="n">
        <x:f>IF(COUNT(J684:O684)&lt;6,"",J684*5+K684*4+M684*4+L684*3+N684*2+O684*2)</x:f>
        <x:v>80</x:v>
      </x:c>
      <x:c r="R684" s="14" t="str">
        <x:v>high</x:v>
      </x:c>
      <x:c r="S684" s="14" t="str">
        <x:v>official_prozorro_award_2025_2026</x:v>
      </x:c>
      <x:c r="T684" s="14" t="str">
        <x:v>official_prozorro_api</x:v>
      </x:c>
      <x:c r="U684" s="14" t="str">
        <x:v>Не контактували</x:v>
      </x:c>
      <x:c r="V684" s="15" t="str">
        <x:v>Workflow-audit outreach по UA-2026-06-17-005254-a; попросити 1 пакет здачі та вимоги проєкту</x:v>
      </x:c>
      <x:c r="W684" s="15" t="str">
        <x:v>Власник / виконавець; відповідальний за договір</x:v>
      </x:c>
      <x:c r="X684" s="15" t="str">
        <x:v>1 підтверджених перемог/договорів у Prozorro на 5 616 грн; 1 проєктів зі строком виконання не раніше 24.08.2026.</x:v>
      </x:c>
      <x:c r="Y684" s="15" t="str">
        <x:v>Послуги по монтажу системи відеоспостереження; строк до 2026-12-31. Попросити один знеособлений пакет здачі за цим workflow.</x:v>
      </x:c>
      <x:c r="Z684" s="15" t="str">
        <x:v>https://prozorro.gov.ua/tender/UA-2026-06-17-005254-a</x:v>
      </x:c>
      <x:c r="AA684" s="14" t="str">
        <x:v>3045015151</x:v>
      </x:c>
      <x:c r="AB684" s="14" t="str">
        <x:v>2026-08-24</x:v>
      </x:c>
      <x:c r="AC684" s="14" t="str"/>
      <x:c r="AD684" s="20" t="str"/>
      <x:c r="AE684" s="14" t="str"/>
      <x:c r="AF684" s="14" t="n">
        <x:v>43</x:v>
      </x:c>
      <x:c r="AG684" s="14" t="str">
        <x:v>I3</x:v>
      </x:c>
      <x:c r="AH684" s="14" t="n">
        <x:v>1</x:v>
      </x:c>
      <x:c r="AI684" s="14" t="n">
        <x:v>1</x:v>
      </x:c>
      <x:c r="AJ684" s="18" t="n">
        <x:v>5616</x:v>
      </x:c>
      <x:c r="AK684" s="14" t="str">
        <x:v>https://prozorro.gov.ua/tender/UA-2026-06-17-005254-a</x:v>
      </x:c>
      <x:c r="AL684" s="19" t="n">
        <x:v>46190.376203148146</x:v>
      </x:c>
      <x:c r="AM684" s="19" t="n">
        <x:v>46387</x:v>
      </x:c>
      <x:c r="AN684" s="15" t="str">
        <x:v>Безпека / СКУД / CCTV</x:v>
      </x:c>
      <x:c r="AO684" s="15" t="str">
        <x:v>not_found_in_top_search</x:v>
      </x:c>
    </x:row>
    <x:row r="685">
      <x:c r="A685" s="14" t="str">
        <x:v>W3-413</x:v>
      </x:c>
      <x:c r="B685" s="14" t="str">
        <x:v>Prozorro winners — 24.08</x:v>
      </x:c>
      <x:c r="C685" s="14" t="str">
        <x:v>ФОП Синиця Олександр Олександрович</x:v>
      </x:c>
      <x:c r="D685" s="14" t="str">
        <x:v>Насосні станції</x:v>
      </x:c>
      <x:c r="E685" s="14" t="str">
        <x:v>Expansion discovery</x:v>
      </x:c>
      <x:c r="F685" s="17" t="str">
        <x:f>IF(E685="Pilot now",IF(P685&gt;=84,"P1",IF(P685&gt;=72,"P2","P3")),IF(E685="Expansion discovery",IF(Q685&gt;=88,"D1",IF(Q685&gt;=78,"D2","D3")),IF(E685="Later / requirements","L","Legacy")))</x:f>
        <x:v>D2</x:v>
      </x:c>
      <x:c r="G685" s="14" t="str"/>
      <x:c r="H685" s="14" t="str">
        <x:v>Discovery розширення — 2 тижні</x:v>
      </x:c>
      <x:c r="I685" s="16" t="n">
        <x:v>1</x:v>
      </x:c>
      <x:c r="J685" s="16" t="n">
        <x:v>5</x:v>
      </x:c>
      <x:c r="K685" s="16" t="n">
        <x:v>4</x:v>
      </x:c>
      <x:c r="L685" s="16" t="n">
        <x:v>1</x:v>
      </x:c>
      <x:c r="M685" s="16" t="n">
        <x:v>5</x:v>
      </x:c>
      <x:c r="N685" s="16" t="n">
        <x:v>3</x:v>
      </x:c>
      <x:c r="O685" s="16" t="n">
        <x:v>5</x:v>
      </x:c>
      <x:c r="P685" s="16" t="n">
        <x:f>IF(COUNT(I685:O685)&lt;7,"",I685*8+J685*3+K685*2+L685*2+M685*2+N685*2+O685)</x:f>
        <x:v>54</x:v>
      </x:c>
      <x:c r="Q685" s="16" t="n">
        <x:f>IF(COUNT(J685:O685)&lt;6,"",J685*5+K685*4+M685*4+L685*3+N685*2+O685*2)</x:f>
        <x:v>80</x:v>
      </x:c>
      <x:c r="R685" s="14" t="str">
        <x:v>high</x:v>
      </x:c>
      <x:c r="S685" s="14" t="str">
        <x:v>official_prozorro_award_2025_2026</x:v>
      </x:c>
      <x:c r="T685" s="14" t="str">
        <x:v>official_prozorro_api</x:v>
      </x:c>
      <x:c r="U685" s="14" t="str">
        <x:v>Не контактували</x:v>
      </x:c>
      <x:c r="V685" s="15" t="str">
        <x:v>Workflow-audit outreach по UA-2026-05-05-006402-a; попросити 1 пакет здачі та вимоги проєкту</x:v>
      </x:c>
      <x:c r="W685" s="15" t="str">
        <x:v>Власник / виконавець; відповідальний за договір</x:v>
      </x:c>
      <x:c r="X685" s="15" t="str">
        <x:v>1 підтверджених перемог/договорів у Prozorro на 5 340 грн; 1 проєктів зі строком виконання не раніше 24.08.2026.</x:v>
      </x:c>
      <x:c r="Y685" s="15" t="str">
        <x:v>авторський нагляд за об'єктом: "Реконструкція електричних  мереж зі встановлення мережевої  СЕС на резервній станції насосної станції І-го підйому водозабору за адресою: Стрийський р-н, с. Дубина, вул. Дачна, 51-А."; строк до 2026-12-31. Попросити один знеособлений пакет здачі за цим workflow.</x:v>
      </x:c>
      <x:c r="Z685" s="15" t="str">
        <x:v>https://prozorro.gov.ua/tender/UA-2026-05-05-006402-a</x:v>
      </x:c>
      <x:c r="AA685" s="14" t="str">
        <x:v>3664310511</x:v>
      </x:c>
      <x:c r="AB685" s="14" t="str">
        <x:v>2026-08-24</x:v>
      </x:c>
      <x:c r="AC685" s="14" t="str"/>
      <x:c r="AD685" s="20" t="str"/>
      <x:c r="AE685" s="14" t="str"/>
      <x:c r="AF685" s="14" t="n">
        <x:v>43</x:v>
      </x:c>
      <x:c r="AG685" s="14" t="str">
        <x:v>I3</x:v>
      </x:c>
      <x:c r="AH685" s="14" t="n">
        <x:v>1</x:v>
      </x:c>
      <x:c r="AI685" s="14" t="n">
        <x:v>1</x:v>
      </x:c>
      <x:c r="AJ685" s="18" t="n">
        <x:v>5340</x:v>
      </x:c>
      <x:c r="AK685" s="14" t="str">
        <x:v>https://prozorro.gov.ua/tender/UA-2026-05-05-006402-a</x:v>
      </x:c>
      <x:c r="AL685" s="19" t="n">
        <x:v>46147.398541041664</x:v>
      </x:c>
      <x:c r="AM685" s="19" t="n">
        <x:v>46387.438784722224</x:v>
      </x:c>
      <x:c r="AN685" s="15" t="str">
        <x:v>Насосні станції</x:v>
      </x:c>
      <x:c r="AO685" s="15" t="str">
        <x:v>not_found_in_top_search</x:v>
      </x:c>
    </x:row>
    <x:row r="686">
      <x:c r="A686" s="14" t="str">
        <x:v>W3-414</x:v>
      </x:c>
      <x:c r="B686" s="14" t="str">
        <x:v>Prozorro winners — 24.08</x:v>
      </x:c>
      <x:c r="C686" s="14" t="str">
        <x:v>ФОП Семеник Олексій Сергійович</x:v>
      </x:c>
      <x:c r="D686" s="14" t="str">
        <x:v>HVAC / ОВіК</x:v>
      </x:c>
      <x:c r="E686" s="14" t="str">
        <x:v>Pilot now</x:v>
      </x:c>
      <x:c r="F686" s="17" t="str">
        <x:f>IF(E686="Pilot now",IF(P686&gt;=84,"P1",IF(P686&gt;=72,"P2","P3")),IF(E686="Expansion discovery",IF(Q686&gt;=88,"D1",IF(Q686&gt;=78,"D2","D3")),IF(E686="Later / requirements","L","Legacy")))</x:f>
        <x:v>P1</x:v>
      </x:c>
      <x:c r="G686" s="14" t="str"/>
      <x:c r="H686" s="14" t="str">
        <x:v>Пілот зараз — Н.14</x:v>
      </x:c>
      <x:c r="I686" s="16" t="n">
        <x:v>5</x:v>
      </x:c>
      <x:c r="J686" s="16" t="n">
        <x:v>5</x:v>
      </x:c>
      <x:c r="K686" s="16" t="n">
        <x:v>5</x:v>
      </x:c>
      <x:c r="L686" s="16" t="n">
        <x:v>1</x:v>
      </x:c>
      <x:c r="M686" s="16" t="n">
        <x:v>5</x:v>
      </x:c>
      <x:c r="N686" s="16" t="n">
        <x:v>3</x:v>
      </x:c>
      <x:c r="O686" s="16" t="n">
        <x:v>5</x:v>
      </x:c>
      <x:c r="P686" s="16" t="n">
        <x:f>IF(COUNT(I686:O686)&lt;7,"",I686*8+J686*3+K686*2+L686*2+M686*2+N686*2+O686)</x:f>
        <x:v>88</x:v>
      </x:c>
      <x:c r="Q686" s="16" t="n">
        <x:f>IF(COUNT(J686:O686)&lt;6,"",J686*5+K686*4+M686*4+L686*3+N686*2+O686*2)</x:f>
        <x:v>84</x:v>
      </x:c>
      <x:c r="R686" s="14" t="str">
        <x:v>high</x:v>
      </x:c>
      <x:c r="S686" s="14" t="str">
        <x:v>official_prozorro_award_2025_2026</x:v>
      </x:c>
      <x:c r="T686" s="14" t="str">
        <x:v>official_prozorro_api</x:v>
      </x:c>
      <x:c r="U686" s="14" t="str">
        <x:v>Не контактували</x:v>
      </x:c>
      <x:c r="V686" s="15" t="str">
        <x:v>Персоналізований free-pilot outreach по UA-2026-04-30-007020-a; попросити 1 пакет Н.14/Н.15</x:v>
      </x:c>
      <x:c r="W686" s="15" t="str">
        <x:v>Власник / виконавець; відповідальний за договір</x:v>
      </x:c>
      <x:c r="X686" s="15" t="str">
        <x:v>1 підтверджених перемог/договорів у Prozorro на 5 000 грн; 1 проєктів зі строком виконання не раніше 24.08.2026.</x:v>
      </x:c>
      <x:c r="Y686" s="15" t="str">
        <x:v>Послуги з монтажу, демонтажу лічильників тепла та контрольного лічильника води, всатновлених в системі опалення в ЗДО № 5 по вул. Князя Святослава, 9, м. Васильків, Київська область
(код ДК 021:2015: 50720000-8 Послуги з ремонту і технічного обслговування систем центрального опалення); строк до 2026-12-31. Попросити один знеособлений пакет здачі за цим workflow.</x:v>
      </x:c>
      <x:c r="Z686" s="15" t="str">
        <x:v>https://prozorro.gov.ua/tender/UA-2026-04-30-007020-a</x:v>
      </x:c>
      <x:c r="AA686" s="14" t="str">
        <x:v>3299302258</x:v>
      </x:c>
      <x:c r="AB686" s="14" t="str">
        <x:v>2026-08-24</x:v>
      </x:c>
      <x:c r="AC686" s="14" t="str"/>
      <x:c r="AD686" s="20" t="str"/>
      <x:c r="AE686" s="14" t="str"/>
      <x:c r="AF686" s="14" t="n">
        <x:v>43</x:v>
      </x:c>
      <x:c r="AG686" s="14" t="str">
        <x:v>I3</x:v>
      </x:c>
      <x:c r="AH686" s="14" t="n">
        <x:v>1</x:v>
      </x:c>
      <x:c r="AI686" s="14" t="n">
        <x:v>1</x:v>
      </x:c>
      <x:c r="AJ686" s="18" t="n">
        <x:v>5000</x:v>
      </x:c>
      <x:c r="AK686" s="14" t="str">
        <x:v>https://prozorro.gov.ua/tender/UA-2026-04-30-007020-a</x:v>
      </x:c>
      <x:c r="AL686" s="19" t="n">
        <x:v>46142.47348383102</x:v>
      </x:c>
      <x:c r="AM686" s="19" t="n">
        <x:v>46387</x:v>
      </x:c>
      <x:c r="AN686" s="15" t="str">
        <x:v>HVAC / ОВіК</x:v>
      </x:c>
      <x:c r="AO686" s="15" t="str">
        <x:v>not_found_in_top_search</x:v>
      </x:c>
    </x:row>
    <x:row r="687">
      <x:c r="A687" s="14" t="str">
        <x:v>W3-415</x:v>
      </x:c>
      <x:c r="B687" s="14" t="str">
        <x:v>Prozorro winners — 24.08</x:v>
      </x:c>
      <x:c r="C687" s="14" t="str">
        <x:v>МАЛЬЦЕВ ВЯЧЕСЛАВ ВОЛОДИМИРОВИЧ</x:v>
      </x:c>
      <x:c r="D687" s="14" t="str">
        <x:v>Газопостачання / котельні</x:v>
      </x:c>
      <x:c r="E687" s="14" t="str">
        <x:v>Expansion discovery</x:v>
      </x:c>
      <x:c r="F687" s="17" t="str">
        <x:f>IF(E687="Pilot now",IF(P687&gt;=84,"P1",IF(P687&gt;=72,"P2","P3")),IF(E687="Expansion discovery",IF(Q687&gt;=88,"D1",IF(Q687&gt;=78,"D2","D3")),IF(E687="Later / requirements","L","Legacy")))</x:f>
        <x:v>D2</x:v>
      </x:c>
      <x:c r="G687" s="14" t="str"/>
      <x:c r="H687" s="14" t="str">
        <x:v>Discovery розширення — 2 тижні</x:v>
      </x:c>
      <x:c r="I687" s="16" t="n">
        <x:v>1</x:v>
      </x:c>
      <x:c r="J687" s="16" t="n">
        <x:v>5</x:v>
      </x:c>
      <x:c r="K687" s="16" t="n">
        <x:v>4</x:v>
      </x:c>
      <x:c r="L687" s="16" t="n">
        <x:v>2</x:v>
      </x:c>
      <x:c r="M687" s="16" t="n">
        <x:v>5</x:v>
      </x:c>
      <x:c r="N687" s="16" t="n">
        <x:v>3</x:v>
      </x:c>
      <x:c r="O687" s="16" t="n">
        <x:v>5</x:v>
      </x:c>
      <x:c r="P687" s="16" t="n">
        <x:f>IF(COUNT(I687:O687)&lt;7,"",I687*8+J687*3+K687*2+L687*2+M687*2+N687*2+O687)</x:f>
        <x:v>56</x:v>
      </x:c>
      <x:c r="Q687" s="16" t="n">
        <x:f>IF(COUNT(J687:O687)&lt;6,"",J687*5+K687*4+M687*4+L687*3+N687*2+O687*2)</x:f>
        <x:v>83</x:v>
      </x:c>
      <x:c r="R687" s="14" t="str">
        <x:v>high</x:v>
      </x:c>
      <x:c r="S687" s="14" t="str">
        <x:v>official_prozorro_award_2025_2026</x:v>
      </x:c>
      <x:c r="T687" s="14" t="str">
        <x:v>official_prozorro_api</x:v>
      </x:c>
      <x:c r="U687" s="14" t="str">
        <x:v>Не контактували</x:v>
      </x:c>
      <x:c r="V687" s="15" t="str">
        <x:v>Workflow-audit outreach по UA-2026-05-18-007697-a; попросити 1 пакет здачі та вимоги проєкту</x:v>
      </x:c>
      <x:c r="W687" s="15" t="str">
        <x:v>Власник / виконавець; відповідальний за договір</x:v>
      </x:c>
      <x:c r="X687" s="15" t="str">
        <x:v>1 підтверджених перемог/договорів у Prozorro на 241 293 грн; 0 проєктів зі строком виконання не раніше 24.08.2026.</x:v>
      </x:c>
      <x:c r="Y687" s="15" t="str">
        <x:v>Нове будівництво модульної транспортабельної котельні у м. Харкові за адресою: вул. ********** (резервне живлення). Монтаж димових труб та зовнішньої каналізації (код ДК 021:2015 – 45251000-1 "Будівництво електростанцій і теплових станцій").; строк до 2026-06-30. Попросити один знеособлений пакет здачі за цим workflow.</x:v>
      </x:c>
      <x:c r="Z687" s="15" t="str">
        <x:v>https://prozorro.gov.ua/tender/UA-2026-05-18-007697-a</x:v>
      </x:c>
      <x:c r="AA687" s="14" t="str">
        <x:v>3050226417</x:v>
      </x:c>
      <x:c r="AB687" s="14" t="str">
        <x:v>2026-08-24</x:v>
      </x:c>
      <x:c r="AC687" s="14" t="str"/>
      <x:c r="AD687" s="20" t="str"/>
      <x:c r="AE687" s="14" t="str"/>
      <x:c r="AF687" s="14" t="n">
        <x:v>42</x:v>
      </x:c>
      <x:c r="AG687" s="14" t="str">
        <x:v>I3</x:v>
      </x:c>
      <x:c r="AH687" s="14" t="n">
        <x:v>1</x:v>
      </x:c>
      <x:c r="AI687" s="14" t="n">
        <x:v>0</x:v>
      </x:c>
      <x:c r="AJ687" s="18" t="n">
        <x:v>241293.44</x:v>
      </x:c>
      <x:c r="AK687" s="14" t="str">
        <x:v>https://prozorro.gov.ua/tender/UA-2026-05-18-007697-a</x:v>
      </x:c>
      <x:c r="AL687" s="19" t="n">
        <x:v>46160.46988414352</x:v>
      </x:c>
      <x:c r="AM687" s="19" t="n">
        <x:v>46203</x:v>
      </x:c>
      <x:c r="AN687" s="15" t="str">
        <x:v>Газопостачання / котельні</x:v>
      </x:c>
      <x:c r="AO687" s="15" t="str">
        <x:v>not_found_in_top_search</x:v>
      </x:c>
    </x:row>
    <x:row r="688">
      <x:c r="A688" s="14" t="str">
        <x:v>W3-416</x:v>
      </x:c>
      <x:c r="B688" s="14" t="str">
        <x:v>Prozorro winners — 24.08</x:v>
      </x:c>
      <x:c r="C688" s="14" t="str">
        <x:v>ТзОВ "Інфоком"</x:v>
      </x:c>
      <x:c r="D688" s="14" t="str">
        <x:v>ГНБ / безтраншейні роботи</x:v>
      </x:c>
      <x:c r="E688" s="14" t="str">
        <x:v>Expansion discovery</x:v>
      </x:c>
      <x:c r="F688" s="17" t="str">
        <x:f>IF(E688="Pilot now",IF(P688&gt;=84,"P1",IF(P688&gt;=72,"P2","P3")),IF(E688="Expansion discovery",IF(Q688&gt;=88,"D1",IF(Q688&gt;=78,"D2","D3")),IF(E688="Later / requirements","L","Legacy")))</x:f>
        <x:v>D2</x:v>
      </x:c>
      <x:c r="G688" s="14" t="str"/>
      <x:c r="H688" s="14" t="str">
        <x:v>Discovery розширення — 2 тижні</x:v>
      </x:c>
      <x:c r="I688" s="16" t="n">
        <x:v>1</x:v>
      </x:c>
      <x:c r="J688" s="16" t="n">
        <x:v>5</x:v>
      </x:c>
      <x:c r="K688" s="16" t="n">
        <x:v>4</x:v>
      </x:c>
      <x:c r="L688" s="16" t="n">
        <x:v>2</x:v>
      </x:c>
      <x:c r="M688" s="16" t="n">
        <x:v>5</x:v>
      </x:c>
      <x:c r="N688" s="16" t="n">
        <x:v>5</x:v>
      </x:c>
      <x:c r="O688" s="16" t="n">
        <x:v>5</x:v>
      </x:c>
      <x:c r="P688" s="16" t="n">
        <x:f>IF(COUNT(I688:O688)&lt;7,"",I688*8+J688*3+K688*2+L688*2+M688*2+N688*2+O688)</x:f>
        <x:v>60</x:v>
      </x:c>
      <x:c r="Q688" s="16" t="n">
        <x:f>IF(COUNT(J688:O688)&lt;6,"",J688*5+K688*4+M688*4+L688*3+N688*2+O688*2)</x:f>
        <x:v>87</x:v>
      </x:c>
      <x:c r="R688" s="14" t="str">
        <x:v>high</x:v>
      </x:c>
      <x:c r="S688" s="14" t="str">
        <x:v>official_prozorro_award_2025_2026</x:v>
      </x:c>
      <x:c r="T688" s="14" t="str">
        <x:v>official_prozorro_api</x:v>
      </x:c>
      <x:c r="U688" s="14" t="str">
        <x:v>Не контактували</x:v>
      </x:c>
      <x:c r="V688" s="15" t="str">
        <x:v>Workflow-audit outreach по UA-2026-02-13-000625-a; попросити 1 пакет здачі та вимоги проєкту</x:v>
      </x:c>
      <x:c r="W688" s="15" t="str">
        <x:v>Власник / директор; керівник ПТО; відповідальний за договори</x:v>
      </x:c>
      <x:c r="X688" s="15" t="str">
        <x:v>2 підтверджених перемог/договорів у Prozorro на 202 309 грн; 0 проєктів зі строком виконання не раніше 24.08.2026.</x:v>
      </x:c>
      <x:c r="Y688" s="15" t="str">
        <x:v>Поточний ремонт КЛ-0.6кВ ТП-7, фідер "Аеропорт"(Влаштування переходу методом горизонтально-направленого буріння (ГНБ) через перешкоди для прокладання футлярів під електрокабель по вул. Любінська-Виговського у м. Львові; строк до 2026-02-28. Попросити один знеособлений пакет здачі за цим workflow.</x:v>
      </x:c>
      <x:c r="Z688" s="15" t="str">
        <x:v>https://prozorro.gov.ua/tender/UA-2026-02-13-000625-a</x:v>
      </x:c>
      <x:c r="AA688" s="14" t="str">
        <x:v>25228900</x:v>
      </x:c>
      <x:c r="AB688" s="14" t="str">
        <x:v>2026-08-24</x:v>
      </x:c>
      <x:c r="AC688" s="14" t="str"/>
      <x:c r="AD688" s="20" t="str"/>
      <x:c r="AE688" s="14" t="str"/>
      <x:c r="AF688" s="14" t="n">
        <x:v>42</x:v>
      </x:c>
      <x:c r="AG688" s="14" t="str">
        <x:v>I3</x:v>
      </x:c>
      <x:c r="AH688" s="14" t="n">
        <x:v>2</x:v>
      </x:c>
      <x:c r="AI688" s="14" t="n">
        <x:v>0</x:v>
      </x:c>
      <x:c r="AJ688" s="18" t="n">
        <x:v>202309.44</x:v>
      </x:c>
      <x:c r="AK688" s="14" t="str">
        <x:v>https://prozorro.gov.ua/tender/UA-2026-02-13-000625-a</x:v>
      </x:c>
      <x:c r="AL688" s="19" t="n">
        <x:v>46066.28940515046</x:v>
      </x:c>
      <x:c r="AM688" s="19" t="n">
        <x:v>46081</x:v>
      </x:c>
      <x:c r="AN688" s="15" t="str">
        <x:v>ГНБ / безтраншейні роботи</x:v>
      </x:c>
      <x:c r="AO688" s="15" t="str">
        <x:v>not_found_in_top_search</x:v>
      </x:c>
    </x:row>
    <x:row r="689">
      <x:c r="A689" s="14" t="str">
        <x:v>W3-417</x:v>
      </x:c>
      <x:c r="B689" s="14" t="str">
        <x:v>Prozorro winners — 24.08</x:v>
      </x:c>
      <x:c r="C689" s="14" t="str">
        <x:v>Товариство з обмеженою відповідальністю "Ковельпроект"</x:v>
      </x:c>
      <x:c r="D689" s="14" t="str">
        <x:v>Водоочищення / очисні споруди</x:v>
      </x:c>
      <x:c r="E689" s="14" t="str">
        <x:v>Expansion discovery</x:v>
      </x:c>
      <x:c r="F689" s="17" t="str">
        <x:f>IF(E689="Pilot now",IF(P689&gt;=84,"P1",IF(P689&gt;=72,"P2","P3")),IF(E689="Expansion discovery",IF(Q689&gt;=88,"D1",IF(Q689&gt;=78,"D2","D3")),IF(E689="Later / requirements","L","Legacy")))</x:f>
        <x:v>D2</x:v>
      </x:c>
      <x:c r="G689" s="14" t="str"/>
      <x:c r="H689" s="14" t="str">
        <x:v>Discovery розширення — 2 тижні</x:v>
      </x:c>
      <x:c r="I689" s="16" t="n">
        <x:v>1</x:v>
      </x:c>
      <x:c r="J689" s="16" t="n">
        <x:v>5</x:v>
      </x:c>
      <x:c r="K689" s="16" t="n">
        <x:v>4</x:v>
      </x:c>
      <x:c r="L689" s="16" t="n">
        <x:v>2</x:v>
      </x:c>
      <x:c r="M689" s="16" t="n">
        <x:v>5</x:v>
      </x:c>
      <x:c r="N689" s="16" t="n">
        <x:v>5</x:v>
      </x:c>
      <x:c r="O689" s="16" t="n">
        <x:v>5</x:v>
      </x:c>
      <x:c r="P689" s="16" t="n">
        <x:f>IF(COUNT(I689:O689)&lt;7,"",I689*8+J689*3+K689*2+L689*2+M689*2+N689*2+O689)</x:f>
        <x:v>60</x:v>
      </x:c>
      <x:c r="Q689" s="16" t="n">
        <x:f>IF(COUNT(J689:O689)&lt;6,"",J689*5+K689*4+M689*4+L689*3+N689*2+O689*2)</x:f>
        <x:v>87</x:v>
      </x:c>
      <x:c r="R689" s="14" t="str">
        <x:v>high</x:v>
      </x:c>
      <x:c r="S689" s="14" t="str">
        <x:v>official_prozorro_award_2025_2026</x:v>
      </x:c>
      <x:c r="T689" s="14" t="str">
        <x:v>official_prozorro_api</x:v>
      </x:c>
      <x:c r="U689" s="14" t="str">
        <x:v>Не контактували</x:v>
      </x:c>
      <x:c r="V689" s="15" t="str">
        <x:v>Workflow-audit outreach по UA-2026-03-20-004544-a; попросити 1 пакет здачі та вимоги проєкту</x:v>
      </x:c>
      <x:c r="W689" s="15" t="str">
        <x:v>Власник / директор; керівник ПТО; відповідальний за договори</x:v>
      </x:c>
      <x:c r="X689" s="15" t="str">
        <x:v>1 підтверджених перемог/договорів у Prozorro на 100 858 грн; 1 проєктів зі строком виконання не раніше 24.08.2026.</x:v>
      </x:c>
      <x:c r="Y689" s="15" t="str">
        <x:v>Реконструкція електромереж від КГУ на котельні с. Вербка, вул. Молодіжна, 13 до очисних споруд по вул. Грабовського в м. Ковель; строк до 2026-12-31. Попросити один знеособлений пакет здачі за цим workflow.</x:v>
      </x:c>
      <x:c r="Z689" s="15" t="str">
        <x:v>https://prozorro.gov.ua/tender/UA-2026-03-20-004544-a</x:v>
      </x:c>
      <x:c r="AA689" s="14" t="str">
        <x:v>45937126</x:v>
      </x:c>
      <x:c r="AB689" s="14" t="str">
        <x:v>2026-08-24</x:v>
      </x:c>
      <x:c r="AC689" s="14" t="str"/>
      <x:c r="AD689" s="20" t="str"/>
      <x:c r="AE689" s="14" t="str"/>
      <x:c r="AF689" s="14" t="n">
        <x:v>42</x:v>
      </x:c>
      <x:c r="AG689" s="14" t="str">
        <x:v>I3</x:v>
      </x:c>
      <x:c r="AH689" s="14" t="n">
        <x:v>1</x:v>
      </x:c>
      <x:c r="AI689" s="14" t="n">
        <x:v>1</x:v>
      </x:c>
      <x:c r="AJ689" s="18" t="n">
        <x:v>100858</x:v>
      </x:c>
      <x:c r="AK689" s="14" t="str">
        <x:v>https://prozorro.gov.ua/tender/UA-2026-03-20-004544-a</x:v>
      </x:c>
      <x:c r="AL689" s="19" t="n">
        <x:v>46101.38826259259</x:v>
      </x:c>
      <x:c r="AM689" s="19" t="n">
        <x:v>46387</x:v>
      </x:c>
      <x:c r="AN689" s="15" t="str">
        <x:v>Водоочищення / очисні споруди</x:v>
      </x:c>
      <x:c r="AO689" s="15" t="str">
        <x:v>not_found_in_top_search</x:v>
      </x:c>
    </x:row>
    <x:row r="690">
      <x:c r="A690" s="14" t="str">
        <x:v>W3-418</x:v>
      </x:c>
      <x:c r="B690" s="14" t="str">
        <x:v>Prozorro winners — 24.08</x:v>
      </x:c>
      <x:c r="C690" s="14" t="str">
        <x:v>ТОВАРИСТВО З ОБМЕЖЕНОЮ ВІДПОВІДАЛЬНІСТЮ З ІНОЗЕМНИМИ ІНВЕСТИЦІЯМИ "ЮРОМАШ"</x:v>
      </x:c>
      <x:c r="D690" s="14" t="str">
        <x:v>ГНБ / безтраншейні роботи</x:v>
      </x:c>
      <x:c r="E690" s="14" t="str">
        <x:v>Expansion discovery</x:v>
      </x:c>
      <x:c r="F690" s="17" t="str">
        <x:f>IF(E690="Pilot now",IF(P690&gt;=84,"P1",IF(P690&gt;=72,"P2","P3")),IF(E690="Expansion discovery",IF(Q690&gt;=88,"D1",IF(Q690&gt;=78,"D2","D3")),IF(E690="Later / requirements","L","Legacy")))</x:f>
        <x:v>D1</x:v>
      </x:c>
      <x:c r="G690" s="14" t="str"/>
      <x:c r="H690" s="14" t="str">
        <x:v>Discovery розширення — 2 тижні</x:v>
      </x:c>
      <x:c r="I690" s="16" t="n">
        <x:v>1</x:v>
      </x:c>
      <x:c r="J690" s="16" t="n">
        <x:v>5</x:v>
      </x:c>
      <x:c r="K690" s="16" t="n">
        <x:v>4</x:v>
      </x:c>
      <x:c r="L690" s="16" t="n">
        <x:v>5</x:v>
      </x:c>
      <x:c r="M690" s="16" t="n">
        <x:v>5</x:v>
      </x:c>
      <x:c r="N690" s="16" t="n">
        <x:v>5</x:v>
      </x:c>
      <x:c r="O690" s="16" t="n">
        <x:v>5</x:v>
      </x:c>
      <x:c r="P690" s="16" t="n">
        <x:f>IF(COUNT(I690:O690)&lt;7,"",I690*8+J690*3+K690*2+L690*2+M690*2+N690*2+O690)</x:f>
        <x:v>66</x:v>
      </x:c>
      <x:c r="Q690" s="16" t="n">
        <x:f>IF(COUNT(J690:O690)&lt;6,"",J690*5+K690*4+M690*4+L690*3+N690*2+O690*2)</x:f>
        <x:v>96</x:v>
      </x:c>
      <x:c r="R690" s="14" t="str">
        <x:v>high</x:v>
      </x:c>
      <x:c r="S690" s="14" t="str">
        <x:v>official_prozorro_award_2025_2026</x:v>
      </x:c>
      <x:c r="T690" s="14" t="str">
        <x:v>official_prozorro_api</x:v>
      </x:c>
      <x:c r="U690" s="14" t="str">
        <x:v>Не контактували</x:v>
      </x:c>
      <x:c r="V690" s="15" t="str">
        <x:v>Workflow-audit outreach по UA-2025-10-01-003923-a; попросити 1 пакет здачі та вимоги проєкту</x:v>
      </x:c>
      <x:c r="W690" s="15" t="str">
        <x:v>Власник / директор; керівник ПТО; відповідальний за договори</x:v>
      </x:c>
      <x:c r="X690" s="15" t="str">
        <x:v>1 підтверджених перемог/договорів у Prozorro на 12 433 700 грн; 0 проєктів зі строком виконання не раніше 24.08.2026.</x:v>
      </x:c>
      <x:c r="Y690" s="15" t="str">
        <x:v>25Т-469_43130000-3 - Бурове обладнання (Установка горизонтально-направленого буріння); строк до 2025-12-31. Попросити один знеособлений пакет здачі за цим workflow.</x:v>
      </x:c>
      <x:c r="Z690" s="15" t="str">
        <x:v>https://prozorro.gov.ua/tender/UA-2025-10-01-003923-a</x:v>
      </x:c>
      <x:c r="AA690" s="14" t="str">
        <x:v>32849408</x:v>
      </x:c>
      <x:c r="AB690" s="14" t="str">
        <x:v>2026-08-24</x:v>
      </x:c>
      <x:c r="AC690" s="14" t="str"/>
      <x:c r="AD690" s="20" t="str"/>
      <x:c r="AE690" s="14" t="str"/>
      <x:c r="AF690" s="14" t="n">
        <x:v>41</x:v>
      </x:c>
      <x:c r="AG690" s="14" t="str">
        <x:v>I3</x:v>
      </x:c>
      <x:c r="AH690" s="14" t="n">
        <x:v>1</x:v>
      </x:c>
      <x:c r="AI690" s="14" t="n">
        <x:v>0</x:v>
      </x:c>
      <x:c r="AJ690" s="18" t="n">
        <x:v>12433700</x:v>
      </x:c>
      <x:c r="AK690" s="14" t="str">
        <x:v>https://prozorro.gov.ua/tender/UA-2025-10-01-003923-a</x:v>
      </x:c>
      <x:c r="AL690" s="19" t="n">
        <x:v>45960.35516327546</x:v>
      </x:c>
      <x:c r="AM690" s="19" t="n">
        <x:v>46022</x:v>
      </x:c>
      <x:c r="AN690" s="15" t="str">
        <x:v>ГНБ / безтраншейні роботи</x:v>
      </x:c>
      <x:c r="AO690" s="15" t="str">
        <x:v>not_found_in_top_search</x:v>
      </x:c>
    </x:row>
    <x:row r="691">
      <x:c r="A691" s="14" t="str">
        <x:v>W3-419</x:v>
      </x:c>
      <x:c r="B691" s="14" t="str">
        <x:v>Prozorro winners — 24.08</x:v>
      </x:c>
      <x:c r="C691" s="14" t="str">
        <x:v>ТОВАРИСТВО З ОБМЕЖЕНОЮ ВІДПОВІДАЛЬНІСТЮ "ВЕНТПРОМЕЛЕКТРОМОНТАЖ"</x:v>
      </x:c>
      <x:c r="D691" s="14" t="str">
        <x:v>HVAC / ОВіК</x:v>
      </x:c>
      <x:c r="E691" s="14" t="str">
        <x:v>Pilot now</x:v>
      </x:c>
      <x:c r="F691" s="17" t="str">
        <x:f>IF(E691="Pilot now",IF(P691&gt;=84,"P1",IF(P691&gt;=72,"P2","P3")),IF(E691="Expansion discovery",IF(Q691&gt;=88,"D1",IF(Q691&gt;=78,"D2","D3")),IF(E691="Later / requirements","L","Legacy")))</x:f>
        <x:v>P1</x:v>
      </x:c>
      <x:c r="G691" s="14" t="str"/>
      <x:c r="H691" s="14" t="str">
        <x:v>Пілот зараз — Н.14</x:v>
      </x:c>
      <x:c r="I691" s="16" t="n">
        <x:v>5</x:v>
      </x:c>
      <x:c r="J691" s="16" t="n">
        <x:v>5</x:v>
      </x:c>
      <x:c r="K691" s="16" t="n">
        <x:v>5</x:v>
      </x:c>
      <x:c r="L691" s="16" t="n">
        <x:v>3</x:v>
      </x:c>
      <x:c r="M691" s="16" t="n">
        <x:v>5</x:v>
      </x:c>
      <x:c r="N691" s="16" t="n">
        <x:v>5</x:v>
      </x:c>
      <x:c r="O691" s="16" t="n">
        <x:v>5</x:v>
      </x:c>
      <x:c r="P691" s="16" t="n">
        <x:f>IF(COUNT(I691:O691)&lt;7,"",I691*8+J691*3+K691*2+L691*2+M691*2+N691*2+O691)</x:f>
        <x:v>96</x:v>
      </x:c>
      <x:c r="Q691" s="16" t="n">
        <x:f>IF(COUNT(J691:O691)&lt;6,"",J691*5+K691*4+M691*4+L691*3+N691*2+O691*2)</x:f>
        <x:v>94</x:v>
      </x:c>
      <x:c r="R691" s="14" t="str">
        <x:v>high</x:v>
      </x:c>
      <x:c r="S691" s="14" t="str">
        <x:v>official_prozorro_award_2025_2026</x:v>
      </x:c>
      <x:c r="T691" s="14" t="str">
        <x:v>official_prozorro_api</x:v>
      </x:c>
      <x:c r="U691" s="14" t="str">
        <x:v>Не контактували</x:v>
      </x:c>
      <x:c r="V691" s="15" t="str">
        <x:v>Персоналізований free-pilot outreach по UA-2026-01-12-006627-a; попросити 1 пакет Н.14/Н.15</x:v>
      </x:c>
      <x:c r="W691" s="15" t="str">
        <x:v>Власник / директор; керівник ПТО; відповідальний за договори</x:v>
      </x:c>
      <x:c r="X691" s="15" t="str">
        <x:v>1 підтверджених перемог/договорів у Prozorro на 1 098 000 грн; 0 проєктів зі строком виконання не раніше 24.08.2026.</x:v>
      </x:c>
      <x:c r="Y691" s="15" t="str">
        <x:v>Придбання, монтаж та пусконалагодження системи вентиляції ДНК-лабораторії.; строк до 2026-02-27. Попросити один знеособлений пакет здачі за цим workflow.</x:v>
      </x:c>
      <x:c r="Z691" s="15" t="str">
        <x:v>https://prozorro.gov.ua/tender/UA-2026-01-12-006627-a</x:v>
      </x:c>
      <x:c r="AA691" s="14" t="str">
        <x:v>41731677</x:v>
      </x:c>
      <x:c r="AB691" s="14" t="str">
        <x:v>2026-08-24</x:v>
      </x:c>
      <x:c r="AC691" s="14" t="str"/>
      <x:c r="AD691" s="20" t="str"/>
      <x:c r="AE691" s="14" t="str"/>
      <x:c r="AF691" s="14" t="n">
        <x:v>41</x:v>
      </x:c>
      <x:c r="AG691" s="14" t="str">
        <x:v>I3</x:v>
      </x:c>
      <x:c r="AH691" s="14" t="n">
        <x:v>1</x:v>
      </x:c>
      <x:c r="AI691" s="14" t="n">
        <x:v>0</x:v>
      </x:c>
      <x:c r="AJ691" s="18" t="n">
        <x:v>1098000</x:v>
      </x:c>
      <x:c r="AK691" s="14" t="str">
        <x:v>https://prozorro.gov.ua/tender/UA-2026-01-12-006627-a</x:v>
      </x:c>
      <x:c r="AL691" s="19" t="n">
        <x:v>46049.36088487269</x:v>
      </x:c>
      <x:c r="AM691" s="19" t="n">
        <x:v>46080</x:v>
      </x:c>
      <x:c r="AN691" s="15" t="str">
        <x:v>HVAC / ОВіК</x:v>
      </x:c>
      <x:c r="AO691" s="15" t="str">
        <x:v>not_found_in_top_search</x:v>
      </x:c>
    </x:row>
    <x:row r="692">
      <x:c r="A692" s="14" t="str">
        <x:v>W3-420</x:v>
      </x:c>
      <x:c r="B692" s="14" t="str">
        <x:v>Prozorro winners — 24.08</x:v>
      </x:c>
      <x:c r="C692" s="14" t="str">
        <x:v>ТОВ "ТОРГІВЕЛЬНИЙ ДІМ ВЕДА"</x:v>
      </x:c>
      <x:c r="D692" s="14" t="str">
        <x:v>HVAC / ОВіК</x:v>
      </x:c>
      <x:c r="E692" s="14" t="str">
        <x:v>Pilot now</x:v>
      </x:c>
      <x:c r="F692" s="17" t="str">
        <x:f>IF(E692="Pilot now",IF(P692&gt;=84,"P1",IF(P692&gt;=72,"P2","P3")),IF(E692="Expansion discovery",IF(Q692&gt;=88,"D1",IF(Q692&gt;=78,"D2","D3")),IF(E692="Later / requirements","L","Legacy")))</x:f>
        <x:v>P1</x:v>
      </x:c>
      <x:c r="G692" s="14" t="str"/>
      <x:c r="H692" s="14" t="str">
        <x:v>Пілот зараз — Н.14</x:v>
      </x:c>
      <x:c r="I692" s="16" t="n">
        <x:v>5</x:v>
      </x:c>
      <x:c r="J692" s="16" t="n">
        <x:v>5</x:v>
      </x:c>
      <x:c r="K692" s="16" t="n">
        <x:v>5</x:v>
      </x:c>
      <x:c r="L692" s="16" t="n">
        <x:v>1</x:v>
      </x:c>
      <x:c r="M692" s="16" t="n">
        <x:v>5</x:v>
      </x:c>
      <x:c r="N692" s="16" t="n">
        <x:v>5</x:v>
      </x:c>
      <x:c r="O692" s="16" t="n">
        <x:v>5</x:v>
      </x:c>
      <x:c r="P692" s="16" t="n">
        <x:f>IF(COUNT(I692:O692)&lt;7,"",I692*8+J692*3+K692*2+L692*2+M692*2+N692*2+O692)</x:f>
        <x:v>92</x:v>
      </x:c>
      <x:c r="Q692" s="16" t="n">
        <x:f>IF(COUNT(J692:O692)&lt;6,"",J692*5+K692*4+M692*4+L692*3+N692*2+O692*2)</x:f>
        <x:v>88</x:v>
      </x:c>
      <x:c r="R692" s="14" t="str">
        <x:v>high</x:v>
      </x:c>
      <x:c r="S692" s="14" t="str">
        <x:v>official_prozorro_award_2025_2026</x:v>
      </x:c>
      <x:c r="T692" s="14" t="str">
        <x:v>official_prozorro_api</x:v>
      </x:c>
      <x:c r="U692" s="14" t="str">
        <x:v>Не контактували</x:v>
      </x:c>
      <x:c r="V692" s="15" t="str">
        <x:v>Персоналізований free-pilot outreach по UA-2026-05-19-014964-a; попросити 1 пакет Н.14/Н.15</x:v>
      </x:c>
      <x:c r="W692" s="15" t="str">
        <x:v>Власник / директор; керівник ПТО; відповідальний за договори</x:v>
      </x:c>
      <x:c r="X692" s="15" t="str">
        <x:v>1 підтверджених перемог/договорів у Prozorro на 75 000 грн; 0 проєктів зі строком виконання не раніше 24.08.2026.</x:v>
      </x:c>
      <x:c r="Y692" s="15" t="str">
        <x:v> Закупівля ділеться на лоти:Твердопаливний котел потужністю 40 кВт у комплекті з автоматикою та вентилятором наддуву .
Комплект елементів димоходу з нержавіючої сталі двостінних (утеплених) та одностінних. 
Трубопровідна арматура, фітинги та приладдя для монтажу системи опалення; строк до 2026-07-01. Попросити один знеособлений пакет здачі за цим workflow.</x:v>
      </x:c>
      <x:c r="Z692" s="15" t="str">
        <x:v>https://prozorro.gov.ua/tender/UA-2026-05-19-014964-a</x:v>
      </x:c>
      <x:c r="AA692" s="14" t="str">
        <x:v>43070563</x:v>
      </x:c>
      <x:c r="AB692" s="14" t="str">
        <x:v>2026-08-24</x:v>
      </x:c>
      <x:c r="AC692" s="14" t="str"/>
      <x:c r="AD692" s="20" t="str"/>
      <x:c r="AE692" s="14" t="str"/>
      <x:c r="AF692" s="14" t="n">
        <x:v>41</x:v>
      </x:c>
      <x:c r="AG692" s="14" t="str">
        <x:v>I3</x:v>
      </x:c>
      <x:c r="AH692" s="14" t="n">
        <x:v>1</x:v>
      </x:c>
      <x:c r="AI692" s="14" t="n">
        <x:v>0</x:v>
      </x:c>
      <x:c r="AJ692" s="18" t="n">
        <x:v>75000</x:v>
      </x:c>
      <x:c r="AK692" s="14" t="str">
        <x:v>https://prozorro.gov.ua/tender/UA-2026-05-19-014964-a</x:v>
      </x:c>
      <x:c r="AL692" s="19" t="n">
        <x:v>46169.46751858796</x:v>
      </x:c>
      <x:c r="AM692" s="19" t="n">
        <x:v>46204</x:v>
      </x:c>
      <x:c r="AN692" s="15" t="str">
        <x:v>HVAC / ОВіК</x:v>
      </x:c>
      <x:c r="AO692" s="15" t="str">
        <x:v>not_found_in_top_search</x:v>
      </x:c>
    </x:row>
    <x:row r="693">
      <x:c r="A693" s="14" t="str">
        <x:v>W3-421</x:v>
      </x:c>
      <x:c r="B693" s="14" t="str">
        <x:v>Prozorro winners — 24.08</x:v>
      </x:c>
      <x:c r="C693" s="14" t="str">
        <x:v>ТОВАРИСТВО З ОБМЕЖЕНОЮ ВІДПОВІДАЛЬНІСТЮ "ОХОРОННЕ ПІДПРИЄМСТВО "ФОРТ"</x:v>
      </x:c>
      <x:c r="D693" s="14" t="str">
        <x:v>Безпека / СКУД / CCTV</x:v>
      </x:c>
      <x:c r="E693" s="14" t="str">
        <x:v>Expansion discovery</x:v>
      </x:c>
      <x:c r="F693" s="17" t="str">
        <x:f>IF(E693="Pilot now",IF(P693&gt;=84,"P1",IF(P693&gt;=72,"P2","P3")),IF(E693="Expansion discovery",IF(Q693&gt;=88,"D1",IF(Q693&gt;=78,"D2","D3")),IF(E693="Later / requirements","L","Legacy")))</x:f>
        <x:v>D2</x:v>
      </x:c>
      <x:c r="G693" s="14" t="str"/>
      <x:c r="H693" s="14" t="str">
        <x:v>Discovery розширення — 2 тижні</x:v>
      </x:c>
      <x:c r="I693" s="16" t="n">
        <x:v>1</x:v>
      </x:c>
      <x:c r="J693" s="16" t="n">
        <x:v>5</x:v>
      </x:c>
      <x:c r="K693" s="16" t="n">
        <x:v>4</x:v>
      </x:c>
      <x:c r="L693" s="16" t="n">
        <x:v>1</x:v>
      </x:c>
      <x:c r="M693" s="16" t="n">
        <x:v>5</x:v>
      </x:c>
      <x:c r="N693" s="16" t="n">
        <x:v>5</x:v>
      </x:c>
      <x:c r="O693" s="16" t="n">
        <x:v>5</x:v>
      </x:c>
      <x:c r="P693" s="16" t="n">
        <x:f>IF(COUNT(I693:O693)&lt;7,"",I693*8+J693*3+K693*2+L693*2+M693*2+N693*2+O693)</x:f>
        <x:v>58</x:v>
      </x:c>
      <x:c r="Q693" s="16" t="n">
        <x:f>IF(COUNT(J693:O693)&lt;6,"",J693*5+K693*4+M693*4+L693*3+N693*2+O693*2)</x:f>
        <x:v>84</x:v>
      </x:c>
      <x:c r="R693" s="14" t="str">
        <x:v>high</x:v>
      </x:c>
      <x:c r="S693" s="14" t="str">
        <x:v>official_prozorro_award_2025_2026</x:v>
      </x:c>
      <x:c r="T693" s="14" t="str">
        <x:v>official_prozorro_api</x:v>
      </x:c>
      <x:c r="U693" s="14" t="str">
        <x:v>Не контактували</x:v>
      </x:c>
      <x:c r="V693" s="15" t="str">
        <x:v>Workflow-audit outreach по UA-2026-07-01-002439-a; попросити 1 пакет здачі та вимоги проєкту</x:v>
      </x:c>
      <x:c r="W693" s="15" t="str">
        <x:v>Власник / директор; керівник ПТО; відповідальний за договори</x:v>
      </x:c>
      <x:c r="X693" s="15" t="str">
        <x:v>1 підтверджених перемог/договорів у Prozorro на 73 321 грн; 0 проєктів зі строком виконання не раніше 24.08.2026.</x:v>
      </x:c>
      <x:c r="Y693" s="15" t="str">
        <x:v>Послуги зі встановлення контрольного обладнання код ДК 021:2015:51220000-0  (Монтаж та пусконалагоджувальні роботи системи контролю та управління доступом); строк до 2026-08-03. Попросити один знеособлений пакет здачі за цим workflow.</x:v>
      </x:c>
      <x:c r="Z693" s="15" t="str">
        <x:v>https://prozorro.gov.ua/tender/UA-2026-07-01-002439-a</x:v>
      </x:c>
      <x:c r="AA693" s="14" t="str">
        <x:v>32081955</x:v>
      </x:c>
      <x:c r="AB693" s="14" t="str">
        <x:v>2026-08-24</x:v>
      </x:c>
      <x:c r="AC693" s="14" t="str"/>
      <x:c r="AD693" s="20" t="str"/>
      <x:c r="AE693" s="14" t="str"/>
      <x:c r="AF693" s="14" t="n">
        <x:v>41</x:v>
      </x:c>
      <x:c r="AG693" s="14" t="str">
        <x:v>I3</x:v>
      </x:c>
      <x:c r="AH693" s="14" t="n">
        <x:v>1</x:v>
      </x:c>
      <x:c r="AI693" s="14" t="n">
        <x:v>0</x:v>
      </x:c>
      <x:c r="AJ693" s="18" t="n">
        <x:v>73321.2</x:v>
      </x:c>
      <x:c r="AK693" s="14" t="str">
        <x:v>https://prozorro.gov.ua/tender/UA-2026-07-01-002439-a</x:v>
      </x:c>
      <x:c r="AL693" s="19" t="n">
        <x:v>46204.362556064814</x:v>
      </x:c>
      <x:c r="AM693" s="19" t="n">
        <x:v>46237.34087962963</x:v>
      </x:c>
      <x:c r="AN693" s="15" t="str">
        <x:v>Безпека / СКУД / CCTV</x:v>
      </x:c>
      <x:c r="AO693" s="15" t="str">
        <x:v>not_found_in_top_search</x:v>
      </x:c>
    </x:row>
    <x:row r="694">
      <x:c r="A694" s="14" t="str">
        <x:v>W3-422</x:v>
      </x:c>
      <x:c r="B694" s="14" t="str">
        <x:v>Prozorro winners — 24.08</x:v>
      </x:c>
      <x:c r="C694" s="14" t="str">
        <x:v>Товариство з обмеженою відповідальністю "СЕРВІСРУМ"</x:v>
      </x:c>
      <x:c r="D694" s="14" t="str">
        <x:v>HVAC / ОВіК</x:v>
      </x:c>
      <x:c r="E694" s="14" t="str">
        <x:v>Pilot now</x:v>
      </x:c>
      <x:c r="F694" s="17" t="str">
        <x:f>IF(E694="Pilot now",IF(P694&gt;=84,"P1",IF(P694&gt;=72,"P2","P3")),IF(E694="Expansion discovery",IF(Q694&gt;=88,"D1",IF(Q694&gt;=78,"D2","D3")),IF(E694="Later / requirements","L","Legacy")))</x:f>
        <x:v>P1</x:v>
      </x:c>
      <x:c r="G694" s="14" t="str"/>
      <x:c r="H694" s="14" t="str">
        <x:v>Пілот зараз — Н.14</x:v>
      </x:c>
      <x:c r="I694" s="16" t="n">
        <x:v>5</x:v>
      </x:c>
      <x:c r="J694" s="16" t="n">
        <x:v>5</x:v>
      </x:c>
      <x:c r="K694" s="16" t="n">
        <x:v>5</x:v>
      </x:c>
      <x:c r="L694" s="16" t="n">
        <x:v>1</x:v>
      </x:c>
      <x:c r="M694" s="16" t="n">
        <x:v>5</x:v>
      </x:c>
      <x:c r="N694" s="16" t="n">
        <x:v>5</x:v>
      </x:c>
      <x:c r="O694" s="16" t="n">
        <x:v>5</x:v>
      </x:c>
      <x:c r="P694" s="16" t="n">
        <x:f>IF(COUNT(I694:O694)&lt;7,"",I694*8+J694*3+K694*2+L694*2+M694*2+N694*2+O694)</x:f>
        <x:v>92</x:v>
      </x:c>
      <x:c r="Q694" s="16" t="n">
        <x:f>IF(COUNT(J694:O694)&lt;6,"",J694*5+K694*4+M694*4+L694*3+N694*2+O694*2)</x:f>
        <x:v>88</x:v>
      </x:c>
      <x:c r="R694" s="14" t="str">
        <x:v>high</x:v>
      </x:c>
      <x:c r="S694" s="14" t="str">
        <x:v>official_prozorro_award_2025_2026</x:v>
      </x:c>
      <x:c r="T694" s="14" t="str">
        <x:v>official_prozorro_api</x:v>
      </x:c>
      <x:c r="U694" s="14" t="str">
        <x:v>Не контактували</x:v>
      </x:c>
      <x:c r="V694" s="15" t="str">
        <x:v>Персоналізований free-pilot outreach по UA-2026-05-08-008912-a; попросити 1 пакет Н.14/Н.15</x:v>
      </x:c>
      <x:c r="W694" s="15" t="str">
        <x:v>Власник / директор; керівник ПТО; відповідальний за договори</x:v>
      </x:c>
      <x:c r="X694" s="15" t="str">
        <x:v>1 підтверджених перемог/договорів у Prozorro на 68 700 грн; 0 проєктів зі строком виконання не раніше 24.08.2026.</x:v>
      </x:c>
      <x:c r="Y694" s="15" t="str">
        <x:v>Комплекс послуг з монтажу водопровідних мереж та системи опалення за адресою м.Київ, вул. Євгена Чикаленка, буд. 34 Б, В; строк до 2026-05-31. Попросити один знеособлений пакет здачі за цим workflow.</x:v>
      </x:c>
      <x:c r="Z694" s="15" t="str">
        <x:v>https://prozorro.gov.ua/tender/UA-2026-05-08-008912-a</x:v>
      </x:c>
      <x:c r="AA694" s="14" t="str">
        <x:v>45408976</x:v>
      </x:c>
      <x:c r="AB694" s="14" t="str">
        <x:v>2026-08-24</x:v>
      </x:c>
      <x:c r="AC694" s="14" t="str"/>
      <x:c r="AD694" s="20" t="str"/>
      <x:c r="AE694" s="14" t="str"/>
      <x:c r="AF694" s="14" t="n">
        <x:v>41</x:v>
      </x:c>
      <x:c r="AG694" s="14" t="str">
        <x:v>I3</x:v>
      </x:c>
      <x:c r="AH694" s="14" t="n">
        <x:v>1</x:v>
      </x:c>
      <x:c r="AI694" s="14" t="n">
        <x:v>0</x:v>
      </x:c>
      <x:c r="AJ694" s="18" t="n">
        <x:v>68700</x:v>
      </x:c>
      <x:c r="AK694" s="14" t="str">
        <x:v>https://prozorro.gov.ua/tender/UA-2026-05-08-008912-a</x:v>
      </x:c>
      <x:c r="AL694" s="19" t="n">
        <x:v>46150.474411145835</x:v>
      </x:c>
      <x:c r="AM694" s="19" t="n">
        <x:v>46173</x:v>
      </x:c>
      <x:c r="AN694" s="15" t="str">
        <x:v>HVAC / ОВіК</x:v>
      </x:c>
      <x:c r="AO694" s="15" t="str">
        <x:v>not_found_in_top_search</x:v>
      </x:c>
    </x:row>
    <x:row r="695">
      <x:c r="A695" s="14" t="str">
        <x:v>W3-423</x:v>
      </x:c>
      <x:c r="B695" s="14" t="str">
        <x:v>Prozorro winners — 24.08</x:v>
      </x:c>
      <x:c r="C695" s="14" t="str">
        <x:v>ТОВАРИСТВО З ОБМЕЖЕНОЮ ВІДПОВІДАЛЬНІСТЮ "КОНСАЛТИНГОВА АГЕНЦІЯ "ГАЛІЛЕО"</x:v>
      </x:c>
      <x:c r="D695" s="14" t="str">
        <x:v>Насосні станції</x:v>
      </x:c>
      <x:c r="E695" s="14" t="str">
        <x:v>Expansion discovery</x:v>
      </x:c>
      <x:c r="F695" s="17" t="str">
        <x:f>IF(E695="Pilot now",IF(P695&gt;=84,"P1",IF(P695&gt;=72,"P2","P3")),IF(E695="Expansion discovery",IF(Q695&gt;=88,"D1",IF(Q695&gt;=78,"D2","D3")),IF(E695="Later / requirements","L","Legacy")))</x:f>
        <x:v>D2</x:v>
      </x:c>
      <x:c r="G695" s="14" t="str"/>
      <x:c r="H695" s="14" t="str">
        <x:v>Discovery розширення — 2 тижні</x:v>
      </x:c>
      <x:c r="I695" s="16" t="n">
        <x:v>1</x:v>
      </x:c>
      <x:c r="J695" s="16" t="n">
        <x:v>5</x:v>
      </x:c>
      <x:c r="K695" s="16" t="n">
        <x:v>4</x:v>
      </x:c>
      <x:c r="L695" s="16" t="n">
        <x:v>1</x:v>
      </x:c>
      <x:c r="M695" s="16" t="n">
        <x:v>5</x:v>
      </x:c>
      <x:c r="N695" s="16" t="n">
        <x:v>5</x:v>
      </x:c>
      <x:c r="O695" s="16" t="n">
        <x:v>5</x:v>
      </x:c>
      <x:c r="P695" s="16" t="n">
        <x:f>IF(COUNT(I695:O695)&lt;7,"",I695*8+J695*3+K695*2+L695*2+M695*2+N695*2+O695)</x:f>
        <x:v>58</x:v>
      </x:c>
      <x:c r="Q695" s="16" t="n">
        <x:f>IF(COUNT(J695:O695)&lt;6,"",J695*5+K695*4+M695*4+L695*3+N695*2+O695*2)</x:f>
        <x:v>84</x:v>
      </x:c>
      <x:c r="R695" s="14" t="str">
        <x:v>high</x:v>
      </x:c>
      <x:c r="S695" s="14" t="str">
        <x:v>official_prozorro_award_2025_2026</x:v>
      </x:c>
      <x:c r="T695" s="14" t="str">
        <x:v>official_prozorro_api</x:v>
      </x:c>
      <x:c r="U695" s="14" t="str">
        <x:v>Не контактували</x:v>
      </x:c>
      <x:c r="V695" s="15" t="str">
        <x:v>Workflow-audit outreach по UA-2026-06-01-009371-a; попросити 1 пакет здачі та вимоги проєкту</x:v>
      </x:c>
      <x:c r="W695" s="15" t="str">
        <x:v>Власник / директор; керівник ПТО; відповідальний за договори</x:v>
      </x:c>
      <x:c r="X695" s="15" t="str">
        <x:v>1 підтверджених перемог/договорів у Prozorro на 68 352 грн; 0 проєктів зі строком виконання не раніше 24.08.2026.</x:v>
      </x:c>
      <x:c r="Y695" s="15" t="str">
        <x:v>проведення експертизи проектної документації на проєкт будівництва: «Реконструкція каналізаційної насосної станції із встановленням модульної КНС, розташованої  за адресою: Савинське шосе, 2-В в м. Балаклія, Ізюмського району, Харківської області»; строк до 2026-07-31. Попросити один знеособлений пакет здачі за цим workflow.</x:v>
      </x:c>
      <x:c r="Z695" s="15" t="str">
        <x:v>https://prozorro.gov.ua/tender/UA-2026-06-01-009371-a</x:v>
      </x:c>
      <x:c r="AA695" s="14" t="str">
        <x:v>40716972</x:v>
      </x:c>
      <x:c r="AB695" s="14" t="str">
        <x:v>2026-08-24</x:v>
      </x:c>
      <x:c r="AC695" s="14" t="str"/>
      <x:c r="AD695" s="20" t="str"/>
      <x:c r="AE695" s="14" t="str"/>
      <x:c r="AF695" s="14" t="n">
        <x:v>41</x:v>
      </x:c>
      <x:c r="AG695" s="14" t="str">
        <x:v>I3</x:v>
      </x:c>
      <x:c r="AH695" s="14" t="n">
        <x:v>1</x:v>
      </x:c>
      <x:c r="AI695" s="14" t="n">
        <x:v>0</x:v>
      </x:c>
      <x:c r="AJ695" s="18" t="n">
        <x:v>68352</x:v>
      </x:c>
      <x:c r="AK695" s="14" t="str">
        <x:v>https://prozorro.gov.ua/tender/UA-2026-06-01-009371-a</x:v>
      </x:c>
      <x:c r="AL695" s="19" t="n">
        <x:v>46174.522606666666</x:v>
      </x:c>
      <x:c r="AM695" s="19" t="n">
        <x:v>46234</x:v>
      </x:c>
      <x:c r="AN695" s="15" t="str">
        <x:v>Насосні станції</x:v>
      </x:c>
      <x:c r="AO695" s="15" t="str">
        <x:v>not_found_in_top_search</x:v>
      </x:c>
    </x:row>
    <x:row r="696">
      <x:c r="A696" s="14" t="str">
        <x:v>W3-424</x:v>
      </x:c>
      <x:c r="B696" s="14" t="str">
        <x:v>Prozorro winners — 24.08</x:v>
      </x:c>
      <x:c r="C696" s="14" t="str">
        <x:v>КУДРАЙ ПЕТРО МИКОЛАЙОВИЧ</x:v>
      </x:c>
      <x:c r="D696" s="14" t="str">
        <x:v>HVAC / ОВіК</x:v>
      </x:c>
      <x:c r="E696" s="14" t="str">
        <x:v>Pilot now</x:v>
      </x:c>
      <x:c r="F696" s="17" t="str">
        <x:f>IF(E696="Pilot now",IF(P696&gt;=84,"P1",IF(P696&gt;=72,"P2","P3")),IF(E696="Expansion discovery",IF(Q696&gt;=88,"D1",IF(Q696&gt;=78,"D2","D3")),IF(E696="Later / requirements","L","Legacy")))</x:f>
        <x:v>P1</x:v>
      </x:c>
      <x:c r="G696" s="14" t="str"/>
      <x:c r="H696" s="14" t="str">
        <x:v>Пілот зараз — Н.14</x:v>
      </x:c>
      <x:c r="I696" s="16" t="n">
        <x:v>5</x:v>
      </x:c>
      <x:c r="J696" s="16" t="n">
        <x:v>5</x:v>
      </x:c>
      <x:c r="K696" s="16" t="n">
        <x:v>5</x:v>
      </x:c>
      <x:c r="L696" s="16" t="n">
        <x:v>1</x:v>
      </x:c>
      <x:c r="M696" s="16" t="n">
        <x:v>5</x:v>
      </x:c>
      <x:c r="N696" s="16" t="n">
        <x:v>3</x:v>
      </x:c>
      <x:c r="O696" s="16" t="n">
        <x:v>5</x:v>
      </x:c>
      <x:c r="P696" s="16" t="n">
        <x:f>IF(COUNT(I696:O696)&lt;7,"",I696*8+J696*3+K696*2+L696*2+M696*2+N696*2+O696)</x:f>
        <x:v>88</x:v>
      </x:c>
      <x:c r="Q696" s="16" t="n">
        <x:f>IF(COUNT(J696:O696)&lt;6,"",J696*5+K696*4+M696*4+L696*3+N696*2+O696*2)</x:f>
        <x:v>84</x:v>
      </x:c>
      <x:c r="R696" s="14" t="str">
        <x:v>high</x:v>
      </x:c>
      <x:c r="S696" s="14" t="str">
        <x:v>official_prozorro_award_2025_2026</x:v>
      </x:c>
      <x:c r="T696" s="14" t="str">
        <x:v>official_prozorro_api</x:v>
      </x:c>
      <x:c r="U696" s="14" t="str">
        <x:v>Не контактували</x:v>
      </x:c>
      <x:c r="V696" s="15" t="str">
        <x:v>Персоналізований free-pilot outreach по UA-2026-06-17-009046-a; попросити 1 пакет Н.14/Н.15</x:v>
      </x:c>
      <x:c r="W696" s="15" t="str">
        <x:v>Власник / виконавець; відповідальний за договір</x:v>
      </x:c>
      <x:c r="X696" s="15" t="str">
        <x:v>1 підтверджених перемог/договорів у Prozorro на 59 800 грн; 0 проєктів зі строком виконання не раніше 24.08.2026.</x:v>
      </x:c>
      <x:c r="Y696"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 строк до 2026-06-30. Попросити один знеособлений пакет здачі за цим workflow.</x:v>
      </x:c>
      <x:c r="Z696" s="15" t="str">
        <x:v>https://prozorro.gov.ua/tender/UA-2026-06-17-009046-a</x:v>
      </x:c>
      <x:c r="AA696" s="14" t="str">
        <x:v>2164313634</x:v>
      </x:c>
      <x:c r="AB696" s="14" t="str">
        <x:v>2026-08-24</x:v>
      </x:c>
      <x:c r="AC696" s="14" t="str"/>
      <x:c r="AD696" s="20" t="str"/>
      <x:c r="AE696" s="14" t="str"/>
      <x:c r="AF696" s="14" t="n">
        <x:v>41</x:v>
      </x:c>
      <x:c r="AG696" s="14" t="str">
        <x:v>I3</x:v>
      </x:c>
      <x:c r="AH696" s="14" t="n">
        <x:v>1</x:v>
      </x:c>
      <x:c r="AI696" s="14" t="n">
        <x:v>0</x:v>
      </x:c>
      <x:c r="AJ696" s="18" t="n">
        <x:v>59800</x:v>
      </x:c>
      <x:c r="AK696" s="14" t="str">
        <x:v>https://prozorro.gov.ua/tender/UA-2026-06-17-009046-a</x:v>
      </x:c>
      <x:c r="AL696" s="19" t="n">
        <x:v>46190.49012988426</x:v>
      </x:c>
      <x:c r="AM696" s="19" t="n">
        <x:v>46203</x:v>
      </x:c>
      <x:c r="AN696" s="15" t="str">
        <x:v>HVAC / ОВіК; Промисловий холод</x:v>
      </x:c>
      <x:c r="AO696" s="15" t="str">
        <x:v>not_found_in_top_search</x:v>
      </x:c>
    </x:row>
    <x:row r="697">
      <x:c r="A697" s="14" t="str">
        <x:v>W3-425</x:v>
      </x:c>
      <x:c r="B697" s="14" t="str">
        <x:v>Prozorro winners — 24.08</x:v>
      </x:c>
      <x:c r="C697" s="14" t="str">
        <x:v>ТОВАРИСТВО З ОБМЕЖЕНОЮ ВІДПОВІДАЛЬНІСТЮ ПІДПРИЄМСТВО "СПЕЦАВТОМАТИКА"</x:v>
      </x:c>
      <x:c r="D697" s="14" t="str">
        <x:v>Безпека / СКУД / CCTV</x:v>
      </x:c>
      <x:c r="E697" s="14" t="str">
        <x:v>Expansion discovery</x:v>
      </x:c>
      <x:c r="F697" s="17" t="str">
        <x:f>IF(E697="Pilot now",IF(P697&gt;=84,"P1",IF(P697&gt;=72,"P2","P3")),IF(E697="Expansion discovery",IF(Q697&gt;=88,"D1",IF(Q697&gt;=78,"D2","D3")),IF(E697="Later / requirements","L","Legacy")))</x:f>
        <x:v>D2</x:v>
      </x:c>
      <x:c r="G697" s="14" t="str"/>
      <x:c r="H697" s="14" t="str">
        <x:v>Discovery розширення — 2 тижні</x:v>
      </x:c>
      <x:c r="I697" s="16" t="n">
        <x:v>1</x:v>
      </x:c>
      <x:c r="J697" s="16" t="n">
        <x:v>5</x:v>
      </x:c>
      <x:c r="K697" s="16" t="n">
        <x:v>4</x:v>
      </x:c>
      <x:c r="L697" s="16" t="n">
        <x:v>1</x:v>
      </x:c>
      <x:c r="M697" s="16" t="n">
        <x:v>5</x:v>
      </x:c>
      <x:c r="N697" s="16" t="n">
        <x:v>5</x:v>
      </x:c>
      <x:c r="O697" s="16" t="n">
        <x:v>5</x:v>
      </x:c>
      <x:c r="P697" s="16" t="n">
        <x:f>IF(COUNT(I697:O697)&lt;7,"",I697*8+J697*3+K697*2+L697*2+M697*2+N697*2+O697)</x:f>
        <x:v>58</x:v>
      </x:c>
      <x:c r="Q697" s="16" t="n">
        <x:f>IF(COUNT(J697:O697)&lt;6,"",J697*5+K697*4+M697*4+L697*3+N697*2+O697*2)</x:f>
        <x:v>84</x:v>
      </x:c>
      <x:c r="R697" s="14" t="str">
        <x:v>high</x:v>
      </x:c>
      <x:c r="S697" s="14" t="str">
        <x:v>official_prozorro_award_2025_2026</x:v>
      </x:c>
      <x:c r="T697" s="14" t="str">
        <x:v>official_prozorro_api</x:v>
      </x:c>
      <x:c r="U697" s="14" t="str">
        <x:v>Не контактували</x:v>
      </x:c>
      <x:c r="V697" s="15" t="str">
        <x:v>Workflow-audit outreach по UA-2026-05-06-010791-a; попросити 1 пакет здачі та вимоги проєкту</x:v>
      </x:c>
      <x:c r="W697" s="15" t="str">
        <x:v>Власник / директор; керівник ПТО; відповідальний за договори</x:v>
      </x:c>
      <x:c r="X697" s="15" t="str">
        <x:v>1 підтверджених перемог/договорів у Prozorro на 54 900 грн; 0 проєктів зі строком виконання не раніше 24.08.2026.</x:v>
      </x:c>
      <x:c r="Y697" s="15" t="str">
        <x:v>Монтаж та налаштування системи контролю доступу шлагбаума; строк до 2026-05-08. Попросити один знеособлений пакет здачі за цим workflow.</x:v>
      </x:c>
      <x:c r="Z697" s="15" t="str">
        <x:v>https://prozorro.gov.ua/tender/UA-2026-05-06-010791-a</x:v>
      </x:c>
      <x:c r="AA697" s="14" t="str">
        <x:v>25612046</x:v>
      </x:c>
      <x:c r="AB697" s="14" t="str">
        <x:v>2026-08-24</x:v>
      </x:c>
      <x:c r="AC697" s="14" t="str"/>
      <x:c r="AD697" s="20" t="str"/>
      <x:c r="AE697" s="14" t="str"/>
      <x:c r="AF697" s="14" t="n">
        <x:v>41</x:v>
      </x:c>
      <x:c r="AG697" s="14" t="str">
        <x:v>I3</x:v>
      </x:c>
      <x:c r="AH697" s="14" t="n">
        <x:v>1</x:v>
      </x:c>
      <x:c r="AI697" s="14" t="n">
        <x:v>0</x:v>
      </x:c>
      <x:c r="AJ697" s="18" t="n">
        <x:v>54900</x:v>
      </x:c>
      <x:c r="AK697" s="14" t="str">
        <x:v>https://prozorro.gov.ua/tender/UA-2026-05-06-010791-a</x:v>
      </x:c>
      <x:c r="AL697" s="19" t="n">
        <x:v>46148.51074971065</x:v>
      </x:c>
      <x:c r="AM697" s="19" t="n">
        <x:v>46150</x:v>
      </x:c>
      <x:c r="AN697" s="15" t="str">
        <x:v>Безпека / СКУД / CCTV</x:v>
      </x:c>
      <x:c r="AO697" s="15" t="str">
        <x:v>not_found_in_top_search</x:v>
      </x:c>
    </x:row>
    <x:row r="698">
      <x:c r="A698" s="14" t="str">
        <x:v>W3-426</x:v>
      </x:c>
      <x:c r="B698" s="14" t="str">
        <x:v>Prozorro winners — 24.08</x:v>
      </x:c>
      <x:c r="C698" s="14" t="str">
        <x:v>ТОВАРИСТВО З ОБМЕЖЕНОЮ ВІДПОВІДАЛЬНІСТЮ "ТЕРНОПІЛЬВОДПРОЕКТ"</x:v>
      </x:c>
      <x:c r="D698" s="14" t="str">
        <x:v>Мости / інфраструктура</x:v>
      </x:c>
      <x:c r="E698" s="14" t="str">
        <x:v>Expansion discovery</x:v>
      </x:c>
      <x:c r="F698" s="17" t="str">
        <x:f>IF(E698="Pilot now",IF(P698&gt;=84,"P1",IF(P698&gt;=72,"P2","P3")),IF(E698="Expansion discovery",IF(Q698&gt;=88,"D1",IF(Q698&gt;=78,"D2","D3")),IF(E698="Later / requirements","L","Legacy")))</x:f>
        <x:v>D2</x:v>
      </x:c>
      <x:c r="G698" s="14" t="str"/>
      <x:c r="H698" s="14" t="str">
        <x:v>Discovery розширення — 2 тижні</x:v>
      </x:c>
      <x:c r="I698" s="16" t="n">
        <x:v>1</x:v>
      </x:c>
      <x:c r="J698" s="16" t="n">
        <x:v>5</x:v>
      </x:c>
      <x:c r="K698" s="16" t="n">
        <x:v>4</x:v>
      </x:c>
      <x:c r="L698" s="16" t="n">
        <x:v>1</x:v>
      </x:c>
      <x:c r="M698" s="16" t="n">
        <x:v>5</x:v>
      </x:c>
      <x:c r="N698" s="16" t="n">
        <x:v>5</x:v>
      </x:c>
      <x:c r="O698" s="16" t="n">
        <x:v>5</x:v>
      </x:c>
      <x:c r="P698" s="16" t="n">
        <x:f>IF(COUNT(I698:O698)&lt;7,"",I698*8+J698*3+K698*2+L698*2+M698*2+N698*2+O698)</x:f>
        <x:v>58</x:v>
      </x:c>
      <x:c r="Q698" s="16" t="n">
        <x:f>IF(COUNT(J698:O698)&lt;6,"",J698*5+K698*4+M698*4+L698*3+N698*2+O698*2)</x:f>
        <x:v>84</x:v>
      </x:c>
      <x:c r="R698" s="14" t="str">
        <x:v>high</x:v>
      </x:c>
      <x:c r="S698" s="14" t="str">
        <x:v>official_prozorro_award_2025_2026</x:v>
      </x:c>
      <x:c r="T698" s="14" t="str">
        <x:v>official_prozorro_api</x:v>
      </x:c>
      <x:c r="U698" s="14" t="str">
        <x:v>Не контактували</x:v>
      </x:c>
      <x:c r="V698" s="15" t="str">
        <x:v>Workflow-audit outreach по UA-2026-06-26-010257-a; попросити 1 пакет здачі та вимоги проєкту</x:v>
      </x:c>
      <x:c r="W698" s="15" t="str">
        <x:v>Власник / директор; керівник ПТО; відповідальний за договори</x:v>
      </x:c>
      <x:c r="X698" s="15" t="str">
        <x:v>1 підтверджених перемог/договорів у Prozorro на 54 230 грн; 0 проєктів зі строком виконання не раніше 24.08.2026.</x:v>
      </x:c>
      <x:c r="Y698" s="15" t="str">
        <x:v>Виготовлення проектно-кошторисної документації на об'єкт : "Капітальний ремонт верхнього шару покриття, огородження пішохідного мосту на річці Стрипа в місті Зборові Тернопільського району Тернопільської області"; строк до 2026-07-30. Попросити один знеособлений пакет здачі за цим workflow.</x:v>
      </x:c>
      <x:c r="Z698" s="15" t="str">
        <x:v>https://prozorro.gov.ua/tender/UA-2026-06-26-010257-a</x:v>
      </x:c>
      <x:c r="AA698" s="14" t="str">
        <x:v>01035182</x:v>
      </x:c>
      <x:c r="AB698" s="14" t="str">
        <x:v>2026-08-24</x:v>
      </x:c>
      <x:c r="AC698" s="14" t="str"/>
      <x:c r="AD698" s="20" t="str"/>
      <x:c r="AE698" s="14" t="str"/>
      <x:c r="AF698" s="14" t="n">
        <x:v>41</x:v>
      </x:c>
      <x:c r="AG698" s="14" t="str">
        <x:v>I3</x:v>
      </x:c>
      <x:c r="AH698" s="14" t="n">
        <x:v>1</x:v>
      </x:c>
      <x:c r="AI698" s="14" t="n">
        <x:v>0</x:v>
      </x:c>
      <x:c r="AJ698" s="18" t="n">
        <x:v>54230</x:v>
      </x:c>
      <x:c r="AK698" s="14" t="str">
        <x:v>https://prozorro.gov.ua/tender/UA-2026-06-26-010257-a</x:v>
      </x:c>
      <x:c r="AL698" s="19" t="n">
        <x:v>46199.54265590278</x:v>
      </x:c>
      <x:c r="AM698" s="19" t="n">
        <x:v>46233</x:v>
      </x:c>
      <x:c r="AN698" s="15" t="str">
        <x:v>Мости / інфраструктура</x:v>
      </x:c>
      <x:c r="AO698" s="15" t="str">
        <x:v>not_found_in_top_search</x:v>
      </x:c>
    </x:row>
    <x:row r="699">
      <x:c r="A699" s="14" t="str">
        <x:v>W3-427</x:v>
      </x:c>
      <x:c r="B699" s="14" t="str">
        <x:v>Prozorro winners — 24.08</x:v>
      </x:c>
      <x:c r="C699" s="14" t="str">
        <x:v>ПП Явір-2000</x:v>
      </x:c>
      <x:c r="D699" s="14" t="str">
        <x:v>Газопостачання / котельні</x:v>
      </x:c>
      <x:c r="E699" s="14" t="str">
        <x:v>Expansion discovery</x:v>
      </x:c>
      <x:c r="F699" s="17" t="str">
        <x:f>IF(E699="Pilot now",IF(P699&gt;=84,"P1",IF(P699&gt;=72,"P2","P3")),IF(E699="Expansion discovery",IF(Q699&gt;=88,"D1",IF(Q699&gt;=78,"D2","D3")),IF(E699="Later / requirements","L","Legacy")))</x:f>
        <x:v>D2</x:v>
      </x:c>
      <x:c r="G699" s="14" t="str"/>
      <x:c r="H699" s="14" t="str">
        <x:v>Discovery розширення — 2 тижні</x:v>
      </x:c>
      <x:c r="I699" s="16" t="n">
        <x:v>1</x:v>
      </x:c>
      <x:c r="J699" s="16" t="n">
        <x:v>5</x:v>
      </x:c>
      <x:c r="K699" s="16" t="n">
        <x:v>4</x:v>
      </x:c>
      <x:c r="L699" s="16" t="n">
        <x:v>1</x:v>
      </x:c>
      <x:c r="M699" s="16" t="n">
        <x:v>5</x:v>
      </x:c>
      <x:c r="N699" s="16" t="n">
        <x:v>5</x:v>
      </x:c>
      <x:c r="O699" s="16" t="n">
        <x:v>5</x:v>
      </x:c>
      <x:c r="P699" s="16" t="n">
        <x:f>IF(COUNT(I699:O699)&lt;7,"",I699*8+J699*3+K699*2+L699*2+M699*2+N699*2+O699)</x:f>
        <x:v>58</x:v>
      </x:c>
      <x:c r="Q699" s="16" t="n">
        <x:f>IF(COUNT(J699:O699)&lt;6,"",J699*5+K699*4+M699*4+L699*3+N699*2+O699*2)</x:f>
        <x:v>84</x:v>
      </x:c>
      <x:c r="R699" s="14" t="str">
        <x:v>high</x:v>
      </x:c>
      <x:c r="S699" s="14" t="str">
        <x:v>official_prozorro_award_2025_2026</x:v>
      </x:c>
      <x:c r="T699" s="14" t="str">
        <x:v>official_prozorro_api</x:v>
      </x:c>
      <x:c r="U699" s="14" t="str">
        <x:v>Не контактували</x:v>
      </x:c>
      <x:c r="V699" s="15" t="str">
        <x:v>Workflow-audit outreach по UA-2026-05-25-012079-a; попросити 1 пакет здачі та вимоги проєкту</x:v>
      </x:c>
      <x:c r="W699" s="15" t="str">
        <x:v>Власник / директор; керівник ПТО; відповідальний за договори</x:v>
      </x:c>
      <x:c r="X699" s="15" t="str">
        <x:v>1 підтверджених перемог/договорів у Prozorro на 50 720 грн; 0 проєктів зі строком виконання не раніше 24.08.2026.</x:v>
      </x:c>
      <x:c r="Y699" s="15" t="str">
        <x:v>Роботи з проєктування та монтажу системи пожежної сигналізації на об’єкті: Приміщення духової котельні за адресою: м. Полтава, вул. Європейська, 68; строк до 2026-05-31. Попросити один знеособлений пакет здачі за цим workflow.</x:v>
      </x:c>
      <x:c r="Z699" s="15" t="str">
        <x:v>https://prozorro.gov.ua/tender/UA-2026-05-25-012079-a</x:v>
      </x:c>
      <x:c r="AA699" s="14" t="str">
        <x:v>31175036</x:v>
      </x:c>
      <x:c r="AB699" s="14" t="str">
        <x:v>2026-08-24</x:v>
      </x:c>
      <x:c r="AC699" s="14" t="str"/>
      <x:c r="AD699" s="20" t="str"/>
      <x:c r="AE699" s="14" t="str"/>
      <x:c r="AF699" s="14" t="n">
        <x:v>41</x:v>
      </x:c>
      <x:c r="AG699" s="14" t="str">
        <x:v>I3</x:v>
      </x:c>
      <x:c r="AH699" s="14" t="n">
        <x:v>1</x:v>
      </x:c>
      <x:c r="AI699" s="14" t="n">
        <x:v>0</x:v>
      </x:c>
      <x:c r="AJ699" s="18" t="n">
        <x:v>50720.11</x:v>
      </x:c>
      <x:c r="AK699" s="14" t="str">
        <x:v>https://prozorro.gov.ua/tender/UA-2026-05-25-012079-a</x:v>
      </x:c>
      <x:c r="AL699" s="19" t="n">
        <x:v>46167.55429439815</x:v>
      </x:c>
      <x:c r="AM699" s="19" t="n">
        <x:v>46173.55663194445</x:v>
      </x:c>
      <x:c r="AN699" s="15" t="str">
        <x:v>Газопостачання / котельні</x:v>
      </x:c>
      <x:c r="AO699" s="15" t="str">
        <x:v>not_found_in_top_search</x:v>
      </x:c>
    </x:row>
    <x:row r="700">
      <x:c r="A700" s="14" t="str">
        <x:v>W3-428</x:v>
      </x:c>
      <x:c r="B700" s="14" t="str">
        <x:v>Prozorro winners — 24.08</x:v>
      </x:c>
      <x:c r="C700" s="14" t="str">
        <x:v>ТзОВ фірма "АЛЕРТ КОМ"</x:v>
      </x:c>
      <x:c r="D700" s="14" t="str">
        <x:v>Пожежогасіння</x:v>
      </x:c>
      <x:c r="E700" s="14" t="str">
        <x:v>Expansion discovery</x:v>
      </x:c>
      <x:c r="F700" s="17" t="str">
        <x:f>IF(E700="Pilot now",IF(P700&gt;=84,"P1",IF(P700&gt;=72,"P2","P3")),IF(E700="Expansion discovery",IF(Q700&gt;=88,"D1",IF(Q700&gt;=78,"D2","D3")),IF(E700="Later / requirements","L","Legacy")))</x:f>
        <x:v>D2</x:v>
      </x:c>
      <x:c r="G700" s="14" t="str"/>
      <x:c r="H700" s="14" t="str">
        <x:v>Discovery розширення — 2 тижні</x:v>
      </x:c>
      <x:c r="I700" s="16" t="n">
        <x:v>1</x:v>
      </x:c>
      <x:c r="J700" s="16" t="n">
        <x:v>5</x:v>
      </x:c>
      <x:c r="K700" s="16" t="n">
        <x:v>4</x:v>
      </x:c>
      <x:c r="L700" s="16" t="n">
        <x:v>1</x:v>
      </x:c>
      <x:c r="M700" s="16" t="n">
        <x:v>5</x:v>
      </x:c>
      <x:c r="N700" s="16" t="n">
        <x:v>5</x:v>
      </x:c>
      <x:c r="O700" s="16" t="n">
        <x:v>5</x:v>
      </x:c>
      <x:c r="P700" s="16" t="n">
        <x:f>IF(COUNT(I700:O700)&lt;7,"",I700*8+J700*3+K700*2+L700*2+M700*2+N700*2+O700)</x:f>
        <x:v>58</x:v>
      </x:c>
      <x:c r="Q700" s="16" t="n">
        <x:f>IF(COUNT(J700:O700)&lt;6,"",J700*5+K700*4+M700*4+L700*3+N700*2+O700*2)</x:f>
        <x:v>84</x:v>
      </x:c>
      <x:c r="R700" s="14" t="str">
        <x:v>high</x:v>
      </x:c>
      <x:c r="S700" s="14" t="str">
        <x:v>official_prozorro_award_2025_2026</x:v>
      </x:c>
      <x:c r="T700" s="14" t="str">
        <x:v>official_prozorro_api</x:v>
      </x:c>
      <x:c r="U700" s="14" t="str">
        <x:v>Не контактували</x:v>
      </x:c>
      <x:c r="V700" s="15" t="str">
        <x:v>Workflow-audit outreach по UA-2026-07-02-001567-a; попросити 1 пакет здачі та вимоги проєкту</x:v>
      </x:c>
      <x:c r="W700" s="15" t="str">
        <x:v>Власник / директор; керівник ПТО; відповідальний за договори</x:v>
      </x:c>
      <x:c r="X700" s="15" t="str">
        <x:v>1 підтверджених перемог/договорів у Prozorro на 30 789 грн; 0 проєктів зі строком виконання не раніше 24.08.2026.</x:v>
      </x:c>
      <x:c r="Y700" s="15" t="str">
        <x:v>Послуги з монтажу системи пожежної сигналізації, оповіщення про пожежу та управління евакуацією людей, устаткування  передавання тривожних сповіщень; строк до 2026-07-31. Попросити один знеособлений пакет здачі за цим workflow.</x:v>
      </x:c>
      <x:c r="Z700" s="15" t="str">
        <x:v>https://prozorro.gov.ua/tender/UA-2026-07-02-001567-a</x:v>
      </x:c>
      <x:c r="AA700" s="14" t="str">
        <x:v>30555702</x:v>
      </x:c>
      <x:c r="AB700" s="14" t="str">
        <x:v>2026-08-24</x:v>
      </x:c>
      <x:c r="AC700" s="14" t="str"/>
      <x:c r="AD700" s="20" t="str"/>
      <x:c r="AE700" s="14" t="str"/>
      <x:c r="AF700" s="14" t="n">
        <x:v>41</x:v>
      </x:c>
      <x:c r="AG700" s="14" t="str">
        <x:v>I3</x:v>
      </x:c>
      <x:c r="AH700" s="14" t="n">
        <x:v>1</x:v>
      </x:c>
      <x:c r="AI700" s="14" t="n">
        <x:v>0</x:v>
      </x:c>
      <x:c r="AJ700" s="18" t="n">
        <x:v>30789.34</x:v>
      </x:c>
      <x:c r="AK700" s="14" t="str">
        <x:v>https://prozorro.gov.ua/tender/UA-2026-07-02-001567-a</x:v>
      </x:c>
      <x:c r="AL700" s="19" t="n">
        <x:v>46205.301480277776</x:v>
      </x:c>
      <x:c r="AM700" s="19" t="n">
        <x:v>46234</x:v>
      </x:c>
      <x:c r="AN700" s="15" t="str">
        <x:v>Пожежогасіння</x:v>
      </x:c>
      <x:c r="AO700" s="15" t="str">
        <x:v>not_found_in_top_search</x:v>
      </x:c>
    </x:row>
    <x:row r="701">
      <x:c r="A701" s="14" t="str">
        <x:v>W3-429</x:v>
      </x:c>
      <x:c r="B701" s="14" t="str">
        <x:v>Prozorro winners — 24.08</x:v>
      </x:c>
      <x:c r="C701" s="14" t="str">
        <x:v>ТОВ "Файберлінк"</x:v>
      </x:c>
      <x:c r="D701" s="14" t="str">
        <x:v>Безпека / СКУД / CCTV</x:v>
      </x:c>
      <x:c r="E701" s="14" t="str">
        <x:v>Expansion discovery</x:v>
      </x:c>
      <x:c r="F701" s="17" t="str">
        <x:f>IF(E701="Pilot now",IF(P701&gt;=84,"P1",IF(P701&gt;=72,"P2","P3")),IF(E701="Expansion discovery",IF(Q701&gt;=88,"D1",IF(Q701&gt;=78,"D2","D3")),IF(E701="Later / requirements","L","Legacy")))</x:f>
        <x:v>D2</x:v>
      </x:c>
      <x:c r="G701" s="14" t="str"/>
      <x:c r="H701" s="14" t="str">
        <x:v>Discovery розширення — 2 тижні</x:v>
      </x:c>
      <x:c r="I701" s="16" t="n">
        <x:v>1</x:v>
      </x:c>
      <x:c r="J701" s="16" t="n">
        <x:v>5</x:v>
      </x:c>
      <x:c r="K701" s="16" t="n">
        <x:v>4</x:v>
      </x:c>
      <x:c r="L701" s="16" t="n">
        <x:v>1</x:v>
      </x:c>
      <x:c r="M701" s="16" t="n">
        <x:v>5</x:v>
      </x:c>
      <x:c r="N701" s="16" t="n">
        <x:v>5</x:v>
      </x:c>
      <x:c r="O701" s="16" t="n">
        <x:v>5</x:v>
      </x:c>
      <x:c r="P701" s="16" t="n">
        <x:f>IF(COUNT(I701:O701)&lt;7,"",I701*8+J701*3+K701*2+L701*2+M701*2+N701*2+O701)</x:f>
        <x:v>58</x:v>
      </x:c>
      <x:c r="Q701" s="16" t="n">
        <x:f>IF(COUNT(J701:O701)&lt;6,"",J701*5+K701*4+M701*4+L701*3+N701*2+O701*2)</x:f>
        <x:v>84</x:v>
      </x:c>
      <x:c r="R701" s="14" t="str">
        <x:v>high</x:v>
      </x:c>
      <x:c r="S701" s="14" t="str">
        <x:v>official_prozorro_award_2025_2026</x:v>
      </x:c>
      <x:c r="T701" s="14" t="str">
        <x:v>official_prozorro_api</x:v>
      </x:c>
      <x:c r="U701" s="14" t="str">
        <x:v>Не контактували</x:v>
      </x:c>
      <x:c r="V701" s="15" t="str">
        <x:v>Workflow-audit outreach по UA-2026-06-02-004197-a; попросити 1 пакет здачі та вимоги проєкту</x:v>
      </x:c>
      <x:c r="W701" s="15" t="str">
        <x:v>Власник / директор; керівник ПТО; відповідальний за договори</x:v>
      </x:c>
      <x:c r="X701" s="15" t="str">
        <x:v>1 підтверджених перемог/договорів у Prozorro на 27 200 грн; 0 проєктів зі строком виконання не раніше 24.08.2026.</x:v>
      </x:c>
      <x:c r="Y701" s="15" t="str">
        <x:v>Послуги з монтажу системи відеоспостереження; строк до 2026-06-30. Попросити один знеособлений пакет здачі за цим workflow.</x:v>
      </x:c>
      <x:c r="Z701" s="15" t="str">
        <x:v>https://prozorro.gov.ua/tender/UA-2026-06-02-004197-a</x:v>
      </x:c>
      <x:c r="AA701" s="14" t="str">
        <x:v>39492269</x:v>
      </x:c>
      <x:c r="AB701" s="14" t="str">
        <x:v>2026-08-24</x:v>
      </x:c>
      <x:c r="AC701" s="14" t="str"/>
      <x:c r="AD701" s="20" t="str"/>
      <x:c r="AE701" s="14" t="str"/>
      <x:c r="AF701" s="14" t="n">
        <x:v>41</x:v>
      </x:c>
      <x:c r="AG701" s="14" t="str">
        <x:v>I3</x:v>
      </x:c>
      <x:c r="AH701" s="14" t="n">
        <x:v>1</x:v>
      </x:c>
      <x:c r="AI701" s="14" t="n">
        <x:v>0</x:v>
      </x:c>
      <x:c r="AJ701" s="18" t="n">
        <x:v>27200</x:v>
      </x:c>
      <x:c r="AK701" s="14" t="str">
        <x:v>https://prozorro.gov.ua/tender/UA-2026-06-02-004197-a</x:v>
      </x:c>
      <x:c r="AL701" s="19" t="n">
        <x:v>46175.35395547454</x:v>
      </x:c>
      <x:c r="AM701" s="19" t="n">
        <x:v>46203</x:v>
      </x:c>
      <x:c r="AN701" s="15" t="str">
        <x:v>Безпека / СКУД / CCTV</x:v>
      </x:c>
      <x:c r="AO701" s="15" t="str">
        <x:v>not_found_in_top_search</x:v>
      </x:c>
    </x:row>
    <x:row r="702">
      <x:c r="A702" s="14" t="str">
        <x:v>W3-430</x:v>
      </x:c>
      <x:c r="B702" s="14" t="str">
        <x:v>Prozorro winners — 24.08</x:v>
      </x:c>
      <x:c r="C702" s="14" t="str">
        <x:v>ТОВАРИСТВО З ОБМЕЖЕНОЮ ВІДПОВІДАЛЬНІСТЮ "ОХОРОНА-КОМПЛЕКС-ТИТАН"</x:v>
      </x:c>
      <x:c r="D702" s="14" t="str">
        <x:v>Пожежогасіння</x:v>
      </x:c>
      <x:c r="E702" s="14" t="str">
        <x:v>Expansion discovery</x:v>
      </x:c>
      <x:c r="F702" s="17" t="str">
        <x:f>IF(E702="Pilot now",IF(P702&gt;=84,"P1",IF(P702&gt;=72,"P2","P3")),IF(E702="Expansion discovery",IF(Q702&gt;=88,"D1",IF(Q702&gt;=78,"D2","D3")),IF(E702="Later / requirements","L","Legacy")))</x:f>
        <x:v>D2</x:v>
      </x:c>
      <x:c r="G702" s="14" t="str"/>
      <x:c r="H702" s="14" t="str">
        <x:v>Discovery розширення — 2 тижні</x:v>
      </x:c>
      <x:c r="I702" s="16" t="n">
        <x:v>1</x:v>
      </x:c>
      <x:c r="J702" s="16" t="n">
        <x:v>5</x:v>
      </x:c>
      <x:c r="K702" s="16" t="n">
        <x:v>4</x:v>
      </x:c>
      <x:c r="L702" s="16" t="n">
        <x:v>1</x:v>
      </x:c>
      <x:c r="M702" s="16" t="n">
        <x:v>5</x:v>
      </x:c>
      <x:c r="N702" s="16" t="n">
        <x:v>5</x:v>
      </x:c>
      <x:c r="O702" s="16" t="n">
        <x:v>5</x:v>
      </x:c>
      <x:c r="P702" s="16" t="n">
        <x:f>IF(COUNT(I702:O702)&lt;7,"",I702*8+J702*3+K702*2+L702*2+M702*2+N702*2+O702)</x:f>
        <x:v>58</x:v>
      </x:c>
      <x:c r="Q702" s="16" t="n">
        <x:f>IF(COUNT(J702:O702)&lt;6,"",J702*5+K702*4+M702*4+L702*3+N702*2+O702*2)</x:f>
        <x:v>84</x:v>
      </x:c>
      <x:c r="R702" s="14" t="str">
        <x:v>high</x:v>
      </x:c>
      <x:c r="S702" s="14" t="str">
        <x:v>official_prozorro_award_2025_2026</x:v>
      </x:c>
      <x:c r="T702" s="14" t="str">
        <x:v>official_prozorro_api</x:v>
      </x:c>
      <x:c r="U702" s="14" t="str">
        <x:v>Не контактували</x:v>
      </x:c>
      <x:c r="V702" s="15" t="str">
        <x:v>Workflow-audit outreach по UA-2026-04-30-006603-a; попросити 1 пакет здачі та вимоги проєкту</x:v>
      </x:c>
      <x:c r="W702" s="15" t="str">
        <x:v>Власник / директор; керівник ПТО; відповідальний за договори</x:v>
      </x:c>
      <x:c r="X702" s="15" t="str">
        <x:v>1 підтверджених перемог/договорів у Prozorro на 26 502 грн; 0 проєктів зі строком виконання не раніше 24.08.2026.</x:v>
      </x:c>
      <x:c r="Y702" s="15" t="str">
        <x:v>Послуги зі встановлення протипожежного устаткування (монтаж та налагодження системи пожежної сигналізації); строк до 2026-05-31. Попросити один знеособлений пакет здачі за цим workflow.</x:v>
      </x:c>
      <x:c r="Z702" s="15" t="str">
        <x:v>https://prozorro.gov.ua/tender/UA-2026-04-30-006603-a</x:v>
      </x:c>
      <x:c r="AA702" s="14" t="str">
        <x:v>32639815</x:v>
      </x:c>
      <x:c r="AB702" s="14" t="str">
        <x:v>2026-08-24</x:v>
      </x:c>
      <x:c r="AC702" s="14" t="str"/>
      <x:c r="AD702" s="20" t="str"/>
      <x:c r="AE702" s="14" t="str"/>
      <x:c r="AF702" s="14" t="n">
        <x:v>41</x:v>
      </x:c>
      <x:c r="AG702" s="14" t="str">
        <x:v>I3</x:v>
      </x:c>
      <x:c r="AH702" s="14" t="n">
        <x:v>1</x:v>
      </x:c>
      <x:c r="AI702" s="14" t="n">
        <x:v>0</x:v>
      </x:c>
      <x:c r="AJ702" s="18" t="n">
        <x:v>26502.01</x:v>
      </x:c>
      <x:c r="AK702" s="14" t="str">
        <x:v>https://prozorro.gov.ua/tender/UA-2026-04-30-006603-a</x:v>
      </x:c>
      <x:c r="AL702" s="19" t="n">
        <x:v>46142.45822862269</x:v>
      </x:c>
      <x:c r="AM702" s="19" t="n">
        <x:v>46173</x:v>
      </x:c>
      <x:c r="AN702" s="15" t="str">
        <x:v>Пожежогасіння</x:v>
      </x:c>
      <x:c r="AO702" s="15" t="str">
        <x:v>not_found_in_top_search</x:v>
      </x:c>
    </x:row>
    <x:row r="703">
      <x:c r="A703" s="14" t="str">
        <x:v>W3-431</x:v>
      </x:c>
      <x:c r="B703" s="14" t="str">
        <x:v>Prozorro winners — 24.08</x:v>
      </x:c>
      <x:c r="C703" s="14" t="str">
        <x:v>ТОВАРИСТВО З ОБМЕЖЕНОЮ ВІДПОВІДАЛЬНІСТЮ "ЕКОФАКТОР ЧАРДЖ"</x:v>
      </x:c>
      <x:c r="D703" s="14" t="str">
        <x:v>Сонячна енергетика</x:v>
      </x:c>
      <x:c r="E703" s="14" t="str">
        <x:v>Expansion discovery</x:v>
      </x:c>
      <x:c r="F703" s="17" t="str">
        <x:f>IF(E703="Pilot now",IF(P703&gt;=84,"P1",IF(P703&gt;=72,"P2","P3")),IF(E703="Expansion discovery",IF(Q703&gt;=88,"D1",IF(Q703&gt;=78,"D2","D3")),IF(E703="Later / requirements","L","Legacy")))</x:f>
        <x:v>D2</x:v>
      </x:c>
      <x:c r="G703" s="14" t="str"/>
      <x:c r="H703" s="14" t="str">
        <x:v>Discovery розширення — 2 тижні</x:v>
      </x:c>
      <x:c r="I703" s="16" t="n">
        <x:v>1</x:v>
      </x:c>
      <x:c r="J703" s="16" t="n">
        <x:v>5</x:v>
      </x:c>
      <x:c r="K703" s="16" t="n">
        <x:v>4</x:v>
      </x:c>
      <x:c r="L703" s="16" t="n">
        <x:v>1</x:v>
      </x:c>
      <x:c r="M703" s="16" t="n">
        <x:v>5</x:v>
      </x:c>
      <x:c r="N703" s="16" t="n">
        <x:v>5</x:v>
      </x:c>
      <x:c r="O703" s="16" t="n">
        <x:v>5</x:v>
      </x:c>
      <x:c r="P703" s="16" t="n">
        <x:f>IF(COUNT(I703:O703)&lt;7,"",I703*8+J703*3+K703*2+L703*2+M703*2+N703*2+O703)</x:f>
        <x:v>58</x:v>
      </x:c>
      <x:c r="Q703" s="16" t="n">
        <x:f>IF(COUNT(J703:O703)&lt;6,"",J703*5+K703*4+M703*4+L703*3+N703*2+O703*2)</x:f>
        <x:v>84</x:v>
      </x:c>
      <x:c r="R703" s="14" t="str">
        <x:v>high</x:v>
      </x:c>
      <x:c r="S703" s="14" t="str">
        <x:v>official_prozorro_award_2025_2026</x:v>
      </x:c>
      <x:c r="T703" s="14" t="str">
        <x:v>official_prozorro_api</x:v>
      </x:c>
      <x:c r="U703" s="14" t="str">
        <x:v>Не контактували</x:v>
      </x:c>
      <x:c r="V703" s="15" t="str">
        <x:v>Workflow-audit outreach по UA-2026-06-23-003080-a; попросити 1 пакет здачі та вимоги проєкту</x:v>
      </x:c>
      <x:c r="W703" s="15" t="str">
        <x:v>Власник / директор; керівник ПТО; відповідальний за договори</x:v>
      </x:c>
      <x:c r="X703" s="15" t="str">
        <x:v>1 підтверджених перемог/договорів у Prozorro на 25 194 грн; 0 проєктів зі строком виконання не раніше 24.08.2026.</x:v>
      </x:c>
      <x:c r="Y703" s="15" t="str">
        <x:v>Послуги зі встановленням джерел резервного живлення  (з монтажу сонячної електростанції); строк до 2026-06-30. Попросити один знеособлений пакет здачі за цим workflow.</x:v>
      </x:c>
      <x:c r="Z703" s="15" t="str">
        <x:v>https://prozorro.gov.ua/tender/UA-2026-06-23-003080-a</x:v>
      </x:c>
      <x:c r="AA703" s="14" t="str">
        <x:v>26568146</x:v>
      </x:c>
      <x:c r="AB703" s="14" t="str">
        <x:v>2026-08-24</x:v>
      </x:c>
      <x:c r="AC703" s="14" t="str"/>
      <x:c r="AD703" s="20" t="str"/>
      <x:c r="AE703" s="14" t="str"/>
      <x:c r="AF703" s="14" t="n">
        <x:v>41</x:v>
      </x:c>
      <x:c r="AG703" s="14" t="str">
        <x:v>I3</x:v>
      </x:c>
      <x:c r="AH703" s="14" t="n">
        <x:v>1</x:v>
      </x:c>
      <x:c r="AI703" s="14" t="n">
        <x:v>0</x:v>
      </x:c>
      <x:c r="AJ703" s="18" t="n">
        <x:v>25194</x:v>
      </x:c>
      <x:c r="AK703" s="14" t="str">
        <x:v>https://prozorro.gov.ua/tender/UA-2026-06-23-003080-a</x:v>
      </x:c>
      <x:c r="AL703" s="19" t="n">
        <x:v>46196.32071678241</x:v>
      </x:c>
      <x:c r="AM703" s="19" t="n">
        <x:v>46203</x:v>
      </x:c>
      <x:c r="AN703" s="15" t="str">
        <x:v>Сонячна енергетика</x:v>
      </x:c>
      <x:c r="AO703" s="15" t="str">
        <x:v>not_found_in_top_search</x:v>
      </x:c>
    </x:row>
    <x:row r="704">
      <x:c r="A704" s="14" t="str">
        <x:v>W3-432</x:v>
      </x:c>
      <x:c r="B704" s="14" t="str">
        <x:v>Prozorro winners — 24.08</x:v>
      </x:c>
      <x:c r="C704" s="14" t="str">
        <x:v> ФОП Гриценко С.В.   Надавачем послуги є ФОП ГРИЦЕНКО СЕРГІЙ ВІТАЛІЙОВИЧ, код ЄДРПОУ 2226713797, яке у відповідності до статті 5-1 Закону України «Про запобігання та протидію легалізації (відмиванню) доходів, одержаних злочинним шляхом, фінансуванню тероризму та фінансуванню розповсюдження зброї масового знищення» немає кінцевого бенефіціарного власника), що підтверджується витягом з Єдиного державного реєстру юридичних осіб, фізичних осіб - підприємців та громадських формувань</x:v>
      </x:c>
      <x:c r="D704" s="14" t="str">
        <x:v>Електромонтаж</x:v>
      </x:c>
      <x:c r="E704" s="14" t="str">
        <x:v>Pilot now</x:v>
      </x:c>
      <x:c r="F704" s="17" t="str">
        <x:f>IF(E704="Pilot now",IF(P704&gt;=84,"P1",IF(P704&gt;=72,"P2","P3")),IF(E704="Expansion discovery",IF(Q704&gt;=88,"D1",IF(Q704&gt;=78,"D2","D3")),IF(E704="Later / requirements","L","Legacy")))</x:f>
        <x:v>P1</x:v>
      </x:c>
      <x:c r="G704" s="14" t="str"/>
      <x:c r="H704" s="14" t="str">
        <x:v>Пілот зараз — Н.15</x:v>
      </x:c>
      <x:c r="I704" s="16" t="n">
        <x:v>5</x:v>
      </x:c>
      <x:c r="J704" s="16" t="n">
        <x:v>5</x:v>
      </x:c>
      <x:c r="K704" s="16" t="n">
        <x:v>5</x:v>
      </x:c>
      <x:c r="L704" s="16" t="n">
        <x:v>1</x:v>
      </x:c>
      <x:c r="M704" s="16" t="n">
        <x:v>5</x:v>
      </x:c>
      <x:c r="N704" s="16" t="n">
        <x:v>3</x:v>
      </x:c>
      <x:c r="O704" s="16" t="n">
        <x:v>5</x:v>
      </x:c>
      <x:c r="P704" s="16" t="n">
        <x:f>IF(COUNT(I704:O704)&lt;7,"",I704*8+J704*3+K704*2+L704*2+M704*2+N704*2+O704)</x:f>
        <x:v>88</x:v>
      </x:c>
      <x:c r="Q704" s="16" t="n">
        <x:f>IF(COUNT(J704:O704)&lt;6,"",J704*5+K704*4+M704*4+L704*3+N704*2+O704*2)</x:f>
        <x:v>84</x:v>
      </x:c>
      <x:c r="R704" s="14" t="str">
        <x:v>high</x:v>
      </x:c>
      <x:c r="S704" s="14" t="str">
        <x:v>official_prozorro_award_2025_2026</x:v>
      </x:c>
      <x:c r="T704" s="14" t="str">
        <x:v>official_prozorro_api</x:v>
      </x:c>
      <x:c r="U704" s="14" t="str">
        <x:v>Не контактували</x:v>
      </x:c>
      <x:c r="V704" s="15" t="str">
        <x:v>Персоналізований free-pilot outreach по UA-2026-04-17-011774-a; попросити 1 пакет Н.14/Н.15</x:v>
      </x:c>
      <x:c r="W704" s="15" t="str">
        <x:v>Власник / виконавець; відповідальний за договір</x:v>
      </x:c>
      <x:c r="X704" s="15" t="str">
        <x:v>2 підтверджених перемог/договорів у Prozorro на 7 500 грн; 1 проєктів зі строком виконання не раніше 24.08.2026.</x:v>
      </x:c>
      <x:c r="Y704" s="15" t="str">
        <x:v>Послуги щодо виконання електровимірювальних робіт
 (Вимірювання опору заземлюючих пристроїв електроустановок;
 визначення повного опору петлі "фаза-нуль" шляхом виміру повного опору петлі "фаза-нульовий захисний провідник" та узгодження параметрів ланцюга "фаза-нуль" з характеристиками пристроїв автоматичного відключення живлення; 
перевірка працездатності пристроїв захисного відключення; 
вимірювання перехідного опору між заземлюючими пристроями та елементами заземлення електроустановок; 
вимірювання опору їзоляції електрообладнання та електромереж; 
розробка і виготовлення паспортів заземлюючого пристрою (при необхідності); строк до 2026-12-31. Попросити один знеособлений пакет здачі за цим workflow.</x:v>
      </x:c>
      <x:c r="Z704" s="15" t="str">
        <x:v>https://prozorro.gov.ua/tender/UA-2026-04-17-011774-a</x:v>
      </x:c>
      <x:c r="AA704" s="14" t="str">
        <x:v>2226713797</x:v>
      </x:c>
      <x:c r="AB704" s="14" t="str">
        <x:v>2026-08-24</x:v>
      </x:c>
      <x:c r="AC704" s="14" t="str"/>
      <x:c r="AD704" s="20" t="str"/>
      <x:c r="AE704" s="14" t="str"/>
      <x:c r="AF704" s="14" t="n">
        <x:v>40</x:v>
      </x:c>
      <x:c r="AG704" s="14" t="str">
        <x:v>I3</x:v>
      </x:c>
      <x:c r="AH704" s="14" t="n">
        <x:v>2</x:v>
      </x:c>
      <x:c r="AI704" s="14" t="n">
        <x:v>1</x:v>
      </x:c>
      <x:c r="AJ704" s="18" t="n">
        <x:v>7500</x:v>
      </x:c>
      <x:c r="AK704" s="14" t="str">
        <x:v>https://prozorro.gov.ua/tender/UA-2026-04-17-011774-a</x:v>
      </x:c>
      <x:c r="AL704" s="19" t="n">
        <x:v>46129.57997133102</x:v>
      </x:c>
      <x:c r="AM704" s="19" t="n">
        <x:v>46387</x:v>
      </x:c>
      <x:c r="AN704" s="15" t="str">
        <x:v>Електромонтаж</x:v>
      </x:c>
      <x:c r="AO704" s="15" t="str">
        <x:v>not_found_in_top_search</x:v>
      </x:c>
    </x:row>
    <x:row r="705">
      <x:c r="A705" s="14" t="str">
        <x:v>W3-433</x:v>
      </x:c>
      <x:c r="B705" s="14" t="str">
        <x:v>Prozorro winners — 24.08</x:v>
      </x:c>
      <x:c r="C705" s="14" t="str">
        <x:v>СИДОРЕНКО СЕРГІЙ ВІКТОРОВИЧ</x:v>
      </x:c>
      <x:c r="D705" s="14" t="str">
        <x:v>Водоочищення / очисні споруди</x:v>
      </x:c>
      <x:c r="E705" s="14" t="str">
        <x:v>Expansion discovery</x:v>
      </x:c>
      <x:c r="F705" s="17" t="str">
        <x:f>IF(E705="Pilot now",IF(P705&gt;=84,"P1",IF(P705&gt;=72,"P2","P3")),IF(E705="Expansion discovery",IF(Q705&gt;=88,"D1",IF(Q705&gt;=78,"D2","D3")),IF(E705="Later / requirements","L","Legacy")))</x:f>
        <x:v>D2</x:v>
      </x:c>
      <x:c r="G705" s="14" t="str"/>
      <x:c r="H705" s="14" t="str">
        <x:v>Discovery розширення — 2 тижні</x:v>
      </x:c>
      <x:c r="I705" s="16" t="n">
        <x:v>1</x:v>
      </x:c>
      <x:c r="J705" s="16" t="n">
        <x:v>5</x:v>
      </x:c>
      <x:c r="K705" s="16" t="n">
        <x:v>4</x:v>
      </x:c>
      <x:c r="L705" s="16" t="n">
        <x:v>2</x:v>
      </x:c>
      <x:c r="M705" s="16" t="n">
        <x:v>5</x:v>
      </x:c>
      <x:c r="N705" s="16" t="n">
        <x:v>3</x:v>
      </x:c>
      <x:c r="O705" s="16" t="n">
        <x:v>5</x:v>
      </x:c>
      <x:c r="P705" s="16" t="n">
        <x:f>IF(COUNT(I705:O705)&lt;7,"",I705*8+J705*3+K705*2+L705*2+M705*2+N705*2+O705)</x:f>
        <x:v>56</x:v>
      </x:c>
      <x:c r="Q705" s="16" t="n">
        <x:f>IF(COUNT(J705:O705)&lt;6,"",J705*5+K705*4+M705*4+L705*3+N705*2+O705*2)</x:f>
        <x:v>83</x:v>
      </x:c>
      <x:c r="R705" s="14" t="str">
        <x:v>high</x:v>
      </x:c>
      <x:c r="S705" s="14" t="str">
        <x:v>official_prozorro_award_2025_2026</x:v>
      </x:c>
      <x:c r="T705" s="14" t="str">
        <x:v>official_prozorro_api</x:v>
      </x:c>
      <x:c r="U705" s="14" t="str">
        <x:v>Не контактували</x:v>
      </x:c>
      <x:c r="V705" s="15" t="str">
        <x:v>Workflow-audit outreach по UA-2026-04-20-000865-a; попросити 1 пакет здачі та вимоги проєкту</x:v>
      </x:c>
      <x:c r="W705" s="15" t="str">
        <x:v>Власник / виконавець; відповідальний за договір</x:v>
      </x:c>
      <x:c r="X705" s="15" t="str">
        <x:v>1 підтверджених перемог/договорів у Prozorro на 380 000 грн; 1 проєктів зі строком виконання не раніше 24.08.2026.</x:v>
      </x:c>
      <x:c r="Y705" s="15" t="str">
        <x:v>Розроблення звіту з оцінки впливу на довкілля (ОВД) робочого проєкту "Реконструкція каналізаційних очисних споруд (аеротенки та повітродувна станція з повітроводом) в м.Глухів вул.Жужоми,51; строк до 2026-12-31. Попросити один знеособлений пакет здачі за цим workflow.</x:v>
      </x:c>
      <x:c r="Z705" s="15" t="str">
        <x:v>https://prozorro.gov.ua/tender/UA-2026-04-20-000865-a</x:v>
      </x:c>
      <x:c r="AA705" s="14" t="str">
        <x:v>2977111590</x:v>
      </x:c>
      <x:c r="AB705" s="14" t="str">
        <x:v>2026-08-24</x:v>
      </x:c>
      <x:c r="AC705" s="14" t="str"/>
      <x:c r="AD705" s="20" t="str"/>
      <x:c r="AE705" s="14" t="str"/>
      <x:c r="AF705" s="14" t="n">
        <x:v>39</x:v>
      </x:c>
      <x:c r="AG705" s="14" t="str">
        <x:v>I3</x:v>
      </x:c>
      <x:c r="AH705" s="14" t="n">
        <x:v>1</x:v>
      </x:c>
      <x:c r="AI705" s="14" t="n">
        <x:v>1</x:v>
      </x:c>
      <x:c r="AJ705" s="18" t="n">
        <x:v>380000</x:v>
      </x:c>
      <x:c r="AK705" s="14" t="str">
        <x:v>https://prozorro.gov.ua/tender/UA-2026-04-20-000865-a</x:v>
      </x:c>
      <x:c r="AL705" s="19" t="n">
        <x:v>46132.27426259259</x:v>
      </x:c>
      <x:c r="AM705" s="19" t="n">
        <x:v>46387</x:v>
      </x:c>
      <x:c r="AN705" s="15" t="str">
        <x:v>Водоочищення / очисні споруди</x:v>
      </x:c>
      <x:c r="AO705" s="15" t="str">
        <x:v>not_found_in_top_search</x:v>
      </x:c>
    </x:row>
    <x:row r="706">
      <x:c r="A706" s="14" t="str">
        <x:v>W3-434</x:v>
      </x:c>
      <x:c r="B706" s="14" t="str">
        <x:v>Prozorro winners — 24.08</x:v>
      </x:c>
      <x:c r="C706" s="14" t="str">
        <x:v>ФОП ЛОГІНОВ ОЛЕКСАНДР ІВАНОВИЧ</x:v>
      </x:c>
      <x:c r="D706" s="14" t="str">
        <x:v>Медичні гази</x:v>
      </x:c>
      <x:c r="E706" s="14" t="str">
        <x:v>Expansion discovery</x:v>
      </x:c>
      <x:c r="F706" s="17" t="str">
        <x:f>IF(E706="Pilot now",IF(P706&gt;=84,"P1",IF(P706&gt;=72,"P2","P3")),IF(E706="Expansion discovery",IF(Q706&gt;=88,"D1",IF(Q706&gt;=78,"D2","D3")),IF(E706="Later / requirements","L","Legacy")))</x:f>
        <x:v>D2</x:v>
      </x:c>
      <x:c r="G706" s="14" t="str"/>
      <x:c r="H706" s="14" t="str">
        <x:v>Discovery розширення — 2 тижні</x:v>
      </x:c>
      <x:c r="I706" s="16" t="n">
        <x:v>1</x:v>
      </x:c>
      <x:c r="J706" s="16" t="n">
        <x:v>5</x:v>
      </x:c>
      <x:c r="K706" s="16" t="n">
        <x:v>4</x:v>
      </x:c>
      <x:c r="L706" s="16" t="n">
        <x:v>2</x:v>
      </x:c>
      <x:c r="M706" s="16" t="n">
        <x:v>5</x:v>
      </x:c>
      <x:c r="N706" s="16" t="n">
        <x:v>3</x:v>
      </x:c>
      <x:c r="O706" s="16" t="n">
        <x:v>5</x:v>
      </x:c>
      <x:c r="P706" s="16" t="n">
        <x:f>IF(COUNT(I706:O706)&lt;7,"",I706*8+J706*3+K706*2+L706*2+M706*2+N706*2+O706)</x:f>
        <x:v>56</x:v>
      </x:c>
      <x:c r="Q706" s="16" t="n">
        <x:f>IF(COUNT(J706:O706)&lt;6,"",J706*5+K706*4+M706*4+L706*3+N706*2+O706*2)</x:f>
        <x:v>83</x:v>
      </x:c>
      <x:c r="R706" s="14" t="str">
        <x:v>high</x:v>
      </x:c>
      <x:c r="S706" s="14" t="str">
        <x:v>official_prozorro_award_2025_2026</x:v>
      </x:c>
      <x:c r="T706" s="14" t="str">
        <x:v>official_prozorro_api</x:v>
      </x:c>
      <x:c r="U706" s="14" t="str">
        <x:v>Не контактували</x:v>
      </x:c>
      <x:c r="V706" s="15" t="str">
        <x:v>Workflow-audit outreach по UA-2026-03-18-001697-a; попросити 1 пакет здачі та вимоги проєкту</x:v>
      </x:c>
      <x:c r="W706" s="15" t="str">
        <x:v>Власник / виконавець; відповідальний за договір</x:v>
      </x:c>
      <x:c r="X706" s="15" t="str">
        <x:v>1 підтверджених перемог/договорів у Prozorro на 245 395 грн; 1 проєктів зі строком виконання не раніше 24.08.2026.</x:v>
      </x:c>
      <x:c r="Y706" s="15" t="str">
        <x:v>50420000-5 Послуги з ремонту і технічного обслуговування медичного та хірургічного обладнання (Послуги з поточного ремонту та монтажу системи постачання медичних газів); строк до 2026-12-22. Попросити один знеособлений пакет здачі за цим workflow.</x:v>
      </x:c>
      <x:c r="Z706" s="15" t="str">
        <x:v>https://prozorro.gov.ua/tender/UA-2026-03-18-001697-a</x:v>
      </x:c>
      <x:c r="AA706" s="14" t="str">
        <x:v>2444315539</x:v>
      </x:c>
      <x:c r="AB706" s="14" t="str">
        <x:v>2026-08-24</x:v>
      </x:c>
      <x:c r="AC706" s="14" t="str"/>
      <x:c r="AD706" s="20" t="str"/>
      <x:c r="AE706" s="14" t="str"/>
      <x:c r="AF706" s="14" t="n">
        <x:v>39</x:v>
      </x:c>
      <x:c r="AG706" s="14" t="str">
        <x:v>I3</x:v>
      </x:c>
      <x:c r="AH706" s="14" t="n">
        <x:v>1</x:v>
      </x:c>
      <x:c r="AI706" s="14" t="n">
        <x:v>1</x:v>
      </x:c>
      <x:c r="AJ706" s="18" t="n">
        <x:v>245395</x:v>
      </x:c>
      <x:c r="AK706" s="14" t="str">
        <x:v>https://prozorro.gov.ua/tender/UA-2026-03-18-001697-a</x:v>
      </x:c>
      <x:c r="AL706" s="19" t="n">
        <x:v>46107.63286478009</x:v>
      </x:c>
      <x:c r="AM706" s="19" t="n">
        <x:v>46378.329780092594</x:v>
      </x:c>
      <x:c r="AN706" s="15" t="str">
        <x:v>Медичні гази</x:v>
      </x:c>
      <x:c r="AO706" s="15" t="str">
        <x:v>not_found_in_top_search</x:v>
      </x:c>
    </x:row>
    <x:row r="707">
      <x:c r="A707" s="14" t="str">
        <x:v>W3-435</x:v>
      </x:c>
      <x:c r="B707" s="14" t="str">
        <x:v>Prozorro winners — 24.08</x:v>
      </x:c>
      <x:c r="C707" s="14" t="str">
        <x:v>ТОВ "Біляївська будівельна компанія"</x:v>
      </x:c>
      <x:c r="D707" s="14" t="str">
        <x:v>ГНБ / безтраншейні роботи</x:v>
      </x:c>
      <x:c r="E707" s="14" t="str">
        <x:v>Expansion discovery</x:v>
      </x:c>
      <x:c r="F707" s="17" t="str">
        <x:f>IF(E707="Pilot now",IF(P707&gt;=84,"P1",IF(P707&gt;=72,"P2","P3")),IF(E707="Expansion discovery",IF(Q707&gt;=88,"D1",IF(Q707&gt;=78,"D2","D3")),IF(E707="Later / requirements","L","Legacy")))</x:f>
        <x:v>D2</x:v>
      </x:c>
      <x:c r="G707" s="14" t="str"/>
      <x:c r="H707" s="14" t="str">
        <x:v>Discovery розширення — 2 тижні</x:v>
      </x:c>
      <x:c r="I707" s="16" t="n">
        <x:v>1</x:v>
      </x:c>
      <x:c r="J707" s="16" t="n">
        <x:v>5</x:v>
      </x:c>
      <x:c r="K707" s="16" t="n">
        <x:v>4</x:v>
      </x:c>
      <x:c r="L707" s="16" t="n">
        <x:v>2</x:v>
      </x:c>
      <x:c r="M707" s="16" t="n">
        <x:v>5</x:v>
      </x:c>
      <x:c r="N707" s="16" t="n">
        <x:v>5</x:v>
      </x:c>
      <x:c r="O707" s="16" t="n">
        <x:v>5</x:v>
      </x:c>
      <x:c r="P707" s="16" t="n">
        <x:f>IF(COUNT(I707:O707)&lt;7,"",I707*8+J707*3+K707*2+L707*2+M707*2+N707*2+O707)</x:f>
        <x:v>60</x:v>
      </x:c>
      <x:c r="Q707" s="16" t="n">
        <x:f>IF(COUNT(J707:O707)&lt;6,"",J707*5+K707*4+M707*4+L707*3+N707*2+O707*2)</x:f>
        <x:v>87</x:v>
      </x:c>
      <x:c r="R707" s="14" t="str">
        <x:v>high</x:v>
      </x:c>
      <x:c r="S707" s="14" t="str">
        <x:v>official_prozorro_award_2025_2026</x:v>
      </x:c>
      <x:c r="T707" s="14" t="str">
        <x:v>official_prozorro_api</x:v>
      </x:c>
      <x:c r="U707" s="14" t="str">
        <x:v>Не контактували</x:v>
      </x:c>
      <x:c r="V707" s="15" t="str">
        <x:v>Workflow-audit outreach по UA-2025-11-21-002037-a; попросити 1 пакет здачі та вимоги проєкту</x:v>
      </x:c>
      <x:c r="W707" s="15" t="str">
        <x:v>Власник / директор; керівник ПТО; відповідальний за договори</x:v>
      </x:c>
      <x:c r="X707" s="15" t="str">
        <x:v>3 підтверджених перемог/договорів у Prozorro на 242 194 грн; 0 проєктів зі строком виконання не раніше 24.08.2026.</x:v>
      </x:c>
      <x:c r="Y707" s="15" t="str">
        <x:v>Послуги з поточного ремонту зовнішніх мереж водопостачання протяжністю 150 метрів погонних, в межах неселеного пункту с.Великий Дальник по 1-му Тепличному провулку (влаштування проколу методом горизонтально-направленого буріння); строк до 2025-12-30. Попросити один знеособлений пакет здачі за цим workflow.</x:v>
      </x:c>
      <x:c r="Z707" s="15" t="str">
        <x:v>https://prozorro.gov.ua/tender/UA-2025-11-21-002037-a</x:v>
      </x:c>
      <x:c r="AA707" s="14" t="str">
        <x:v>41381317</x:v>
      </x:c>
      <x:c r="AB707" s="14" t="str">
        <x:v>2026-08-24</x:v>
      </x:c>
      <x:c r="AC707" s="14" t="str"/>
      <x:c r="AD707" s="20" t="str"/>
      <x:c r="AE707" s="14" t="str"/>
      <x:c r="AF707" s="14" t="n">
        <x:v>39</x:v>
      </x:c>
      <x:c r="AG707" s="14" t="str">
        <x:v>I3</x:v>
      </x:c>
      <x:c r="AH707" s="14" t="n">
        <x:v>3</x:v>
      </x:c>
      <x:c r="AI707" s="14" t="n">
        <x:v>0</x:v>
      </x:c>
      <x:c r="AJ707" s="18" t="n">
        <x:v>242193.6</x:v>
      </x:c>
      <x:c r="AK707" s="14" t="str">
        <x:v>https://prozorro.gov.ua/tender/UA-2025-11-21-002037-a</x:v>
      </x:c>
      <x:c r="AL707" s="19" t="n">
        <x:v>45982.33196025463</x:v>
      </x:c>
      <x:c r="AM707" s="19" t="n">
        <x:v>46021.33216435185</x:v>
      </x:c>
      <x:c r="AN707" s="15" t="str">
        <x:v>ГНБ / безтраншейні роботи</x:v>
      </x:c>
      <x:c r="AO707" s="15" t="str">
        <x:v>not_found_in_top_search</x:v>
      </x:c>
    </x:row>
    <x:row r="708">
      <x:c r="A708" s="14" t="str">
        <x:v>W3-436</x:v>
      </x:c>
      <x:c r="B708" s="14" t="str">
        <x:v>Prozorro winners — 24.08</x:v>
      </x:c>
      <x:c r="C708" s="14" t="str">
        <x:v>ФІЗИЧНА ОСОБА ПІДПРИЄМЕЦЬ ТРЯНОВ АНАТОЛІЙ АНАТОЛІЙОВИЧ</x:v>
      </x:c>
      <x:c r="D708" s="14" t="str">
        <x:v>Електромонтаж</x:v>
      </x:c>
      <x:c r="E708" s="14" t="str">
        <x:v>Pilot now</x:v>
      </x:c>
      <x:c r="F708" s="17" t="str">
        <x:f>IF(E708="Pilot now",IF(P708&gt;=84,"P1",IF(P708&gt;=72,"P2","P3")),IF(E708="Expansion discovery",IF(Q708&gt;=88,"D1",IF(Q708&gt;=78,"D2","D3")),IF(E708="Later / requirements","L","Legacy")))</x:f>
        <x:v>P1</x:v>
      </x:c>
      <x:c r="G708" s="14" t="str"/>
      <x:c r="H708" s="14" t="str">
        <x:v>Пілот зараз — Н.15</x:v>
      </x:c>
      <x:c r="I708" s="16" t="n">
        <x:v>5</x:v>
      </x:c>
      <x:c r="J708" s="16" t="n">
        <x:v>5</x:v>
      </x:c>
      <x:c r="K708" s="16" t="n">
        <x:v>5</x:v>
      </x:c>
      <x:c r="L708" s="16" t="n">
        <x:v>2</x:v>
      </x:c>
      <x:c r="M708" s="16" t="n">
        <x:v>5</x:v>
      </x:c>
      <x:c r="N708" s="16" t="n">
        <x:v>3</x:v>
      </x:c>
      <x:c r="O708" s="16" t="n">
        <x:v>5</x:v>
      </x:c>
      <x:c r="P708" s="16" t="n">
        <x:f>IF(COUNT(I708:O708)&lt;7,"",I708*8+J708*3+K708*2+L708*2+M708*2+N708*2+O708)</x:f>
        <x:v>90</x:v>
      </x:c>
      <x:c r="Q708" s="16" t="n">
        <x:f>IF(COUNT(J708:O708)&lt;6,"",J708*5+K708*4+M708*4+L708*3+N708*2+O708*2)</x:f>
        <x:v>87</x:v>
      </x:c>
      <x:c r="R708" s="14" t="str">
        <x:v>high</x:v>
      </x:c>
      <x:c r="S708" s="14" t="str">
        <x:v>official_prozorro_award_2025_2026</x:v>
      </x:c>
      <x:c r="T708" s="14" t="str">
        <x:v>official_prozorro_api</x:v>
      </x:c>
      <x:c r="U708" s="14" t="str">
        <x:v>Не контактували</x:v>
      </x:c>
      <x:c r="V708" s="15" t="str">
        <x:v>Персоналізований free-pilot outreach по UA-2026-04-08-010233-a; попросити 1 пакет Н.14/Н.15</x:v>
      </x:c>
      <x:c r="W708" s="15" t="str">
        <x:v>Власник / виконавець; відповідальний за договір</x:v>
      </x:c>
      <x:c r="X708" s="15" t="str">
        <x:v>1 підтверджених перемог/договорів у Prozorro на 199 736 грн; 1 проєктів зі строком виконання не раніше 24.08.2026.</x:v>
      </x:c>
      <x:c r="Y708" s="15" t="str">
        <x:v>Реконструкція електричних мереж 0,4 кВ з підключенням та монтажем дахової сонячної електростанції на даху опорного закладу освіти "Петровірівський ліцей" Петровірівської сільської ради Березівського району Одеської області за адресою: 66860, Одеська область, Березівський район, с.Петровірівка, вул. Центральна, 24          ; строк до 2026-10-08. Попросити один знеособлений пакет здачі за цим workflow.</x:v>
      </x:c>
      <x:c r="Z708" s="15" t="str">
        <x:v>https://prozorro.gov.ua/tender/UA-2026-04-08-010233-a</x:v>
      </x:c>
      <x:c r="AA708" s="14" t="str">
        <x:v>3131519514</x:v>
      </x:c>
      <x:c r="AB708" s="14" t="str">
        <x:v>2026-08-24</x:v>
      </x:c>
      <x:c r="AC708" s="14" t="str"/>
      <x:c r="AD708" s="20" t="str"/>
      <x:c r="AE708" s="14" t="str"/>
      <x:c r="AF708" s="14" t="n">
        <x:v>39</x:v>
      </x:c>
      <x:c r="AG708" s="14" t="str">
        <x:v>I3</x:v>
      </x:c>
      <x:c r="AH708" s="14" t="n">
        <x:v>1</x:v>
      </x:c>
      <x:c r="AI708" s="14" t="n">
        <x:v>1</x:v>
      </x:c>
      <x:c r="AJ708" s="18" t="n">
        <x:v>199736.15</x:v>
      </x:c>
      <x:c r="AK708" s="14" t="str">
        <x:v>https://prozorro.gov.ua/tender/UA-2026-04-08-010233-a</x:v>
      </x:c>
      <x:c r="AL708" s="19" t="n">
        <x:v>46120.50775244213</x:v>
      </x:c>
      <x:c r="AM708" s="19" t="n">
        <x:v>46303.508888888886</x:v>
      </x:c>
      <x:c r="AN708" s="15" t="str">
        <x:v>Електромонтаж</x:v>
      </x:c>
      <x:c r="AO708" s="15" t="str">
        <x:v>not_found_in_top_search</x:v>
      </x:c>
    </x:row>
    <x:row r="709">
      <x:c r="A709" s="14" t="str">
        <x:v>W3-437</x:v>
      </x:c>
      <x:c r="B709" s="14" t="str">
        <x:v>Prozorro winners — 24.08</x:v>
      </x:c>
      <x:c r="C709" s="14" t="str">
        <x:v>ТОВАРИСТВО З ОБМЕЖЕНОЮ ВІДПОВІДАЛЬНІСТЮ "ПОЖЕЖНА БЕЗПЕКА-ЦЕНТР"</x:v>
      </x:c>
      <x:c r="D709" s="14" t="str">
        <x:v>Пожежогасіння</x:v>
      </x:c>
      <x:c r="E709" s="14" t="str">
        <x:v>Expansion discovery</x:v>
      </x:c>
      <x:c r="F709" s="17" t="str">
        <x:f>IF(E709="Pilot now",IF(P709&gt;=84,"P1",IF(P709&gt;=72,"P2","P3")),IF(E709="Expansion discovery",IF(Q709&gt;=88,"D1",IF(Q709&gt;=78,"D2","D3")),IF(E709="Later / requirements","L","Legacy")))</x:f>
        <x:v>D2</x:v>
      </x:c>
      <x:c r="G709" s="14" t="str"/>
      <x:c r="H709" s="14" t="str">
        <x:v>Discovery розширення — 2 тижні</x:v>
      </x:c>
      <x:c r="I709" s="16" t="n">
        <x:v>1</x:v>
      </x:c>
      <x:c r="J709" s="16" t="n">
        <x:v>5</x:v>
      </x:c>
      <x:c r="K709" s="16" t="n">
        <x:v>4</x:v>
      </x:c>
      <x:c r="L709" s="16" t="n">
        <x:v>1</x:v>
      </x:c>
      <x:c r="M709" s="16" t="n">
        <x:v>5</x:v>
      </x:c>
      <x:c r="N709" s="16" t="n">
        <x:v>5</x:v>
      </x:c>
      <x:c r="O709" s="16" t="n">
        <x:v>5</x:v>
      </x:c>
      <x:c r="P709" s="16" t="n">
        <x:f>IF(COUNT(I709:O709)&lt;7,"",I709*8+J709*3+K709*2+L709*2+M709*2+N709*2+O709)</x:f>
        <x:v>58</x:v>
      </x:c>
      <x:c r="Q709" s="16" t="n">
        <x:f>IF(COUNT(J709:O709)&lt;6,"",J709*5+K709*4+M709*4+L709*3+N709*2+O709*2)</x:f>
        <x:v>84</x:v>
      </x:c>
      <x:c r="R709" s="14" t="str">
        <x:v>high</x:v>
      </x:c>
      <x:c r="S709" s="14" t="str">
        <x:v>official_prozorro_award_2025_2026</x:v>
      </x:c>
      <x:c r="T709" s="14" t="str">
        <x:v>official_prozorro_api</x:v>
      </x:c>
      <x:c r="U709" s="14" t="str">
        <x:v>Не контактували</x:v>
      </x:c>
      <x:c r="V709" s="15" t="str">
        <x:v>Workflow-audit outreach по UA-2026-04-24-004247-a; попросити 1 пакет здачі та вимоги проєкту</x:v>
      </x:c>
      <x:c r="W709" s="15" t="str">
        <x:v>Власник / директор; керівник ПТО; відповідальний за договори</x:v>
      </x:c>
      <x:c r="X709" s="15" t="str">
        <x:v>1 підтверджених перемог/договорів у Prozorro на 99 972 грн; 1 проєктів зі строком виконання не раніше 24.08.2026.</x:v>
      </x:c>
      <x:c r="Y709" s="15" t="str">
        <x:v>Послуги з монтажу системи  пожежної сигналізації та системи тривожних сповіщень; строк до 2026-12-31. Попросити один знеособлений пакет здачі за цим workflow.</x:v>
      </x:c>
      <x:c r="Z709" s="15" t="str">
        <x:v>https://prozorro.gov.ua/tender/UA-2026-04-24-004247-a</x:v>
      </x:c>
      <x:c r="AA709" s="14" t="str">
        <x:v>44930287</x:v>
      </x:c>
      <x:c r="AB709" s="14" t="str">
        <x:v>2026-08-24</x:v>
      </x:c>
      <x:c r="AC709" s="14" t="str"/>
      <x:c r="AD709" s="20" t="str"/>
      <x:c r="AE709" s="14" t="str"/>
      <x:c r="AF709" s="14" t="n">
        <x:v>38</x:v>
      </x:c>
      <x:c r="AG709" s="14" t="str">
        <x:v>I3</x:v>
      </x:c>
      <x:c r="AH709" s="14" t="n">
        <x:v>1</x:v>
      </x:c>
      <x:c r="AI709" s="14" t="n">
        <x:v>1</x:v>
      </x:c>
      <x:c r="AJ709" s="18" t="n">
        <x:v>99972</x:v>
      </x:c>
      <x:c r="AK709" s="14" t="str">
        <x:v>https://prozorro.gov.ua/tender/UA-2026-04-24-004247-a</x:v>
      </x:c>
      <x:c r="AL709" s="19" t="n">
        <x:v>46136.345209479165</x:v>
      </x:c>
      <x:c r="AM709" s="19" t="n">
        <x:v>46387</x:v>
      </x:c>
      <x:c r="AN709" s="15" t="str">
        <x:v>Пожежогасіння</x:v>
      </x:c>
      <x:c r="AO709" s="15" t="str">
        <x:v>not_found_in_top_search</x:v>
      </x:c>
    </x:row>
    <x:row r="710">
      <x:c r="A710" s="14" t="str">
        <x:v>W3-438</x:v>
      </x:c>
      <x:c r="B710" s="14" t="str">
        <x:v>Prozorro winners — 24.08</x:v>
      </x:c>
      <x:c r="C710" s="14" t="str">
        <x:v>РАДЗИВІЛ ОЛЕКСАНДР АРКАДІЙОВИЧ</x:v>
      </x:c>
      <x:c r="D710" s="14" t="str">
        <x:v>Безпека / СКУД / CCTV</x:v>
      </x:c>
      <x:c r="E710" s="14" t="str">
        <x:v>Expansion discovery</x:v>
      </x:c>
      <x:c r="F710" s="17" t="str">
        <x:f>IF(E710="Pilot now",IF(P710&gt;=84,"P1",IF(P710&gt;=72,"P2","P3")),IF(E710="Expansion discovery",IF(Q710&gt;=88,"D1",IF(Q710&gt;=78,"D2","D3")),IF(E710="Later / requirements","L","Legacy")))</x:f>
        <x:v>D2</x:v>
      </x:c>
      <x:c r="G710" s="14" t="str"/>
      <x:c r="H710" s="14" t="str">
        <x:v>Discovery розширення — 2 тижні</x:v>
      </x:c>
      <x:c r="I710" s="16" t="n">
        <x:v>1</x:v>
      </x:c>
      <x:c r="J710" s="16" t="n">
        <x:v>5</x:v>
      </x:c>
      <x:c r="K710" s="16" t="n">
        <x:v>4</x:v>
      </x:c>
      <x:c r="L710" s="16" t="n">
        <x:v>1</x:v>
      </x:c>
      <x:c r="M710" s="16" t="n">
        <x:v>5</x:v>
      </x:c>
      <x:c r="N710" s="16" t="n">
        <x:v>3</x:v>
      </x:c>
      <x:c r="O710" s="16" t="n">
        <x:v>5</x:v>
      </x:c>
      <x:c r="P710" s="16" t="n">
        <x:f>IF(COUNT(I710:O710)&lt;7,"",I710*8+J710*3+K710*2+L710*2+M710*2+N710*2+O710)</x:f>
        <x:v>54</x:v>
      </x:c>
      <x:c r="Q710" s="16" t="n">
        <x:f>IF(COUNT(J710:O710)&lt;6,"",J710*5+K710*4+M710*4+L710*3+N710*2+O710*2)</x:f>
        <x:v>80</x:v>
      </x:c>
      <x:c r="R710" s="14" t="str">
        <x:v>high</x:v>
      </x:c>
      <x:c r="S710" s="14" t="str">
        <x:v>official_prozorro_award_2025_2026</x:v>
      </x:c>
      <x:c r="T710" s="14" t="str">
        <x:v>official_prozorro_api</x:v>
      </x:c>
      <x:c r="U710" s="14" t="str">
        <x:v>Не контактували</x:v>
      </x:c>
      <x:c r="V710" s="15" t="str">
        <x:v>Workflow-audit outreach по UA-2026-06-25-007871-a; попросити 1 пакет здачі та вимоги проєкту</x:v>
      </x:c>
      <x:c r="W710" s="15" t="str">
        <x:v>Власник / виконавець; відповідальний за договір</x:v>
      </x:c>
      <x:c r="X710" s="15" t="str">
        <x:v>1 підтверджених перемог/договорів у Prozorro на 99 920 грн; 0 проєктів зі строком виконання не раніше 24.08.2026.</x:v>
      </x:c>
      <x:c r="Y710" s="15" t="str">
        <x:v>Послуги монтажу та налаштування системи  відеоспостереження; строк до 2026-07-20. Попросити один знеособлений пакет здачі за цим workflow.</x:v>
      </x:c>
      <x:c r="Z710" s="15" t="str">
        <x:v>https://prozorro.gov.ua/tender/UA-2026-06-25-007871-a</x:v>
      </x:c>
      <x:c r="AA710" s="14" t="str">
        <x:v>3023319734</x:v>
      </x:c>
      <x:c r="AB710" s="14" t="str">
        <x:v>2026-08-24</x:v>
      </x:c>
      <x:c r="AC710" s="14" t="str"/>
      <x:c r="AD710" s="20" t="str"/>
      <x:c r="AE710" s="14" t="str"/>
      <x:c r="AF710" s="14" t="n">
        <x:v>38</x:v>
      </x:c>
      <x:c r="AG710" s="14" t="str">
        <x:v>I3</x:v>
      </x:c>
      <x:c r="AH710" s="14" t="n">
        <x:v>1</x:v>
      </x:c>
      <x:c r="AI710" s="14" t="n">
        <x:v>0</x:v>
      </x:c>
      <x:c r="AJ710" s="18" t="n">
        <x:v>99920</x:v>
      </x:c>
      <x:c r="AK710" s="14" t="str">
        <x:v>https://prozorro.gov.ua/tender/UA-2026-06-25-007871-a</x:v>
      </x:c>
      <x:c r="AL710" s="19" t="n">
        <x:v>46198.47282954861</x:v>
      </x:c>
      <x:c r="AM710" s="19" t="n">
        <x:v>46223</x:v>
      </x:c>
      <x:c r="AN710" s="15" t="str">
        <x:v>Безпека / СКУД / CCTV</x:v>
      </x:c>
      <x:c r="AO710" s="15" t="str">
        <x:v>not_found_in_top_search</x:v>
      </x:c>
    </x:row>
    <x:row r="711">
      <x:c r="A711" s="14" t="str">
        <x:v>W3-439</x:v>
      </x:c>
      <x:c r="B711" s="14" t="str">
        <x:v>Prozorro winners — 24.08</x:v>
      </x:c>
      <x:c r="C711" s="14" t="str">
        <x:v>ІГНАТЮК ВАСИЛИНА ІВАНІВНА</x:v>
      </x:c>
      <x:c r="D711" s="14" t="str">
        <x:v>Сонячна енергетика</x:v>
      </x:c>
      <x:c r="E711" s="14" t="str">
        <x:v>Expansion discovery</x:v>
      </x:c>
      <x:c r="F711" s="17" t="str">
        <x:f>IF(E711="Pilot now",IF(P711&gt;=84,"P1",IF(P711&gt;=72,"P2","P3")),IF(E711="Expansion discovery",IF(Q711&gt;=88,"D1",IF(Q711&gt;=78,"D2","D3")),IF(E711="Later / requirements","L","Legacy")))</x:f>
        <x:v>D2</x:v>
      </x:c>
      <x:c r="G711" s="14" t="str"/>
      <x:c r="H711" s="14" t="str">
        <x:v>Discovery розширення — 2 тижні</x:v>
      </x:c>
      <x:c r="I711" s="16" t="n">
        <x:v>1</x:v>
      </x:c>
      <x:c r="J711" s="16" t="n">
        <x:v>5</x:v>
      </x:c>
      <x:c r="K711" s="16" t="n">
        <x:v>4</x:v>
      </x:c>
      <x:c r="L711" s="16" t="n">
        <x:v>1</x:v>
      </x:c>
      <x:c r="M711" s="16" t="n">
        <x:v>5</x:v>
      </x:c>
      <x:c r="N711" s="16" t="n">
        <x:v>3</x:v>
      </x:c>
      <x:c r="O711" s="16" t="n">
        <x:v>5</x:v>
      </x:c>
      <x:c r="P711" s="16" t="n">
        <x:f>IF(COUNT(I711:O711)&lt;7,"",I711*8+J711*3+K711*2+L711*2+M711*2+N711*2+O711)</x:f>
        <x:v>54</x:v>
      </x:c>
      <x:c r="Q711" s="16" t="n">
        <x:f>IF(COUNT(J711:O711)&lt;6,"",J711*5+K711*4+M711*4+L711*3+N711*2+O711*2)</x:f>
        <x:v>80</x:v>
      </x:c>
      <x:c r="R711" s="14" t="str">
        <x:v>high</x:v>
      </x:c>
      <x:c r="S711" s="14" t="str">
        <x:v>official_prozorro_award_2025_2026</x:v>
      </x:c>
      <x:c r="T711" s="14" t="str">
        <x:v>official_prozorro_api</x:v>
      </x:c>
      <x:c r="U711" s="14" t="str">
        <x:v>Не контактували</x:v>
      </x:c>
      <x:c r="V711" s="15" t="str">
        <x:v>Workflow-audit outreach по UA-2026-05-18-010340-a; попросити 1 пакет здачі та вимоги проєкту</x:v>
      </x:c>
      <x:c r="W711" s="15" t="str">
        <x:v>Власник / виконавець; відповідальний за договір</x:v>
      </x:c>
      <x:c r="X711" s="15" t="str">
        <x:v>1 підтверджених перемог/договорів у Prozorro на 99 900 грн; 0 проєктів зі строком виконання не раніше 24.08.2026.</x:v>
      </x:c>
      <x:c r="Y711" s="15" t="str">
        <x:v>45260000-7 Покрівельні роботи та інші спеціалізовані будівельні роботи (Роботи з монтажу сонячної електростанції з системою накопичення енергії за адресою 68600, Одеська обл., м. Ізмаїл, пр. Миру, 15); строк до 2026-06-30. Попросити один знеособлений пакет здачі за цим workflow.</x:v>
      </x:c>
      <x:c r="Z711" s="15" t="str">
        <x:v>https://prozorro.gov.ua/tender/UA-2026-05-18-010340-a</x:v>
      </x:c>
      <x:c r="AA711" s="14" t="str">
        <x:v>2448402807</x:v>
      </x:c>
      <x:c r="AB711" s="14" t="str">
        <x:v>2026-08-24</x:v>
      </x:c>
      <x:c r="AC711" s="14" t="str"/>
      <x:c r="AD711" s="20" t="str"/>
      <x:c r="AE711" s="14" t="str"/>
      <x:c r="AF711" s="14" t="n">
        <x:v>38</x:v>
      </x:c>
      <x:c r="AG711" s="14" t="str">
        <x:v>I3</x:v>
      </x:c>
      <x:c r="AH711" s="14" t="n">
        <x:v>1</x:v>
      </x:c>
      <x:c r="AI711" s="14" t="n">
        <x:v>0</x:v>
      </x:c>
      <x:c r="AJ711" s="18" t="n">
        <x:v>99900</x:v>
      </x:c>
      <x:c r="AK711" s="14" t="str">
        <x:v>https://prozorro.gov.ua/tender/UA-2026-05-18-010340-a</x:v>
      </x:c>
      <x:c r="AL711" s="19" t="n">
        <x:v>46160.528846863424</x:v>
      </x:c>
      <x:c r="AM711" s="19" t="n">
        <x:v>46203</x:v>
      </x:c>
      <x:c r="AN711" s="15" t="str">
        <x:v>Сонячна енергетика</x:v>
      </x:c>
      <x:c r="AO711" s="15" t="str">
        <x:v>not_found_in_top_search</x:v>
      </x:c>
    </x:row>
    <x:row r="712">
      <x:c r="A712" s="14" t="str">
        <x:v>W3-440</x:v>
      </x:c>
      <x:c r="B712" s="14" t="str">
        <x:v>Prozorro winners — 24.08</x:v>
      </x:c>
      <x:c r="C712" s="14" t="str">
        <x:v>ПП «КОЛЕКС»</x:v>
      </x:c>
      <x:c r="D712" s="14" t="str">
        <x:v>Пожежогасіння</x:v>
      </x:c>
      <x:c r="E712" s="14" t="str">
        <x:v>Expansion discovery</x:v>
      </x:c>
      <x:c r="F712" s="17" t="str">
        <x:f>IF(E712="Pilot now",IF(P712&gt;=84,"P1",IF(P712&gt;=72,"P2","P3")),IF(E712="Expansion discovery",IF(Q712&gt;=88,"D1",IF(Q712&gt;=78,"D2","D3")),IF(E712="Later / requirements","L","Legacy")))</x:f>
        <x:v>D2</x:v>
      </x:c>
      <x:c r="G712" s="14" t="str"/>
      <x:c r="H712" s="14" t="str">
        <x:v>Discovery розширення — 2 тижні</x:v>
      </x:c>
      <x:c r="I712" s="16" t="n">
        <x:v>1</x:v>
      </x:c>
      <x:c r="J712" s="16" t="n">
        <x:v>5</x:v>
      </x:c>
      <x:c r="K712" s="16" t="n">
        <x:v>4</x:v>
      </x:c>
      <x:c r="L712" s="16" t="n">
        <x:v>1</x:v>
      </x:c>
      <x:c r="M712" s="16" t="n">
        <x:v>5</x:v>
      </x:c>
      <x:c r="N712" s="16" t="n">
        <x:v>5</x:v>
      </x:c>
      <x:c r="O712" s="16" t="n">
        <x:v>5</x:v>
      </x:c>
      <x:c r="P712" s="16" t="n">
        <x:f>IF(COUNT(I712:O712)&lt;7,"",I712*8+J712*3+K712*2+L712*2+M712*2+N712*2+O712)</x:f>
        <x:v>58</x:v>
      </x:c>
      <x:c r="Q712" s="16" t="n">
        <x:f>IF(COUNT(J712:O712)&lt;6,"",J712*5+K712*4+M712*4+L712*3+N712*2+O712*2)</x:f>
        <x:v>84</x:v>
      </x:c>
      <x:c r="R712" s="14" t="str">
        <x:v>high</x:v>
      </x:c>
      <x:c r="S712" s="14" t="str">
        <x:v>official_prozorro_award_2025_2026</x:v>
      </x:c>
      <x:c r="T712" s="14" t="str">
        <x:v>official_prozorro_api</x:v>
      </x:c>
      <x:c r="U712" s="14" t="str">
        <x:v>Не контактували</x:v>
      </x:c>
      <x:c r="V712" s="15" t="str">
        <x:v>Workflow-audit outreach по UA-2026-03-27-011149-a; попросити 1 пакет здачі та вимоги проєкту</x:v>
      </x:c>
      <x:c r="W712" s="15" t="str">
        <x:v>Власник / директор; керівник ПТО; відповідальний за договори</x:v>
      </x:c>
      <x:c r="X712" s="15" t="str">
        <x:v>1 підтверджених перемог/договорів у Prozorro на 94 275 грн; 1 проєктів зі строком виконання не раніше 24.08.2026.</x:v>
      </x:c>
      <x:c r="Y712" s="15" t="str">
        <x:v>Монтаж та налагодження системи охоронної та пожежної сигналізації; строк до 2026-12-31. Попросити один знеособлений пакет здачі за цим workflow.</x:v>
      </x:c>
      <x:c r="Z712" s="15" t="str">
        <x:v>https://prozorro.gov.ua/tender/UA-2026-03-27-011149-a</x:v>
      </x:c>
      <x:c r="AA712" s="14" t="str">
        <x:v>34606315</x:v>
      </x:c>
      <x:c r="AB712" s="14" t="str">
        <x:v>2026-08-24</x:v>
      </x:c>
      <x:c r="AC712" s="14" t="str"/>
      <x:c r="AD712" s="20" t="str"/>
      <x:c r="AE712" s="14" t="str"/>
      <x:c r="AF712" s="14" t="n">
        <x:v>38</x:v>
      </x:c>
      <x:c r="AG712" s="14" t="str">
        <x:v>I3</x:v>
      </x:c>
      <x:c r="AH712" s="14" t="n">
        <x:v>1</x:v>
      </x:c>
      <x:c r="AI712" s="14" t="n">
        <x:v>1</x:v>
      </x:c>
      <x:c r="AJ712" s="18" t="n">
        <x:v>94274.59</x:v>
      </x:c>
      <x:c r="AK712" s="14" t="str">
        <x:v>https://prozorro.gov.ua/tender/UA-2026-03-27-011149-a</x:v>
      </x:c>
      <x:c r="AL712" s="19" t="n">
        <x:v>46108.6047377662</x:v>
      </x:c>
      <x:c r="AM712" s="19" t="n">
        <x:v>46387</x:v>
      </x:c>
      <x:c r="AN712" s="15" t="str">
        <x:v>Пожежогасіння</x:v>
      </x:c>
      <x:c r="AO712" s="15" t="str">
        <x:v>not_found_in_top_search</x:v>
      </x:c>
    </x:row>
    <x:row r="713">
      <x:c r="A713" s="14" t="str">
        <x:v>W3-441</x:v>
      </x:c>
      <x:c r="B713" s="14" t="str">
        <x:v>Prozorro winners — 24.08</x:v>
      </x:c>
      <x:c r="C713" s="14" t="str">
        <x:v>ФОП Микитюк Микола Георгійович</x:v>
      </x:c>
      <x:c r="D713" s="14" t="str">
        <x:v>Газопостачання / котельні</x:v>
      </x:c>
      <x:c r="E713" s="14" t="str">
        <x:v>Expansion discovery</x:v>
      </x:c>
      <x:c r="F713" s="17" t="str">
        <x:f>IF(E713="Pilot now",IF(P713&gt;=84,"P1",IF(P713&gt;=72,"P2","P3")),IF(E713="Expansion discovery",IF(Q713&gt;=88,"D1",IF(Q713&gt;=78,"D2","D3")),IF(E713="Later / requirements","L","Legacy")))</x:f>
        <x:v>D2</x:v>
      </x:c>
      <x:c r="G713" s="14" t="str"/>
      <x:c r="H713" s="14" t="str">
        <x:v>Discovery розширення — 2 тижні</x:v>
      </x:c>
      <x:c r="I713" s="16" t="n">
        <x:v>1</x:v>
      </x:c>
      <x:c r="J713" s="16" t="n">
        <x:v>5</x:v>
      </x:c>
      <x:c r="K713" s="16" t="n">
        <x:v>4</x:v>
      </x:c>
      <x:c r="L713" s="16" t="n">
        <x:v>1</x:v>
      </x:c>
      <x:c r="M713" s="16" t="n">
        <x:v>5</x:v>
      </x:c>
      <x:c r="N713" s="16" t="n">
        <x:v>3</x:v>
      </x:c>
      <x:c r="O713" s="16" t="n">
        <x:v>5</x:v>
      </x:c>
      <x:c r="P713" s="16" t="n">
        <x:f>IF(COUNT(I713:O713)&lt;7,"",I713*8+J713*3+K713*2+L713*2+M713*2+N713*2+O713)</x:f>
        <x:v>54</x:v>
      </x:c>
      <x:c r="Q713" s="16" t="n">
        <x:f>IF(COUNT(J713:O713)&lt;6,"",J713*5+K713*4+M713*4+L713*3+N713*2+O713*2)</x:f>
        <x:v>80</x:v>
      </x:c>
      <x:c r="R713" s="14" t="str">
        <x:v>high</x:v>
      </x:c>
      <x:c r="S713" s="14" t="str">
        <x:v>official_prozorro_award_2025_2026</x:v>
      </x:c>
      <x:c r="T713" s="14" t="str">
        <x:v>official_prozorro_api</x:v>
      </x:c>
      <x:c r="U713" s="14" t="str">
        <x:v>Не контактували</x:v>
      </x:c>
      <x:c r="V713" s="15" t="str">
        <x:v>Workflow-audit outreach по UA-2026-07-01-003861-a; попросити 1 пакет здачі та вимоги проєкту</x:v>
      </x:c>
      <x:c r="W713" s="15" t="str">
        <x:v>Власник / виконавець; відповідальний за договір</x:v>
      </x:c>
      <x:c r="X713" s="15" t="str">
        <x:v>1 підтверджених перемог/договорів у Prozorro на 88 970 грн; 0 проєктів зі строком виконання не раніше 24.08.2026.</x:v>
      </x:c>
      <x:c r="Y713" s="15" t="str">
        <x:v>Послуги з демонтажу та монтажу димової труби в котельні Мамаївського ЗДО; строк до 2026-07-31. Попросити один знеособлений пакет здачі за цим workflow.</x:v>
      </x:c>
      <x:c r="Z713" s="15" t="str">
        <x:v>https://prozorro.gov.ua/tender/UA-2026-07-01-003861-a</x:v>
      </x:c>
      <x:c r="AA713" s="14" t="str">
        <x:v>2307214319</x:v>
      </x:c>
      <x:c r="AB713" s="14" t="str">
        <x:v>2026-08-24</x:v>
      </x:c>
      <x:c r="AC713" s="14" t="str"/>
      <x:c r="AD713" s="20" t="str"/>
      <x:c r="AE713" s="14" t="str"/>
      <x:c r="AF713" s="14" t="n">
        <x:v>38</x:v>
      </x:c>
      <x:c r="AG713" s="14" t="str">
        <x:v>I3</x:v>
      </x:c>
      <x:c r="AH713" s="14" t="n">
        <x:v>1</x:v>
      </x:c>
      <x:c r="AI713" s="14" t="n">
        <x:v>0</x:v>
      </x:c>
      <x:c r="AJ713" s="18" t="n">
        <x:v>88970</x:v>
      </x:c>
      <x:c r="AK713" s="14" t="str">
        <x:v>https://prozorro.gov.ua/tender/UA-2026-07-01-003861-a</x:v>
      </x:c>
      <x:c r="AL713" s="19" t="n">
        <x:v>46204.3824987037</x:v>
      </x:c>
      <x:c r="AM713" s="19" t="n">
        <x:v>46234</x:v>
      </x:c>
      <x:c r="AN713" s="15" t="str">
        <x:v>Газопостачання / котельні</x:v>
      </x:c>
      <x:c r="AO713" s="15" t="str">
        <x:v>not_found_in_top_search</x:v>
      </x:c>
    </x:row>
    <x:row r="714">
      <x:c r="A714" s="14" t="str">
        <x:v>W3-442</x:v>
      </x:c>
      <x:c r="B714" s="14" t="str">
        <x:v>Prozorro winners — 24.08</x:v>
      </x:c>
      <x:c r="C714" s="14" t="str">
        <x:v>ДП "Укрдержекспертиза"</x:v>
      </x:c>
      <x:c r="D714" s="14" t="str">
        <x:v>Зовнішні мережі</x:v>
      </x:c>
      <x:c r="E714" s="14" t="str">
        <x:v>Expansion discovery</x:v>
      </x:c>
      <x:c r="F714" s="17" t="str">
        <x:f>IF(E714="Pilot now",IF(P714&gt;=84,"P1",IF(P714&gt;=72,"P2","P3")),IF(E714="Expansion discovery",IF(Q714&gt;=88,"D1",IF(Q714&gt;=78,"D2","D3")),IF(E714="Later / requirements","L","Legacy")))</x:f>
        <x:v>D2</x:v>
      </x:c>
      <x:c r="G714" s="14" t="str"/>
      <x:c r="H714" s="14" t="str">
        <x:v>Discovery розширення — 2 тижні</x:v>
      </x:c>
      <x:c r="I714" s="16" t="n">
        <x:v>1</x:v>
      </x:c>
      <x:c r="J714" s="16" t="n">
        <x:v>5</x:v>
      </x:c>
      <x:c r="K714" s="16" t="n">
        <x:v>4</x:v>
      </x:c>
      <x:c r="L714" s="16" t="n">
        <x:v>1</x:v>
      </x:c>
      <x:c r="M714" s="16" t="n">
        <x:v>5</x:v>
      </x:c>
      <x:c r="N714" s="16" t="n">
        <x:v>5</x:v>
      </x:c>
      <x:c r="O714" s="16" t="n">
        <x:v>5</x:v>
      </x:c>
      <x:c r="P714" s="16" t="n">
        <x:f>IF(COUNT(I714:O714)&lt;7,"",I714*8+J714*3+K714*2+L714*2+M714*2+N714*2+O714)</x:f>
        <x:v>58</x:v>
      </x:c>
      <x:c r="Q714" s="16" t="n">
        <x:f>IF(COUNT(J714:O714)&lt;6,"",J714*5+K714*4+M714*4+L714*3+N714*2+O714*2)</x:f>
        <x:v>84</x:v>
      </x:c>
      <x:c r="R714" s="14" t="str">
        <x:v>high</x:v>
      </x:c>
      <x:c r="S714" s="14" t="str">
        <x:v>official_prozorro_award_2025_2026</x:v>
      </x:c>
      <x:c r="T714" s="14" t="str">
        <x:v>official_prozorro_api</x:v>
      </x:c>
      <x:c r="U714" s="14" t="str">
        <x:v>Не контактували</x:v>
      </x:c>
      <x:c r="V714" s="15" t="str">
        <x:v>Workflow-audit outreach по UA-2026-03-18-002291-a; попросити 1 пакет здачі та вимоги проєкту</x:v>
      </x:c>
      <x:c r="W714" s="15" t="str">
        <x:v>Власник / директор; керівник ПТО; відповідальний за договори</x:v>
      </x:c>
      <x:c r="X714" s="15" t="str">
        <x:v>1 підтверджених перемог/договорів у Prozorro на 79 819 грн; 1 проєктів зі строком виконання не раніше 24.08.2026.</x:v>
      </x:c>
      <x:c r="Y714" s="15" t="str">
        <x:v>Виконання експертизи проєкту будівництва: “Нове будівництво зовнішніх інженерних мереж
електропостачання військового містечка № 50, село Мала Любаша, Рівненська область”; строк до 2026-12-31. Попросити один знеособлений пакет здачі за цим workflow.</x:v>
      </x:c>
      <x:c r="Z714" s="15" t="str">
        <x:v>https://prozorro.gov.ua/tender/UA-2026-03-18-002291-a</x:v>
      </x:c>
      <x:c r="AA714" s="14" t="str">
        <x:v>35917794</x:v>
      </x:c>
      <x:c r="AB714" s="14" t="str">
        <x:v>2026-08-24</x:v>
      </x:c>
      <x:c r="AC714" s="14" t="str"/>
      <x:c r="AD714" s="20" t="str"/>
      <x:c r="AE714" s="14" t="str"/>
      <x:c r="AF714" s="14" t="n">
        <x:v>38</x:v>
      </x:c>
      <x:c r="AG714" s="14" t="str">
        <x:v>I3</x:v>
      </x:c>
      <x:c r="AH714" s="14" t="n">
        <x:v>1</x:v>
      </x:c>
      <x:c r="AI714" s="14" t="n">
        <x:v>1</x:v>
      </x:c>
      <x:c r="AJ714" s="18" t="n">
        <x:v>79819.21</x:v>
      </x:c>
      <x:c r="AK714" s="14" t="str">
        <x:v>https://prozorro.gov.ua/tender/UA-2026-03-18-002291-a</x:v>
      </x:c>
      <x:c r="AL714" s="19" t="n">
        <x:v>46099.34066887732</x:v>
      </x:c>
      <x:c r="AM714" s="19" t="n">
        <x:v>46387</x:v>
      </x:c>
      <x:c r="AN714" s="15" t="str">
        <x:v>Зовнішні мережі</x:v>
      </x:c>
      <x:c r="AO714" s="15" t="str">
        <x:v>not_found_in_top_search</x:v>
      </x:c>
    </x:row>
    <x:row r="715">
      <x:c r="A715" s="14" t="str">
        <x:v>W3-443</x:v>
      </x:c>
      <x:c r="B715" s="14" t="str">
        <x:v>Prozorro winners — 24.08</x:v>
      </x:c>
      <x:c r="C715" s="14" t="str">
        <x:v>ТОВАРИСТВО З ОБМЕЖЕНОЮ ВІДПОВІДАЛЬНІСТЮ "БУД-ПРОЕКТ-СТРОЙ"</x:v>
      </x:c>
      <x:c r="D715" s="14" t="str">
        <x:v>Електромонтаж</x:v>
      </x:c>
      <x:c r="E715" s="14" t="str">
        <x:v>Pilot now</x:v>
      </x:c>
      <x:c r="F715" s="17" t="str">
        <x:f>IF(E715="Pilot now",IF(P715&gt;=84,"P1",IF(P715&gt;=72,"P2","P3")),IF(E715="Expansion discovery",IF(Q715&gt;=88,"D1",IF(Q715&gt;=78,"D2","D3")),IF(E715="Later / requirements","L","Legacy")))</x:f>
        <x:v>P1</x:v>
      </x:c>
      <x:c r="G715" s="14" t="str"/>
      <x:c r="H715" s="14" t="str">
        <x:v>Пілот зараз — Н.15</x:v>
      </x:c>
      <x:c r="I715" s="16" t="n">
        <x:v>5</x:v>
      </x:c>
      <x:c r="J715" s="16" t="n">
        <x:v>5</x:v>
      </x:c>
      <x:c r="K715" s="16" t="n">
        <x:v>5</x:v>
      </x:c>
      <x:c r="L715" s="16" t="n">
        <x:v>1</x:v>
      </x:c>
      <x:c r="M715" s="16" t="n">
        <x:v>5</x:v>
      </x:c>
      <x:c r="N715" s="16" t="n">
        <x:v>5</x:v>
      </x:c>
      <x:c r="O715" s="16" t="n">
        <x:v>5</x:v>
      </x:c>
      <x:c r="P715" s="16" t="n">
        <x:f>IF(COUNT(I715:O715)&lt;7,"",I715*8+J715*3+K715*2+L715*2+M715*2+N715*2+O715)</x:f>
        <x:v>92</x:v>
      </x:c>
      <x:c r="Q715" s="16" t="n">
        <x:f>IF(COUNT(J715:O715)&lt;6,"",J715*5+K715*4+M715*4+L715*3+N715*2+O715*2)</x:f>
        <x:v>88</x:v>
      </x:c>
      <x:c r="R715" s="14" t="str">
        <x:v>high</x:v>
      </x:c>
      <x:c r="S715" s="14" t="str">
        <x:v>official_prozorro_award_2025_2026</x:v>
      </x:c>
      <x:c r="T715" s="14" t="str">
        <x:v>official_prozorro_api</x:v>
      </x:c>
      <x:c r="U715" s="14" t="str">
        <x:v>Не контактували</x:v>
      </x:c>
      <x:c r="V715" s="15" t="str">
        <x:v>Персоналізований free-pilot outreach по UA-2026-02-20-002524-a; попросити 1 пакет Н.14/Н.15</x:v>
      </x:c>
      <x:c r="W715" s="15" t="str">
        <x:v>Власник / директор; керівник ПТО; відповідальний за договори</x:v>
      </x:c>
      <x:c r="X715" s="15" t="str">
        <x:v>1 підтверджених перемог/договорів у Prozorro на 71 800 грн; 1 проєктів зі строком виконання не раніше 24.08.2026.</x:v>
      </x:c>
      <x:c r="Y715" s="15" t="str">
        <x:v>Послуги з будівництва та монтажу електричних мереж; строк до 2026-12-31. Попросити один знеособлений пакет здачі за цим workflow.</x:v>
      </x:c>
      <x:c r="Z715" s="15" t="str">
        <x:v>https://prozorro.gov.ua/tender/UA-2026-02-20-002524-a</x:v>
      </x:c>
      <x:c r="AA715" s="14" t="str">
        <x:v>41025681</x:v>
      </x:c>
      <x:c r="AB715" s="14" t="str">
        <x:v>2026-08-24</x:v>
      </x:c>
      <x:c r="AC715" s="14" t="str"/>
      <x:c r="AD715" s="20" t="str"/>
      <x:c r="AE715" s="14" t="str"/>
      <x:c r="AF715" s="14" t="n">
        <x:v>38</x:v>
      </x:c>
      <x:c r="AG715" s="14" t="str">
        <x:v>I3</x:v>
      </x:c>
      <x:c r="AH715" s="14" t="n">
        <x:v>1</x:v>
      </x:c>
      <x:c r="AI715" s="14" t="n">
        <x:v>1</x:v>
      </x:c>
      <x:c r="AJ715" s="18" t="n">
        <x:v>71800</x:v>
      </x:c>
      <x:c r="AK715" s="14" t="str">
        <x:v>https://prozorro.gov.ua/tender/UA-2026-02-20-002524-a</x:v>
      </x:c>
      <x:c r="AL715" s="19" t="n">
        <x:v>46073.35758332176</x:v>
      </x:c>
      <x:c r="AM715" s="19" t="n">
        <x:v>46387</x:v>
      </x:c>
      <x:c r="AN715" s="15" t="str">
        <x:v>Електромонтаж</x:v>
      </x:c>
      <x:c r="AO715" s="15" t="str">
        <x:v>not_found_in_top_search</x:v>
      </x:c>
    </x:row>
    <x:row r="716">
      <x:c r="A716" s="14" t="str">
        <x:v>W3-444</x:v>
      </x:c>
      <x:c r="B716" s="14" t="str">
        <x:v>Prozorro winners — 24.08</x:v>
      </x:c>
      <x:c r="C716" s="14" t="str">
        <x:v>ФОП Чабан І.В.</x:v>
      </x:c>
      <x:c r="D716" s="14" t="str">
        <x:v>Безпека / СКУД / CCTV</x:v>
      </x:c>
      <x:c r="E716" s="14" t="str">
        <x:v>Expansion discovery</x:v>
      </x:c>
      <x:c r="F716" s="17" t="str">
        <x:f>IF(E716="Pilot now",IF(P716&gt;=84,"P1",IF(P716&gt;=72,"P2","P3")),IF(E716="Expansion discovery",IF(Q716&gt;=88,"D1",IF(Q716&gt;=78,"D2","D3")),IF(E716="Later / requirements","L","Legacy")))</x:f>
        <x:v>D2</x:v>
      </x:c>
      <x:c r="G716" s="14" t="str"/>
      <x:c r="H716" s="14" t="str">
        <x:v>Discovery розширення — 2 тижні</x:v>
      </x:c>
      <x:c r="I716" s="16" t="n">
        <x:v>1</x:v>
      </x:c>
      <x:c r="J716" s="16" t="n">
        <x:v>5</x:v>
      </x:c>
      <x:c r="K716" s="16" t="n">
        <x:v>4</x:v>
      </x:c>
      <x:c r="L716" s="16" t="n">
        <x:v>1</x:v>
      </x:c>
      <x:c r="M716" s="16" t="n">
        <x:v>5</x:v>
      </x:c>
      <x:c r="N716" s="16" t="n">
        <x:v>3</x:v>
      </x:c>
      <x:c r="O716" s="16" t="n">
        <x:v>5</x:v>
      </x:c>
      <x:c r="P716" s="16" t="n">
        <x:f>IF(COUNT(I716:O716)&lt;7,"",I716*8+J716*3+K716*2+L716*2+M716*2+N716*2+O716)</x:f>
        <x:v>54</x:v>
      </x:c>
      <x:c r="Q716" s="16" t="n">
        <x:f>IF(COUNT(J716:O716)&lt;6,"",J716*5+K716*4+M716*4+L716*3+N716*2+O716*2)</x:f>
        <x:v>80</x:v>
      </x:c>
      <x:c r="R716" s="14" t="str">
        <x:v>high</x:v>
      </x:c>
      <x:c r="S716" s="14" t="str">
        <x:v>official_prozorro_award_2025_2026</x:v>
      </x:c>
      <x:c r="T716" s="14" t="str">
        <x:v>official_prozorro_api</x:v>
      </x:c>
      <x:c r="U716" s="14" t="str">
        <x:v>Не контактували</x:v>
      </x:c>
      <x:c r="V716" s="15" t="str">
        <x:v>Workflow-audit outreach по UA-2026-06-25-011830-a; попросити 1 пакет здачі та вимоги проєкту</x:v>
      </x:c>
      <x:c r="W716" s="15" t="str">
        <x:v>Власник / виконавець; відповідальний за договір</x:v>
      </x:c>
      <x:c r="X716" s="15" t="str">
        <x:v>1 підтверджених перемог/договорів у Prozorro на 50 825 грн; 0 проєктів зі строком виконання не раніше 24.08.2026.</x:v>
      </x:c>
      <x:c r="Y716" s="15" t="str">
        <x:v>послуги з монтажу,установки системи відеоспостереження; строк до 2026-06-25. Попросити один знеособлений пакет здачі за цим workflow.</x:v>
      </x:c>
      <x:c r="Z716" s="15" t="str">
        <x:v>https://prozorro.gov.ua/tender/UA-2026-06-25-011830-a</x:v>
      </x:c>
      <x:c r="AA716" s="14" t="str">
        <x:v>3524713121</x:v>
      </x:c>
      <x:c r="AB716" s="14" t="str">
        <x:v>2026-08-24</x:v>
      </x:c>
      <x:c r="AC716" s="14" t="str"/>
      <x:c r="AD716" s="20" t="str"/>
      <x:c r="AE716" s="14" t="str"/>
      <x:c r="AF716" s="14" t="n">
        <x:v>38</x:v>
      </x:c>
      <x:c r="AG716" s="14" t="str">
        <x:v>I3</x:v>
      </x:c>
      <x:c r="AH716" s="14" t="n">
        <x:v>1</x:v>
      </x:c>
      <x:c r="AI716" s="14" t="n">
        <x:v>0</x:v>
      </x:c>
      <x:c r="AJ716" s="18" t="n">
        <x:v>50825</x:v>
      </x:c>
      <x:c r="AK716" s="14" t="str">
        <x:v>https://prozorro.gov.ua/tender/UA-2026-06-25-011830-a</x:v>
      </x:c>
      <x:c r="AL716" s="19" t="n">
        <x:v>46198.56511065972</x:v>
      </x:c>
      <x:c r="AM716" s="19" t="n">
        <x:v>46198</x:v>
      </x:c>
      <x:c r="AN716" s="15" t="str">
        <x:v>Безпека / СКУД / CCTV</x:v>
      </x:c>
      <x:c r="AO716" s="15" t="str">
        <x:v>not_found_in_top_search</x:v>
      </x:c>
    </x:row>
    <x:row r="717">
      <x:c r="A717" s="14" t="str">
        <x:v>W3-445</x:v>
      </x:c>
      <x:c r="B717" s="14" t="str">
        <x:v>Prozorro winners — 24.08</x:v>
      </x:c>
      <x:c r="C717" s="14" t="str">
        <x:v>ТОВАРИСТВО З ОБМЕЖЕНОЮ ВІДПОВІДАЛЬНІСТЮ "КОНСАЛТИНГ ЛТД"</x:v>
      </x:c>
      <x:c r="D717" s="14" t="str">
        <x:v>Резервне живлення</x:v>
      </x:c>
      <x:c r="E717" s="14" t="str">
        <x:v>Expansion discovery</x:v>
      </x:c>
      <x:c r="F717" s="17" t="str">
        <x:f>IF(E717="Pilot now",IF(P717&gt;=84,"P1",IF(P717&gt;=72,"P2","P3")),IF(E717="Expansion discovery",IF(Q717&gt;=88,"D1",IF(Q717&gt;=78,"D2","D3")),IF(E717="Later / requirements","L","Legacy")))</x:f>
        <x:v>D2</x:v>
      </x:c>
      <x:c r="G717" s="14" t="str"/>
      <x:c r="H717" s="14" t="str">
        <x:v>Discovery розширення — 2 тижні</x:v>
      </x:c>
      <x:c r="I717" s="16" t="n">
        <x:v>1</x:v>
      </x:c>
      <x:c r="J717" s="16" t="n">
        <x:v>5</x:v>
      </x:c>
      <x:c r="K717" s="16" t="n">
        <x:v>4</x:v>
      </x:c>
      <x:c r="L717" s="16" t="n">
        <x:v>1</x:v>
      </x:c>
      <x:c r="M717" s="16" t="n">
        <x:v>5</x:v>
      </x:c>
      <x:c r="N717" s="16" t="n">
        <x:v>5</x:v>
      </x:c>
      <x:c r="O717" s="16" t="n">
        <x:v>5</x:v>
      </x:c>
      <x:c r="P717" s="16" t="n">
        <x:f>IF(COUNT(I717:O717)&lt;7,"",I717*8+J717*3+K717*2+L717*2+M717*2+N717*2+O717)</x:f>
        <x:v>58</x:v>
      </x:c>
      <x:c r="Q717" s="16" t="n">
        <x:f>IF(COUNT(J717:O717)&lt;6,"",J717*5+K717*4+M717*4+L717*3+N717*2+O717*2)</x:f>
        <x:v>84</x:v>
      </x:c>
      <x:c r="R717" s="14" t="str">
        <x:v>high</x:v>
      </x:c>
      <x:c r="S717" s="14" t="str">
        <x:v>official_prozorro_award_2025_2026</x:v>
      </x:c>
      <x:c r="T717" s="14" t="str">
        <x:v>official_prozorro_api</x:v>
      </x:c>
      <x:c r="U717" s="14" t="str">
        <x:v>Не контактували</x:v>
      </x:c>
      <x:c r="V717" s="15" t="str">
        <x:v>Workflow-audit outreach по UA-2026-01-21-004427-a; попросити 1 пакет здачі та вимоги проєкту</x:v>
      </x:c>
      <x:c r="W717" s="15" t="str">
        <x:v>Власник / директор; керівник ПТО; відповідальний за договори</x:v>
      </x:c>
      <x:c r="X717" s="15" t="str">
        <x:v>1 підтверджених перемог/договорів у Prozorro на 50 000 грн; 1 проєктів зі строком виконання не раніше 24.08.2026.</x:v>
      </x:c>
      <x:c r="Y717" s="15" t="str">
        <x:v>Монтаж та пусконалагоджувальні роботи системи безперебійного живлення будівлі КНП "Міська лікарня швидкої медичної допомоги" Кропивницької міської ради" по вул. Героїв-земляків, 56 м. Кропивницький"; строк до 2026-12-31. Попросити один знеособлений пакет здачі за цим workflow.</x:v>
      </x:c>
      <x:c r="Z717" s="15" t="str">
        <x:v>https://prozorro.gov.ua/tender/UA-2026-01-21-004427-a</x:v>
      </x:c>
      <x:c r="AA717" s="14" t="str">
        <x:v>34724383</x:v>
      </x:c>
      <x:c r="AB717" s="14" t="str">
        <x:v>2026-08-24</x:v>
      </x:c>
      <x:c r="AC717" s="14" t="str"/>
      <x:c r="AD717" s="20" t="str"/>
      <x:c r="AE717" s="14" t="str"/>
      <x:c r="AF717" s="14" t="n">
        <x:v>38</x:v>
      </x:c>
      <x:c r="AG717" s="14" t="str">
        <x:v>I3</x:v>
      </x:c>
      <x:c r="AH717" s="14" t="n">
        <x:v>1</x:v>
      </x:c>
      <x:c r="AI717" s="14" t="n">
        <x:v>1</x:v>
      </x:c>
      <x:c r="AJ717" s="18" t="n">
        <x:v>50000</x:v>
      </x:c>
      <x:c r="AK717" s="14" t="str">
        <x:v>https://prozorro.gov.ua/tender/UA-2026-01-21-004427-a</x:v>
      </x:c>
      <x:c r="AL717" s="19" t="n">
        <x:v>46043.37433818287</x:v>
      </x:c>
      <x:c r="AM717" s="19" t="n">
        <x:v>46387</x:v>
      </x:c>
      <x:c r="AN717" s="15" t="str">
        <x:v>Резервне живлення</x:v>
      </x:c>
      <x:c r="AO717" s="15" t="str">
        <x:v>not_found_in_top_search</x:v>
      </x:c>
    </x:row>
    <x:row r="718">
      <x:c r="A718" s="14" t="str">
        <x:v>W3-446</x:v>
      </x:c>
      <x:c r="B718" s="14" t="str">
        <x:v>Prozorro winners — 24.08</x:v>
      </x:c>
      <x:c r="C718" s="14" t="str">
        <x:v>ПП "Грантекс"</x:v>
      </x:c>
      <x:c r="D718" s="14" t="str">
        <x:v>Сонячна енергетика</x:v>
      </x:c>
      <x:c r="E718" s="14" t="str">
        <x:v>Expansion discovery</x:v>
      </x:c>
      <x:c r="F718" s="17" t="str">
        <x:f>IF(E718="Pilot now",IF(P718&gt;=84,"P1",IF(P718&gt;=72,"P2","P3")),IF(E718="Expansion discovery",IF(Q718&gt;=88,"D1",IF(Q718&gt;=78,"D2","D3")),IF(E718="Later / requirements","L","Legacy")))</x:f>
        <x:v>D2</x:v>
      </x:c>
      <x:c r="G718" s="14" t="str"/>
      <x:c r="H718" s="14" t="str">
        <x:v>Discovery розширення — 2 тижні</x:v>
      </x:c>
      <x:c r="I718" s="16" t="n">
        <x:v>1</x:v>
      </x:c>
      <x:c r="J718" s="16" t="n">
        <x:v>5</x:v>
      </x:c>
      <x:c r="K718" s="16" t="n">
        <x:v>4</x:v>
      </x:c>
      <x:c r="L718" s="16" t="n">
        <x:v>1</x:v>
      </x:c>
      <x:c r="M718" s="16" t="n">
        <x:v>5</x:v>
      </x:c>
      <x:c r="N718" s="16" t="n">
        <x:v>5</x:v>
      </x:c>
      <x:c r="O718" s="16" t="n">
        <x:v>5</x:v>
      </x:c>
      <x:c r="P718" s="16" t="n">
        <x:f>IF(COUNT(I718:O718)&lt;7,"",I718*8+J718*3+K718*2+L718*2+M718*2+N718*2+O718)</x:f>
        <x:v>58</x:v>
      </x:c>
      <x:c r="Q718" s="16" t="n">
        <x:f>IF(COUNT(J718:O718)&lt;6,"",J718*5+K718*4+M718*4+L718*3+N718*2+O718*2)</x:f>
        <x:v>84</x:v>
      </x:c>
      <x:c r="R718" s="14" t="str">
        <x:v>high</x:v>
      </x:c>
      <x:c r="S718" s="14" t="str">
        <x:v>official_prozorro_award_2025_2026</x:v>
      </x:c>
      <x:c r="T718" s="14" t="str">
        <x:v>official_prozorro_api</x:v>
      </x:c>
      <x:c r="U718" s="14" t="str">
        <x:v>Не контактували</x:v>
      </x:c>
      <x:c r="V718" s="15" t="str">
        <x:v>Workflow-audit outreach по UA-2026-04-08-014234-a; попросити 1 пакет здачі та вимоги проєкту</x:v>
      </x:c>
      <x:c r="W718" s="15" t="str">
        <x:v>Власник / директор; керівник ПТО; відповідальний за договори</x:v>
      </x:c>
      <x:c r="X718" s="15" t="str">
        <x:v>1 підтверджених перемог/договорів у Prozorro на 48 670 грн; 1 проєктів зі строком виконання не раніше 24.08.2026.</x:v>
      </x:c>
      <x:c r="Y718" s="15" t="str">
        <x:v>Електротехнічне обладнання для монтажу сонячної електростанції; строк до 2026-12-31. Попросити один знеособлений пакет здачі за цим workflow.</x:v>
      </x:c>
      <x:c r="Z718" s="15" t="str">
        <x:v>https://prozorro.gov.ua/tender/UA-2026-04-08-014234-a</x:v>
      </x:c>
      <x:c r="AA718" s="14" t="str">
        <x:v>32729285</x:v>
      </x:c>
      <x:c r="AB718" s="14" t="str">
        <x:v>2026-08-24</x:v>
      </x:c>
      <x:c r="AC718" s="14" t="str"/>
      <x:c r="AD718" s="20" t="str"/>
      <x:c r="AE718" s="14" t="str"/>
      <x:c r="AF718" s="14" t="n">
        <x:v>38</x:v>
      </x:c>
      <x:c r="AG718" s="14" t="str">
        <x:v>I3</x:v>
      </x:c>
      <x:c r="AH718" s="14" t="n">
        <x:v>1</x:v>
      </x:c>
      <x:c r="AI718" s="14" t="n">
        <x:v>1</x:v>
      </x:c>
      <x:c r="AJ718" s="18" t="n">
        <x:v>48669.53</x:v>
      </x:c>
      <x:c r="AK718" s="14" t="str">
        <x:v>https://prozorro.gov.ua/tender/UA-2026-04-08-014234-a</x:v>
      </x:c>
      <x:c r="AL718" s="19" t="n">
        <x:v>46120.610908194445</x:v>
      </x:c>
      <x:c r="AM718" s="19" t="n">
        <x:v>46387</x:v>
      </x:c>
      <x:c r="AN718" s="15" t="str">
        <x:v>Сонячна енергетика</x:v>
      </x:c>
      <x:c r="AO718" s="15" t="str">
        <x:v>not_found_in_top_search</x:v>
      </x:c>
    </x:row>
    <x:row r="719">
      <x:c r="A719" s="14" t="str">
        <x:v>W3-447</x:v>
      </x:c>
      <x:c r="B719" s="14" t="str">
        <x:v>Prozorro winners — 24.08</x:v>
      </x:c>
      <x:c r="C719" s="14" t="str">
        <x:v>ТОВАРИСТВО З ОБМЕЖЕНОЮ ВІДПОВІДАЛЬНІСТЮ "АРТЛАЙН ІНТЕГРАЦІЯ"</x:v>
      </x:c>
      <x:c r="D719" s="14" t="str">
        <x:v>Резервне живлення</x:v>
      </x:c>
      <x:c r="E719" s="14" t="str">
        <x:v>Expansion discovery</x:v>
      </x:c>
      <x:c r="F719" s="17" t="str">
        <x:f>IF(E719="Pilot now",IF(P719&gt;=84,"P1",IF(P719&gt;=72,"P2","P3")),IF(E719="Expansion discovery",IF(Q719&gt;=88,"D1",IF(Q719&gt;=78,"D2","D3")),IF(E719="Later / requirements","L","Legacy")))</x:f>
        <x:v>D2</x:v>
      </x:c>
      <x:c r="G719" s="14" t="str"/>
      <x:c r="H719" s="14" t="str">
        <x:v>Discovery розширення — 2 тижні</x:v>
      </x:c>
      <x:c r="I719" s="16" t="n">
        <x:v>1</x:v>
      </x:c>
      <x:c r="J719" s="16" t="n">
        <x:v>5</x:v>
      </x:c>
      <x:c r="K719" s="16" t="n">
        <x:v>4</x:v>
      </x:c>
      <x:c r="L719" s="16" t="n">
        <x:v>1</x:v>
      </x:c>
      <x:c r="M719" s="16" t="n">
        <x:v>5</x:v>
      </x:c>
      <x:c r="N719" s="16" t="n">
        <x:v>5</x:v>
      </x:c>
      <x:c r="O719" s="16" t="n">
        <x:v>5</x:v>
      </x:c>
      <x:c r="P719" s="16" t="n">
        <x:f>IF(COUNT(I719:O719)&lt;7,"",I719*8+J719*3+K719*2+L719*2+M719*2+N719*2+O719)</x:f>
        <x:v>58</x:v>
      </x:c>
      <x:c r="Q719" s="16" t="n">
        <x:f>IF(COUNT(J719:O719)&lt;6,"",J719*5+K719*4+M719*4+L719*3+N719*2+O719*2)</x:f>
        <x:v>84</x:v>
      </x:c>
      <x:c r="R719" s="14" t="str">
        <x:v>high</x:v>
      </x:c>
      <x:c r="S719" s="14" t="str">
        <x:v>official_prozorro_award_2025_2026</x:v>
      </x:c>
      <x:c r="T719" s="14" t="str">
        <x:v>official_prozorro_api</x:v>
      </x:c>
      <x:c r="U719" s="14" t="str">
        <x:v>Не контактували</x:v>
      </x:c>
      <x:c r="V719" s="15" t="str">
        <x:v>Workflow-audit outreach по UA-2026-02-18-004664-a; попросити 1 пакет здачі та вимоги проєкту</x:v>
      </x:c>
      <x:c r="W719" s="15" t="str">
        <x:v>Власник / директор; керівник ПТО; відповідальний за договори</x:v>
      </x:c>
      <x:c r="X719" s="15" t="str">
        <x:v>1 підтверджених перемог/договорів у Prozorro на 37 320 грн; 1 проєктів зі строком виконання не раніше 24.08.2026.</x:v>
      </x:c>
      <x:c r="Y719" s="15" t="str">
        <x:v>Послуги встановлення системи безперебійного живлення; строк до 2026-12-31. Попросити один знеособлений пакет здачі за цим workflow.</x:v>
      </x:c>
      <x:c r="Z719" s="15" t="str">
        <x:v>https://prozorro.gov.ua/tender/UA-2026-02-18-004664-a</x:v>
      </x:c>
      <x:c r="AA719" s="14" t="str">
        <x:v>40733799</x:v>
      </x:c>
      <x:c r="AB719" s="14" t="str">
        <x:v>2026-08-24</x:v>
      </x:c>
      <x:c r="AC719" s="14" t="str"/>
      <x:c r="AD719" s="20" t="str"/>
      <x:c r="AE719" s="14" t="str"/>
      <x:c r="AF719" s="14" t="n">
        <x:v>38</x:v>
      </x:c>
      <x:c r="AG719" s="14" t="str">
        <x:v>I3</x:v>
      </x:c>
      <x:c r="AH719" s="14" t="n">
        <x:v>1</x:v>
      </x:c>
      <x:c r="AI719" s="14" t="n">
        <x:v>1</x:v>
      </x:c>
      <x:c r="AJ719" s="18" t="n">
        <x:v>37320</x:v>
      </x:c>
      <x:c r="AK719" s="14" t="str">
        <x:v>https://prozorro.gov.ua/tender/UA-2026-02-18-004664-a</x:v>
      </x:c>
      <x:c r="AL719" s="19" t="n">
        <x:v>46071.398380011575</x:v>
      </x:c>
      <x:c r="AM719" s="19" t="n">
        <x:v>46387</x:v>
      </x:c>
      <x:c r="AN719" s="15" t="str">
        <x:v>Резервне живлення</x:v>
      </x:c>
      <x:c r="AO719" s="15" t="str">
        <x:v>not_found_in_top_search</x:v>
      </x:c>
    </x:row>
    <x:row r="720">
      <x:c r="A720" s="14" t="str">
        <x:v>W3-448</x:v>
      </x:c>
      <x:c r="B720" s="14" t="str">
        <x:v>Prozorro winners — 24.08</x:v>
      </x:c>
      <x:c r="C720" s="14" t="str">
        <x:v>КОЖЕМЯКІНА ХРИСТИНА ВОЛОДИМИРІВНА</x:v>
      </x:c>
      <x:c r="D720" s="14" t="str">
        <x:v>HVAC / ОВіК</x:v>
      </x:c>
      <x:c r="E720" s="14" t="str">
        <x:v>Pilot now</x:v>
      </x:c>
      <x:c r="F720" s="17" t="str">
        <x:f>IF(E720="Pilot now",IF(P720&gt;=84,"P1",IF(P720&gt;=72,"P2","P3")),IF(E720="Expansion discovery",IF(Q720&gt;=88,"D1",IF(Q720&gt;=78,"D2","D3")),IF(E720="Later / requirements","L","Legacy")))</x:f>
        <x:v>P1</x:v>
      </x:c>
      <x:c r="G720" s="14" t="str"/>
      <x:c r="H720" s="14" t="str">
        <x:v>Пілот зараз — Н.14</x:v>
      </x:c>
      <x:c r="I720" s="16" t="n">
        <x:v>5</x:v>
      </x:c>
      <x:c r="J720" s="16" t="n">
        <x:v>5</x:v>
      </x:c>
      <x:c r="K720" s="16" t="n">
        <x:v>5</x:v>
      </x:c>
      <x:c r="L720" s="16" t="n">
        <x:v>1</x:v>
      </x:c>
      <x:c r="M720" s="16" t="n">
        <x:v>5</x:v>
      </x:c>
      <x:c r="N720" s="16" t="n">
        <x:v>3</x:v>
      </x:c>
      <x:c r="O720" s="16" t="n">
        <x:v>5</x:v>
      </x:c>
      <x:c r="P720" s="16" t="n">
        <x:f>IF(COUNT(I720:O720)&lt;7,"",I720*8+J720*3+K720*2+L720*2+M720*2+N720*2+O720)</x:f>
        <x:v>88</x:v>
      </x:c>
      <x:c r="Q720" s="16" t="n">
        <x:f>IF(COUNT(J720:O720)&lt;6,"",J720*5+K720*4+M720*4+L720*3+N720*2+O720*2)</x:f>
        <x:v>84</x:v>
      </x:c>
      <x:c r="R720" s="14" t="str">
        <x:v>high</x:v>
      </x:c>
      <x:c r="S720" s="14" t="str">
        <x:v>official_prozorro_award_2025_2026</x:v>
      </x:c>
      <x:c r="T720" s="14" t="str">
        <x:v>official_prozorro_api</x:v>
      </x:c>
      <x:c r="U720" s="14" t="str">
        <x:v>Не контактували</x:v>
      </x:c>
      <x:c r="V720" s="15" t="str">
        <x:v>Персоналізований free-pilot outreach по UA-2026-06-24-009983-a; попросити 1 пакет Н.14/Н.15</x:v>
      </x:c>
      <x:c r="W720" s="15" t="str">
        <x:v>Власник / виконавець; відповідальний за договір</x:v>
      </x:c>
      <x:c r="X720" s="15" t="str">
        <x:v>1 підтверджених перемог/договорів у Prozorro на 31 000 грн; 0 проєктів зі строком виконання не раніше 24.08.2026.</x:v>
      </x:c>
      <x:c r="Y720" s="15" t="str">
        <x:v>Послуги з монтажу системи вентиляції та системи кондиціонування повітря у КЗ "ЗОШВСМ"ЗОР; строк до 2026-06-30. Попросити один знеособлений пакет здачі за цим workflow.</x:v>
      </x:c>
      <x:c r="Z720" s="15" t="str">
        <x:v>https://prozorro.gov.ua/tender/UA-2026-06-24-009983-a</x:v>
      </x:c>
      <x:c r="AA720" s="14" t="str">
        <x:v>3247111125</x:v>
      </x:c>
      <x:c r="AB720" s="14" t="str">
        <x:v>2026-08-24</x:v>
      </x:c>
      <x:c r="AC720" s="14" t="str"/>
      <x:c r="AD720" s="20" t="str"/>
      <x:c r="AE720" s="14" t="str"/>
      <x:c r="AF720" s="14" t="n">
        <x:v>38</x:v>
      </x:c>
      <x:c r="AG720" s="14" t="str">
        <x:v>I3</x:v>
      </x:c>
      <x:c r="AH720" s="14" t="n">
        <x:v>1</x:v>
      </x:c>
      <x:c r="AI720" s="14" t="n">
        <x:v>0</x:v>
      </x:c>
      <x:c r="AJ720" s="18" t="n">
        <x:v>31000</x:v>
      </x:c>
      <x:c r="AK720" s="14" t="str">
        <x:v>https://prozorro.gov.ua/tender/UA-2026-06-24-009983-a</x:v>
      </x:c>
      <x:c r="AL720" s="19" t="n">
        <x:v>46197.5185555787</x:v>
      </x:c>
      <x:c r="AM720" s="19" t="n">
        <x:v>46203</x:v>
      </x:c>
      <x:c r="AN720" s="15" t="str">
        <x:v>HVAC / ОВіК</x:v>
      </x:c>
      <x:c r="AO720" s="15" t="str">
        <x:v>not_found_in_top_search</x:v>
      </x:c>
    </x:row>
    <x:row r="721">
      <x:c r="A721" s="14" t="str">
        <x:v>W3-449</x:v>
      </x:c>
      <x:c r="B721" s="14" t="str">
        <x:v>Prozorro winners — 24.08</x:v>
      </x:c>
      <x:c r="C721" s="14" t="str">
        <x:v>ОСАДЧЕНКО ВАЛЕРІЙ ВАСИЛЬОВИЧ</x:v>
      </x:c>
      <x:c r="D721" s="14" t="str">
        <x:v>Резервне живлення</x:v>
      </x:c>
      <x:c r="E721" s="14" t="str">
        <x:v>Expansion discovery</x:v>
      </x:c>
      <x:c r="F721" s="17" t="str">
        <x:f>IF(E721="Pilot now",IF(P721&gt;=84,"P1",IF(P721&gt;=72,"P2","P3")),IF(E721="Expansion discovery",IF(Q721&gt;=88,"D1",IF(Q721&gt;=78,"D2","D3")),IF(E721="Later / requirements","L","Legacy")))</x:f>
        <x:v>D2</x:v>
      </x:c>
      <x:c r="G721" s="14" t="str"/>
      <x:c r="H721" s="14" t="str">
        <x:v>Discovery розширення — 2 тижні</x:v>
      </x:c>
      <x:c r="I721" s="16" t="n">
        <x:v>1</x:v>
      </x:c>
      <x:c r="J721" s="16" t="n">
        <x:v>5</x:v>
      </x:c>
      <x:c r="K721" s="16" t="n">
        <x:v>4</x:v>
      </x:c>
      <x:c r="L721" s="16" t="n">
        <x:v>1</x:v>
      </x:c>
      <x:c r="M721" s="16" t="n">
        <x:v>5</x:v>
      </x:c>
      <x:c r="N721" s="16" t="n">
        <x:v>3</x:v>
      </x:c>
      <x:c r="O721" s="16" t="n">
        <x:v>5</x:v>
      </x:c>
      <x:c r="P721" s="16" t="n">
        <x:f>IF(COUNT(I721:O721)&lt;7,"",I721*8+J721*3+K721*2+L721*2+M721*2+N721*2+O721)</x:f>
        <x:v>54</x:v>
      </x:c>
      <x:c r="Q721" s="16" t="n">
        <x:f>IF(COUNT(J721:O721)&lt;6,"",J721*5+K721*4+M721*4+L721*3+N721*2+O721*2)</x:f>
        <x:v>80</x:v>
      </x:c>
      <x:c r="R721" s="14" t="str">
        <x:v>high</x:v>
      </x:c>
      <x:c r="S721" s="14" t="str">
        <x:v>official_prozorro_award_2025_2026</x:v>
      </x:c>
      <x:c r="T721" s="14" t="str">
        <x:v>official_prozorro_api</x:v>
      </x:c>
      <x:c r="U721" s="14" t="str">
        <x:v>Не контактували</x:v>
      </x:c>
      <x:c r="V721" s="15" t="str">
        <x:v>Workflow-audit outreach по UA-2026-05-20-001780-a; попросити 1 пакет здачі та вимоги проєкту</x:v>
      </x:c>
      <x:c r="W721" s="15" t="str">
        <x:v>Власник / виконавець; відповідальний за договір</x:v>
      </x:c>
      <x:c r="X721" s="15" t="str">
        <x:v>1 підтверджених перемог/договорів у Prozorro на 28 280 грн; 0 проєктів зі строком виконання не раніше 24.08.2026.</x:v>
      </x:c>
      <x:c r="Y721" s="15" t="str">
        <x:v>Монтаж, підключення, налаштування та здача в експлуатацію системи безперебійного живлення; строк до 2026-05-31. Попросити один знеособлений пакет здачі за цим workflow.</x:v>
      </x:c>
      <x:c r="Z721" s="15" t="str">
        <x:v>https://prozorro.gov.ua/tender/UA-2026-05-20-001780-a</x:v>
      </x:c>
      <x:c r="AA721" s="14" t="str">
        <x:v>2199015537</x:v>
      </x:c>
      <x:c r="AB721" s="14" t="str">
        <x:v>2026-08-24</x:v>
      </x:c>
      <x:c r="AC721" s="14" t="str"/>
      <x:c r="AD721" s="20" t="str"/>
      <x:c r="AE721" s="14" t="str"/>
      <x:c r="AF721" s="14" t="n">
        <x:v>38</x:v>
      </x:c>
      <x:c r="AG721" s="14" t="str">
        <x:v>I3</x:v>
      </x:c>
      <x:c r="AH721" s="14" t="n">
        <x:v>1</x:v>
      </x:c>
      <x:c r="AI721" s="14" t="n">
        <x:v>0</x:v>
      </x:c>
      <x:c r="AJ721" s="18" t="n">
        <x:v>28280</x:v>
      </x:c>
      <x:c r="AK721" s="14" t="str">
        <x:v>https://prozorro.gov.ua/tender/UA-2026-05-20-001780-a</x:v>
      </x:c>
      <x:c r="AL721" s="19" t="n">
        <x:v>46162.294158969904</x:v>
      </x:c>
      <x:c r="AM721" s="19" t="n">
        <x:v>46173</x:v>
      </x:c>
      <x:c r="AN721" s="15" t="str">
        <x:v>Резервне живлення</x:v>
      </x:c>
      <x:c r="AO721" s="15" t="str">
        <x:v>not_found_in_top_search</x:v>
      </x:c>
    </x:row>
    <x:row r="722">
      <x:c r="A722" s="14" t="str">
        <x:v>W3-450</x:v>
      </x:c>
      <x:c r="B722" s="14" t="str">
        <x:v>Prozorro winners — 24.08</x:v>
      </x:c>
      <x:c r="C722" s="14" t="str">
        <x:v>ФОП БОРСУК ІВАННА ПЕТРІВНА</x:v>
      </x:c>
      <x:c r="D722" s="14" t="str">
        <x:v>Безпека / СКУД / CCTV</x:v>
      </x:c>
      <x:c r="E722" s="14" t="str">
        <x:v>Expansion discovery</x:v>
      </x:c>
      <x:c r="F722" s="17" t="str">
        <x:f>IF(E722="Pilot now",IF(P722&gt;=84,"P1",IF(P722&gt;=72,"P2","P3")),IF(E722="Expansion discovery",IF(Q722&gt;=88,"D1",IF(Q722&gt;=78,"D2","D3")),IF(E722="Later / requirements","L","Legacy")))</x:f>
        <x:v>D2</x:v>
      </x:c>
      <x:c r="G722" s="14" t="str"/>
      <x:c r="H722" s="14" t="str">
        <x:v>Discovery розширення — 2 тижні</x:v>
      </x:c>
      <x:c r="I722" s="16" t="n">
        <x:v>1</x:v>
      </x:c>
      <x:c r="J722" s="16" t="n">
        <x:v>5</x:v>
      </x:c>
      <x:c r="K722" s="16" t="n">
        <x:v>4</x:v>
      </x:c>
      <x:c r="L722" s="16" t="n">
        <x:v>1</x:v>
      </x:c>
      <x:c r="M722" s="16" t="n">
        <x:v>5</x:v>
      </x:c>
      <x:c r="N722" s="16" t="n">
        <x:v>3</x:v>
      </x:c>
      <x:c r="O722" s="16" t="n">
        <x:v>5</x:v>
      </x:c>
      <x:c r="P722" s="16" t="n">
        <x:f>IF(COUNT(I722:O722)&lt;7,"",I722*8+J722*3+K722*2+L722*2+M722*2+N722*2+O722)</x:f>
        <x:v>54</x:v>
      </x:c>
      <x:c r="Q722" s="16" t="n">
        <x:f>IF(COUNT(J722:O722)&lt;6,"",J722*5+K722*4+M722*4+L722*3+N722*2+O722*2)</x:f>
        <x:v>80</x:v>
      </x:c>
      <x:c r="R722" s="14" t="str">
        <x:v>high</x:v>
      </x:c>
      <x:c r="S722" s="14" t="str">
        <x:v>official_prozorro_award_2025_2026</x:v>
      </x:c>
      <x:c r="T722" s="14" t="str">
        <x:v>official_prozorro_api</x:v>
      </x:c>
      <x:c r="U722" s="14" t="str">
        <x:v>Не контактували</x:v>
      </x:c>
      <x:c r="V722" s="15" t="str">
        <x:v>Workflow-audit outreach по UA-2026-06-08-008397-a; попросити 1 пакет здачі та вимоги проєкту</x:v>
      </x:c>
      <x:c r="W722" s="15" t="str">
        <x:v>Власник / виконавець; відповідальний за договір</x:v>
      </x:c>
      <x:c r="X722" s="15" t="str">
        <x:v>1 підтверджених перемог/договорів у Prozorro на 23 396 грн; 0 проєктів зі строком виконання не раніше 24.08.2026.</x:v>
      </x:c>
      <x:c r="Y722" s="15" t="str">
        <x:v>Матеріали та обладнання для монтажу системи відеоспостереження (камера відеоспостереження); строк до 2026-06-10. Попросити один знеособлений пакет здачі за цим workflow.</x:v>
      </x:c>
      <x:c r="Z722" s="15" t="str">
        <x:v>https://prozorro.gov.ua/tender/UA-2026-06-08-008397-a</x:v>
      </x:c>
      <x:c r="AA722" s="14" t="str">
        <x:v>3446913988</x:v>
      </x:c>
      <x:c r="AB722" s="14" t="str">
        <x:v>2026-08-24</x:v>
      </x:c>
      <x:c r="AC722" s="14" t="str"/>
      <x:c r="AD722" s="20" t="str"/>
      <x:c r="AE722" s="14" t="str"/>
      <x:c r="AF722" s="14" t="n">
        <x:v>38</x:v>
      </x:c>
      <x:c r="AG722" s="14" t="str">
        <x:v>I3</x:v>
      </x:c>
      <x:c r="AH722" s="14" t="n">
        <x:v>1</x:v>
      </x:c>
      <x:c r="AI722" s="14" t="n">
        <x:v>0</x:v>
      </x:c>
      <x:c r="AJ722" s="18" t="n">
        <x:v>23396</x:v>
      </x:c>
      <x:c r="AK722" s="14" t="str">
        <x:v>https://prozorro.gov.ua/tender/UA-2026-06-08-008397-a</x:v>
      </x:c>
      <x:c r="AL722" s="19" t="n">
        <x:v>46181.49224665509</x:v>
      </x:c>
      <x:c r="AM722" s="19" t="n">
        <x:v>46183</x:v>
      </x:c>
      <x:c r="AN722" s="15" t="str">
        <x:v>Безпека / СКУД / CCTV</x:v>
      </x:c>
      <x:c r="AO722" s="15" t="str">
        <x:v>not_found_in_top_search</x:v>
      </x:c>
    </x:row>
    <x:row r="723">
      <x:c r="A723" s="14" t="str">
        <x:v>W3-451</x:v>
      </x:c>
      <x:c r="B723" s="14" t="str">
        <x:v>Prozorro winners — 24.08</x:v>
      </x:c>
      <x:c r="C723" s="14" t="str">
        <x:v>БЄЛЯЄВ СЕРГІЙ ВІКТОРОВИЧ</x:v>
      </x:c>
      <x:c r="D723" s="14" t="str">
        <x:v>Промисловий холод</x:v>
      </x:c>
      <x:c r="E723" s="14" t="str">
        <x:v>Expansion discovery</x:v>
      </x:c>
      <x:c r="F723" s="17" t="str">
        <x:f>IF(E723="Pilot now",IF(P723&gt;=84,"P1",IF(P723&gt;=72,"P2","P3")),IF(E723="Expansion discovery",IF(Q723&gt;=88,"D1",IF(Q723&gt;=78,"D2","D3")),IF(E723="Later / requirements","L","Legacy")))</x:f>
        <x:v>D2</x:v>
      </x:c>
      <x:c r="G723" s="14" t="str"/>
      <x:c r="H723" s="14" t="str">
        <x:v>Discovery розширення — 2 тижні</x:v>
      </x:c>
      <x:c r="I723" s="16" t="n">
        <x:v>1</x:v>
      </x:c>
      <x:c r="J723" s="16" t="n">
        <x:v>5</x:v>
      </x:c>
      <x:c r="K723" s="16" t="n">
        <x:v>4</x:v>
      </x:c>
      <x:c r="L723" s="16" t="n">
        <x:v>1</x:v>
      </x:c>
      <x:c r="M723" s="16" t="n">
        <x:v>5</x:v>
      </x:c>
      <x:c r="N723" s="16" t="n">
        <x:v>3</x:v>
      </x:c>
      <x:c r="O723" s="16" t="n">
        <x:v>5</x:v>
      </x:c>
      <x:c r="P723" s="16" t="n">
        <x:f>IF(COUNT(I723:O723)&lt;7,"",I723*8+J723*3+K723*2+L723*2+M723*2+N723*2+O723)</x:f>
        <x:v>54</x:v>
      </x:c>
      <x:c r="Q723" s="16" t="n">
        <x:f>IF(COUNT(J723:O723)&lt;6,"",J723*5+K723*4+M723*4+L723*3+N723*2+O723*2)</x:f>
        <x:v>80</x:v>
      </x:c>
      <x:c r="R723" s="14" t="str">
        <x:v>high</x:v>
      </x:c>
      <x:c r="S723" s="14" t="str">
        <x:v>official_prozorro_award_2025_2026</x:v>
      </x:c>
      <x:c r="T723" s="14" t="str">
        <x:v>official_prozorro_api</x:v>
      </x:c>
      <x:c r="U723" s="14" t="str">
        <x:v>Не контактували</x:v>
      </x:c>
      <x:c r="V723" s="15" t="str">
        <x:v>Workflow-audit outreach по UA-2026-05-18-008042-a; попросити 1 пакет здачі та вимоги проєкту</x:v>
      </x:c>
      <x:c r="W723" s="15" t="str">
        <x:v>Власник / виконавець; відповідальний за договір</x:v>
      </x:c>
      <x:c r="X723" s="15" t="str">
        <x:v>1 підтверджених перемог/договорів у Prozorro на 21 800 грн; 0 проєктів зі строком виконання не раніше 24.08.2026.</x:v>
      </x:c>
      <x:c r="Y723" s="15" t="str">
        <x:v>Кондиціонер Osaka STV 07 HH з монтажем за ДК 021:2015 "42510000-4 Теплообмінники, кондиціонери повітря, холодильне обладнання та фільтрувальні пристрої"
; строк до 2026-05-31. Попросити один знеособлений пакет здачі за цим workflow.</x:v>
      </x:c>
      <x:c r="Z723" s="15" t="str">
        <x:v>https://prozorro.gov.ua/tender/UA-2026-05-18-008042-a</x:v>
      </x:c>
      <x:c r="AA723" s="14" t="str">
        <x:v>2296809197</x:v>
      </x:c>
      <x:c r="AB723" s="14" t="str">
        <x:v>2026-08-24</x:v>
      </x:c>
      <x:c r="AC723" s="14" t="str"/>
      <x:c r="AD723" s="20" t="str"/>
      <x:c r="AE723" s="14" t="str"/>
      <x:c r="AF723" s="14" t="n">
        <x:v>38</x:v>
      </x:c>
      <x:c r="AG723" s="14" t="str">
        <x:v>I3</x:v>
      </x:c>
      <x:c r="AH723" s="14" t="n">
        <x:v>1</x:v>
      </x:c>
      <x:c r="AI723" s="14" t="n">
        <x:v>0</x:v>
      </x:c>
      <x:c r="AJ723" s="18" t="n">
        <x:v>21800</x:v>
      </x:c>
      <x:c r="AK723" s="14" t="str">
        <x:v>https://prozorro.gov.ua/tender/UA-2026-05-18-008042-a</x:v>
      </x:c>
      <x:c r="AL723" s="19" t="n">
        <x:v>46160.47784247685</x:v>
      </x:c>
      <x:c r="AM723" s="19" t="n">
        <x:v>46173</x:v>
      </x:c>
      <x:c r="AN723" s="15" t="str">
        <x:v>Промисловий холод</x:v>
      </x:c>
      <x:c r="AO723" s="15" t="str">
        <x:v>not_found_in_top_search</x:v>
      </x:c>
    </x:row>
    <x:row r="724">
      <x:c r="A724" s="14" t="str">
        <x:v>W3-452</x:v>
      </x:c>
      <x:c r="B724" s="14" t="str">
        <x:v>Prozorro winners — 24.08</x:v>
      </x:c>
      <x:c r="C724" s="14" t="str">
        <x:v>ТОВ "ВЕНБЕСТ"-Харківська філія ТОВ "ВЕНБЕСТ"</x:v>
      </x:c>
      <x:c r="D724" s="14" t="str">
        <x:v>Пожежогасіння</x:v>
      </x:c>
      <x:c r="E724" s="14" t="str">
        <x:v>Expansion discovery</x:v>
      </x:c>
      <x:c r="F724" s="17" t="str">
        <x:f>IF(E724="Pilot now",IF(P724&gt;=84,"P1",IF(P724&gt;=72,"P2","P3")),IF(E724="Expansion discovery",IF(Q724&gt;=88,"D1",IF(Q724&gt;=78,"D2","D3")),IF(E724="Later / requirements","L","Legacy")))</x:f>
        <x:v>D2</x:v>
      </x:c>
      <x:c r="G724" s="14" t="str"/>
      <x:c r="H724" s="14" t="str">
        <x:v>Discovery розширення — 2 тижні</x:v>
      </x:c>
      <x:c r="I724" s="16" t="n">
        <x:v>1</x:v>
      </x:c>
      <x:c r="J724" s="16" t="n">
        <x:v>5</x:v>
      </x:c>
      <x:c r="K724" s="16" t="n">
        <x:v>4</x:v>
      </x:c>
      <x:c r="L724" s="16" t="n">
        <x:v>1</x:v>
      </x:c>
      <x:c r="M724" s="16" t="n">
        <x:v>5</x:v>
      </x:c>
      <x:c r="N724" s="16" t="n">
        <x:v>5</x:v>
      </x:c>
      <x:c r="O724" s="16" t="n">
        <x:v>5</x:v>
      </x:c>
      <x:c r="P724" s="16" t="n">
        <x:f>IF(COUNT(I724:O724)&lt;7,"",I724*8+J724*3+K724*2+L724*2+M724*2+N724*2+O724)</x:f>
        <x:v>58</x:v>
      </x:c>
      <x:c r="Q724" s="16" t="n">
        <x:f>IF(COUNT(J724:O724)&lt;6,"",J724*5+K724*4+M724*4+L724*3+N724*2+O724*2)</x:f>
        <x:v>84</x:v>
      </x:c>
      <x:c r="R724" s="14" t="str">
        <x:v>high</x:v>
      </x:c>
      <x:c r="S724" s="14" t="str">
        <x:v>official_prozorro_award_2025_2026</x:v>
      </x:c>
      <x:c r="T724" s="14" t="str">
        <x:v>official_prozorro_api</x:v>
      </x:c>
      <x:c r="U724" s="14" t="str">
        <x:v>Не контактували</x:v>
      </x:c>
      <x:c r="V724" s="15" t="str">
        <x:v>Workflow-audit outreach по UA-2026-04-06-012301-a; попросити 1 пакет здачі та вимоги проєкту</x:v>
      </x:c>
      <x:c r="W724" s="15" t="str">
        <x:v>Власник / директор; керівник ПТО; відповідальний за договори</x:v>
      </x:c>
      <x:c r="X724" s="15" t="str">
        <x:v>1 підтверджених перемог/договорів у Prozorro на 12 749 грн; 1 проєктів зі строком виконання не раніше 24.08.2026.</x:v>
      </x:c>
      <x:c r="Y724" s="15" t="str">
        <x:v>Послуга з монтажу системи пожежної сигналізації; строк до 2026-12-31. Попросити один знеособлений пакет здачі за цим workflow.</x:v>
      </x:c>
      <x:c r="Z724" s="15" t="str">
        <x:v>https://prozorro.gov.ua/tender/UA-2026-04-06-012301-a</x:v>
      </x:c>
      <x:c r="AA724" s="14" t="str">
        <x:v>33307679</x:v>
      </x:c>
      <x:c r="AB724" s="14" t="str">
        <x:v>2026-08-24</x:v>
      </x:c>
      <x:c r="AC724" s="14" t="str"/>
      <x:c r="AD724" s="20" t="str"/>
      <x:c r="AE724" s="14" t="str"/>
      <x:c r="AF724" s="14" t="n">
        <x:v>38</x:v>
      </x:c>
      <x:c r="AG724" s="14" t="str">
        <x:v>I3</x:v>
      </x:c>
      <x:c r="AH724" s="14" t="n">
        <x:v>1</x:v>
      </x:c>
      <x:c r="AI724" s="14" t="n">
        <x:v>1</x:v>
      </x:c>
      <x:c r="AJ724" s="18" t="n">
        <x:v>12749</x:v>
      </x:c>
      <x:c r="AK724" s="14" t="str">
        <x:v>https://prozorro.gov.ua/tender/UA-2026-04-06-012301-a</x:v>
      </x:c>
      <x:c r="AL724" s="19" t="n">
        <x:v>46118.56968915509</x:v>
      </x:c>
      <x:c r="AM724" s="19" t="n">
        <x:v>46387</x:v>
      </x:c>
      <x:c r="AN724" s="15" t="str">
        <x:v>Пожежогасіння</x:v>
      </x:c>
      <x:c r="AO724" s="15" t="str">
        <x:v>not_found_in_top_search</x:v>
      </x:c>
    </x:row>
    <x:row r="725">
      <x:c r="A725" s="14" t="str">
        <x:v>W3-453</x:v>
      </x:c>
      <x:c r="B725" s="14" t="str">
        <x:v>Prozorro winners — 24.08</x:v>
      </x:c>
      <x:c r="C725" s="14" t="str">
        <x:v>ФОП  КОСИНСЬКИЙ ВАЛЕРІЙ МИХАЙЛОВИЧ</x:v>
      </x:c>
      <x:c r="D725" s="14" t="str">
        <x:v>ГНБ / безтраншейні роботи</x:v>
      </x:c>
      <x:c r="E725" s="14" t="str">
        <x:v>Expansion discovery</x:v>
      </x:c>
      <x:c r="F725" s="17" t="str">
        <x:f>IF(E725="Pilot now",IF(P725&gt;=84,"P1",IF(P725&gt;=72,"P2","P3")),IF(E725="Expansion discovery",IF(Q725&gt;=88,"D1",IF(Q725&gt;=78,"D2","D3")),IF(E725="Later / requirements","L","Legacy")))</x:f>
        <x:v>D2</x:v>
      </x:c>
      <x:c r="G725" s="14" t="str"/>
      <x:c r="H725" s="14" t="str">
        <x:v>Discovery розширення — 2 тижні</x:v>
      </x:c>
      <x:c r="I725" s="16" t="n">
        <x:v>1</x:v>
      </x:c>
      <x:c r="J725" s="16" t="n">
        <x:v>5</x:v>
      </x:c>
      <x:c r="K725" s="16" t="n">
        <x:v>4</x:v>
      </x:c>
      <x:c r="L725" s="16" t="n">
        <x:v>1</x:v>
      </x:c>
      <x:c r="M725" s="16" t="n">
        <x:v>5</x:v>
      </x:c>
      <x:c r="N725" s="16" t="n">
        <x:v>3</x:v>
      </x:c>
      <x:c r="O725" s="16" t="n">
        <x:v>5</x:v>
      </x:c>
      <x:c r="P725" s="16" t="n">
        <x:f>IF(COUNT(I725:O725)&lt;7,"",I725*8+J725*3+K725*2+L725*2+M725*2+N725*2+O725)</x:f>
        <x:v>54</x:v>
      </x:c>
      <x:c r="Q725" s="16" t="n">
        <x:f>IF(COUNT(J725:O725)&lt;6,"",J725*5+K725*4+M725*4+L725*3+N725*2+O725*2)</x:f>
        <x:v>80</x:v>
      </x:c>
      <x:c r="R725" s="14" t="str">
        <x:v>high</x:v>
      </x:c>
      <x:c r="S725" s="14" t="str">
        <x:v>official_prozorro_award_2025_2026</x:v>
      </x:c>
      <x:c r="T725" s="14" t="str">
        <x:v>official_prozorro_api</x:v>
      </x:c>
      <x:c r="U725" s="14" t="str">
        <x:v>Не контактували</x:v>
      </x:c>
      <x:c r="V725" s="15" t="str">
        <x:v>Workflow-audit outreach по UA-2026-07-01-002295-a; попросити 1 пакет здачі та вимоги проєкту</x:v>
      </x:c>
      <x:c r="W725" s="15" t="str">
        <x:v>Власник / виконавець; відповідальний за договір</x:v>
      </x:c>
      <x:c r="X725" s="15" t="str">
        <x:v>1 підтверджених перемог/договорів у Prozorro на 10 800 грн; 0 проєктів зі строком виконання не раніше 24.08.2026.</x:v>
      </x:c>
      <x:c r="Y725" s="15" t="str">
        <x:v>Горизонтально-направлене буріння ґрунту довжиною 6м, глибиною 1,2м, діаметром 120мм; строк до 2026-07-31. Попросити один знеособлений пакет здачі за цим workflow.</x:v>
      </x:c>
      <x:c r="Z725" s="15" t="str">
        <x:v>https://prozorro.gov.ua/tender/UA-2026-07-01-002295-a</x:v>
      </x:c>
      <x:c r="AA725" s="14" t="str">
        <x:v>2210914319</x:v>
      </x:c>
      <x:c r="AB725" s="14" t="str">
        <x:v>2026-08-24</x:v>
      </x:c>
      <x:c r="AC725" s="14" t="str"/>
      <x:c r="AD725" s="20" t="str"/>
      <x:c r="AE725" s="14" t="str"/>
      <x:c r="AF725" s="14" t="n">
        <x:v>38</x:v>
      </x:c>
      <x:c r="AG725" s="14" t="str">
        <x:v>I3</x:v>
      </x:c>
      <x:c r="AH725" s="14" t="n">
        <x:v>1</x:v>
      </x:c>
      <x:c r="AI725" s="14" t="n">
        <x:v>0</x:v>
      </x:c>
      <x:c r="AJ725" s="18" t="n">
        <x:v>10800</x:v>
      </x:c>
      <x:c r="AK725" s="14" t="str">
        <x:v>https://prozorro.gov.ua/tender/UA-2026-07-01-002295-a</x:v>
      </x:c>
      <x:c r="AL725" s="19" t="n">
        <x:v>46204.33350625</x:v>
      </x:c>
      <x:c r="AM725" s="19" t="n">
        <x:v>46234</x:v>
      </x:c>
      <x:c r="AN725" s="15" t="str">
        <x:v>ГНБ / безтраншейні роботи</x:v>
      </x:c>
      <x:c r="AO725" s="15" t="str">
        <x:v>not_found_in_top_search</x:v>
      </x:c>
    </x:row>
    <x:row r="726">
      <x:c r="A726" s="14" t="str">
        <x:v>W3-454</x:v>
      </x:c>
      <x:c r="B726" s="14" t="str">
        <x:v>Prozorro winners — 24.08</x:v>
      </x:c>
      <x:c r="C726" s="14" t="str">
        <x:v>Блошенко Олександр Олександрович</x:v>
      </x:c>
      <x:c r="D726" s="14" t="str">
        <x:v>Сонячна енергетика</x:v>
      </x:c>
      <x:c r="E726" s="14" t="str">
        <x:v>Expansion discovery</x:v>
      </x:c>
      <x:c r="F726" s="17" t="str">
        <x:f>IF(E726="Pilot now",IF(P726&gt;=84,"P1",IF(P726&gt;=72,"P2","P3")),IF(E726="Expansion discovery",IF(Q726&gt;=88,"D1",IF(Q726&gt;=78,"D2","D3")),IF(E726="Later / requirements","L","Legacy")))</x:f>
        <x:v>D2</x:v>
      </x:c>
      <x:c r="G726" s="14" t="str"/>
      <x:c r="H726" s="14" t="str">
        <x:v>Discovery розширення — 2 тижні</x:v>
      </x:c>
      <x:c r="I726" s="16" t="n">
        <x:v>1</x:v>
      </x:c>
      <x:c r="J726" s="16" t="n">
        <x:v>5</x:v>
      </x:c>
      <x:c r="K726" s="16" t="n">
        <x:v>4</x:v>
      </x:c>
      <x:c r="L726" s="16" t="n">
        <x:v>1</x:v>
      </x:c>
      <x:c r="M726" s="16" t="n">
        <x:v>5</x:v>
      </x:c>
      <x:c r="N726" s="16" t="n">
        <x:v>3</x:v>
      </x:c>
      <x:c r="O726" s="16" t="n">
        <x:v>5</x:v>
      </x:c>
      <x:c r="P726" s="16" t="n">
        <x:f>IF(COUNT(I726:O726)&lt;7,"",I726*8+J726*3+K726*2+L726*2+M726*2+N726*2+O726)</x:f>
        <x:v>54</x:v>
      </x:c>
      <x:c r="Q726" s="16" t="n">
        <x:f>IF(COUNT(J726:O726)&lt;6,"",J726*5+K726*4+M726*4+L726*3+N726*2+O726*2)</x:f>
        <x:v>80</x:v>
      </x:c>
      <x:c r="R726" s="14" t="str">
        <x:v>high</x:v>
      </x:c>
      <x:c r="S726" s="14" t="str">
        <x:v>official_prozorro_award_2025_2026</x:v>
      </x:c>
      <x:c r="T726" s="14" t="str">
        <x:v>official_prozorro_api</x:v>
      </x:c>
      <x:c r="U726" s="14" t="str">
        <x:v>Не контактували</x:v>
      </x:c>
      <x:c r="V726" s="15" t="str">
        <x:v>Workflow-audit outreach по UA-2026-05-18-010643-a; попросити 1 пакет здачі та вимоги проєкту</x:v>
      </x:c>
      <x:c r="W726" s="15" t="str">
        <x:v>Власник / виконавець; відповідальний за договір</x:v>
      </x:c>
      <x:c r="X726" s="15" t="str">
        <x:v>1 підтверджених перемог/договорів у Prozorro на 8 000 грн; 0 проєктів зі строком виконання не раніше 24.08.2026.</x:v>
      </x:c>
      <x:c r="Y726" s="15" t="str">
        <x:v>71520000-9 Послуги з нагляду за виконанням будівельних робіт Технічний нагляд по об’єкту «Роботи з монтажу сонячної електростанції з системою накопичення енергії за адресою 68600, Одеська обл., м. Ізмаїл, пр. Миру, 15»; строк до 2026-06-30. Попросити один знеособлений пакет здачі за цим workflow.</x:v>
      </x:c>
      <x:c r="Z726" s="15" t="str">
        <x:v>https://prozorro.gov.ua/tender/UA-2026-05-18-010643-a</x:v>
      </x:c>
      <x:c r="AA726" s="14" t="str">
        <x:v>3309014950</x:v>
      </x:c>
      <x:c r="AB726" s="14" t="str">
        <x:v>2026-08-24</x:v>
      </x:c>
      <x:c r="AC726" s="14" t="str"/>
      <x:c r="AD726" s="20" t="str"/>
      <x:c r="AE726" s="14" t="str"/>
      <x:c r="AF726" s="14" t="n">
        <x:v>38</x:v>
      </x:c>
      <x:c r="AG726" s="14" t="str">
        <x:v>I3</x:v>
      </x:c>
      <x:c r="AH726" s="14" t="n">
        <x:v>1</x:v>
      </x:c>
      <x:c r="AI726" s="14" t="n">
        <x:v>0</x:v>
      </x:c>
      <x:c r="AJ726" s="18" t="n">
        <x:v>8000</x:v>
      </x:c>
      <x:c r="AK726" s="14" t="str">
        <x:v>https://prozorro.gov.ua/tender/UA-2026-05-18-010643-a</x:v>
      </x:c>
      <x:c r="AL726" s="19" t="n">
        <x:v>46160.5288471875</x:v>
      </x:c>
      <x:c r="AM726" s="19" t="n">
        <x:v>46203</x:v>
      </x:c>
      <x:c r="AN726" s="15" t="str">
        <x:v>Сонячна енергетика</x:v>
      </x:c>
      <x:c r="AO726" s="15" t="str">
        <x:v>not_found_in_top_search</x:v>
      </x:c>
    </x:row>
    <x:row r="727">
      <x:c r="A727" s="14" t="str">
        <x:v>W3-455</x:v>
      </x:c>
      <x:c r="B727" s="14" t="str">
        <x:v>Prozorro winners — 24.08</x:v>
      </x:c>
      <x:c r="C727" s="14" t="str">
        <x:v>Микитин Володимир Васильович</x:v>
      </x:c>
      <x:c r="D727" s="14" t="str">
        <x:v>Безпека / СКУД / CCTV</x:v>
      </x:c>
      <x:c r="E727" s="14" t="str">
        <x:v>Expansion discovery</x:v>
      </x:c>
      <x:c r="F727" s="17" t="str">
        <x:f>IF(E727="Pilot now",IF(P727&gt;=84,"P1",IF(P727&gt;=72,"P2","P3")),IF(E727="Expansion discovery",IF(Q727&gt;=88,"D1",IF(Q727&gt;=78,"D2","D3")),IF(E727="Later / requirements","L","Legacy")))</x:f>
        <x:v>D2</x:v>
      </x:c>
      <x:c r="G727" s="14" t="str"/>
      <x:c r="H727" s="14" t="str">
        <x:v>Discovery розширення — 2 тижні</x:v>
      </x:c>
      <x:c r="I727" s="16" t="n">
        <x:v>1</x:v>
      </x:c>
      <x:c r="J727" s="16" t="n">
        <x:v>5</x:v>
      </x:c>
      <x:c r="K727" s="16" t="n">
        <x:v>4</x:v>
      </x:c>
      <x:c r="L727" s="16" t="n">
        <x:v>1</x:v>
      </x:c>
      <x:c r="M727" s="16" t="n">
        <x:v>5</x:v>
      </x:c>
      <x:c r="N727" s="16" t="n">
        <x:v>3</x:v>
      </x:c>
      <x:c r="O727" s="16" t="n">
        <x:v>5</x:v>
      </x:c>
      <x:c r="P727" s="16" t="n">
        <x:f>IF(COUNT(I727:O727)&lt;7,"",I727*8+J727*3+K727*2+L727*2+M727*2+N727*2+O727)</x:f>
        <x:v>54</x:v>
      </x:c>
      <x:c r="Q727" s="16" t="n">
        <x:f>IF(COUNT(J727:O727)&lt;6,"",J727*5+K727*4+M727*4+L727*3+N727*2+O727*2)</x:f>
        <x:v>80</x:v>
      </x:c>
      <x:c r="R727" s="14" t="str">
        <x:v>high</x:v>
      </x:c>
      <x:c r="S727" s="14" t="str">
        <x:v>official_prozorro_award_2025_2026</x:v>
      </x:c>
      <x:c r="T727" s="14" t="str">
        <x:v>official_prozorro_api</x:v>
      </x:c>
      <x:c r="U727" s="14" t="str">
        <x:v>Не контактували</x:v>
      </x:c>
      <x:c r="V727" s="15" t="str">
        <x:v>Workflow-audit outreach по UA-2026-07-06-009128-a; попросити 1 пакет здачі та вимоги проєкту</x:v>
      </x:c>
      <x:c r="W727" s="15" t="str">
        <x:v>Власник / виконавець; відповідальний за договір</x:v>
      </x:c>
      <x:c r="X727" s="15" t="str">
        <x:v>1 підтверджених перемог/договорів у Prozorro на 7 680 грн; 0 проєктів зі строком виконання не раніше 24.08.2026.</x:v>
      </x:c>
      <x:c r="Y727" s="15" t="str">
        <x:v>Монтаж та налаштування системи відеоспостереження; строк до 2026-07-31. Попросити один знеособлений пакет здачі за цим workflow.</x:v>
      </x:c>
      <x:c r="Z727" s="15" t="str">
        <x:v>https://prozorro.gov.ua/tender/UA-2026-07-06-009128-a</x:v>
      </x:c>
      <x:c r="AA727" s="14" t="str">
        <x:v>3217413037</x:v>
      </x:c>
      <x:c r="AB727" s="14" t="str">
        <x:v>2026-08-24</x:v>
      </x:c>
      <x:c r="AC727" s="14" t="str"/>
      <x:c r="AD727" s="20" t="str"/>
      <x:c r="AE727" s="14" t="str"/>
      <x:c r="AF727" s="14" t="n">
        <x:v>38</x:v>
      </x:c>
      <x:c r="AG727" s="14" t="str">
        <x:v>I3</x:v>
      </x:c>
      <x:c r="AH727" s="14" t="n">
        <x:v>1</x:v>
      </x:c>
      <x:c r="AI727" s="14" t="n">
        <x:v>0</x:v>
      </x:c>
      <x:c r="AJ727" s="18" t="n">
        <x:v>7680</x:v>
      </x:c>
      <x:c r="AK727" s="14" t="str">
        <x:v>https://prozorro.gov.ua/tender/UA-2026-07-06-009128-a</x:v>
      </x:c>
      <x:c r="AL727" s="19" t="n">
        <x:v>46209.55647822917</x:v>
      </x:c>
      <x:c r="AM727" s="19" t="n">
        <x:v>46234</x:v>
      </x:c>
      <x:c r="AN727" s="15" t="str">
        <x:v>Безпека / СКУД / CCTV</x:v>
      </x:c>
      <x:c r="AO727" s="15" t="str">
        <x:v>not_found_in_top_search</x:v>
      </x:c>
    </x:row>
    <x:row r="728">
      <x:c r="A728" s="14" t="str">
        <x:v>W3-456</x:v>
      </x:c>
      <x:c r="B728" s="14" t="str">
        <x:v>Prozorro winners — 24.08</x:v>
      </x:c>
      <x:c r="C728" s="14" t="str">
        <x:v>ЯКИМЕНКО ВІТАЛІЙ ВАСИЛЬОВИЧ</x:v>
      </x:c>
      <x:c r="D728" s="14" t="str">
        <x:v>Безпека / СКУД / CCTV</x:v>
      </x:c>
      <x:c r="E728" s="14" t="str">
        <x:v>Expansion discovery</x:v>
      </x:c>
      <x:c r="F728" s="17" t="str">
        <x:f>IF(E728="Pilot now",IF(P728&gt;=84,"P1",IF(P728&gt;=72,"P2","P3")),IF(E728="Expansion discovery",IF(Q728&gt;=88,"D1",IF(Q728&gt;=78,"D2","D3")),IF(E728="Later / requirements","L","Legacy")))</x:f>
        <x:v>D2</x:v>
      </x:c>
      <x:c r="G728" s="14" t="str"/>
      <x:c r="H728" s="14" t="str">
        <x:v>Discovery розширення — 2 тижні</x:v>
      </x:c>
      <x:c r="I728" s="16" t="n">
        <x:v>1</x:v>
      </x:c>
      <x:c r="J728" s="16" t="n">
        <x:v>5</x:v>
      </x:c>
      <x:c r="K728" s="16" t="n">
        <x:v>4</x:v>
      </x:c>
      <x:c r="L728" s="16" t="n">
        <x:v>1</x:v>
      </x:c>
      <x:c r="M728" s="16" t="n">
        <x:v>5</x:v>
      </x:c>
      <x:c r="N728" s="16" t="n">
        <x:v>3</x:v>
      </x:c>
      <x:c r="O728" s="16" t="n">
        <x:v>5</x:v>
      </x:c>
      <x:c r="P728" s="16" t="n">
        <x:f>IF(COUNT(I728:O728)&lt;7,"",I728*8+J728*3+K728*2+L728*2+M728*2+N728*2+O728)</x:f>
        <x:v>54</x:v>
      </x:c>
      <x:c r="Q728" s="16" t="n">
        <x:f>IF(COUNT(J728:O728)&lt;6,"",J728*5+K728*4+M728*4+L728*3+N728*2+O728*2)</x:f>
        <x:v>80</x:v>
      </x:c>
      <x:c r="R728" s="14" t="str">
        <x:v>high</x:v>
      </x:c>
      <x:c r="S728" s="14" t="str">
        <x:v>official_prozorro_award_2025_2026</x:v>
      </x:c>
      <x:c r="T728" s="14" t="str">
        <x:v>official_prozorro_api</x:v>
      </x:c>
      <x:c r="U728" s="14" t="str">
        <x:v>Не контактували</x:v>
      </x:c>
      <x:c r="V728" s="15" t="str">
        <x:v>Workflow-audit outreach по UA-2026-06-12-005736-a; попросити 1 пакет здачі та вимоги проєкту</x:v>
      </x:c>
      <x:c r="W728" s="15" t="str">
        <x:v>Власник / виконавець; відповідальний за договір</x:v>
      </x:c>
      <x:c r="X728" s="15" t="str">
        <x:v>1 підтверджених перемог/договорів у Prozorro на 5 060 грн; 0 проєктів зі строком виконання не раніше 24.08.2026.</x:v>
      </x:c>
      <x:c r="Y728" s="15" t="str">
        <x:v>Послуги з монтажу та установки системи відеоспостереження; строк до 2026-06-12. Попросити один знеособлений пакет здачі за цим workflow.</x:v>
      </x:c>
      <x:c r="Z728" s="15" t="str">
        <x:v>https://prozorro.gov.ua/tender/UA-2026-06-12-005736-a</x:v>
      </x:c>
      <x:c r="AA728" s="14" t="str">
        <x:v>2703713476</x:v>
      </x:c>
      <x:c r="AB728" s="14" t="str">
        <x:v>2026-08-24</x:v>
      </x:c>
      <x:c r="AC728" s="14" t="str"/>
      <x:c r="AD728" s="20" t="str"/>
      <x:c r="AE728" s="14" t="str"/>
      <x:c r="AF728" s="14" t="n">
        <x:v>38</x:v>
      </x:c>
      <x:c r="AG728" s="14" t="str">
        <x:v>I3</x:v>
      </x:c>
      <x:c r="AH728" s="14" t="n">
        <x:v>1</x:v>
      </x:c>
      <x:c r="AI728" s="14" t="n">
        <x:v>0</x:v>
      </x:c>
      <x:c r="AJ728" s="18" t="n">
        <x:v>5060</x:v>
      </x:c>
      <x:c r="AK728" s="14" t="str">
        <x:v>https://prozorro.gov.ua/tender/UA-2026-06-12-005736-a</x:v>
      </x:c>
      <x:c r="AL728" s="19" t="n">
        <x:v>46185.38756188657</x:v>
      </x:c>
      <x:c r="AM728" s="19" t="n">
        <x:v>46185</x:v>
      </x:c>
      <x:c r="AN728" s="15" t="str">
        <x:v>Безпека / СКУД / CCTV</x:v>
      </x:c>
      <x:c r="AO728" s="15" t="str">
        <x:v>not_found_in_top_search</x:v>
      </x:c>
    </x:row>
    <x:row r="729">
      <x:c r="A729" s="14" t="str">
        <x:v>W3-457</x:v>
      </x:c>
      <x:c r="B729" s="14" t="str">
        <x:v>Prozorro winners — 24.08</x:v>
      </x:c>
      <x:c r="C729" s="14" t="str">
        <x:v>Фізична особа-підприємець Хоманець Валентина Іванівна</x:v>
      </x:c>
      <x:c r="D729" s="14" t="str">
        <x:v>Безпека / СКУД / CCTV</x:v>
      </x:c>
      <x:c r="E729" s="14" t="str">
        <x:v>Expansion discovery</x:v>
      </x:c>
      <x:c r="F729" s="17" t="str">
        <x:f>IF(E729="Pilot now",IF(P729&gt;=84,"P1",IF(P729&gt;=72,"P2","P3")),IF(E729="Expansion discovery",IF(Q729&gt;=88,"D1",IF(Q729&gt;=78,"D2","D3")),IF(E729="Later / requirements","L","Legacy")))</x:f>
        <x:v>D2</x:v>
      </x:c>
      <x:c r="G729" s="14" t="str"/>
      <x:c r="H729" s="14" t="str">
        <x:v>Discovery розширення — 2 тижні</x:v>
      </x:c>
      <x:c r="I729" s="16" t="n">
        <x:v>1</x:v>
      </x:c>
      <x:c r="J729" s="16" t="n">
        <x:v>5</x:v>
      </x:c>
      <x:c r="K729" s="16" t="n">
        <x:v>4</x:v>
      </x:c>
      <x:c r="L729" s="16" t="n">
        <x:v>1</x:v>
      </x:c>
      <x:c r="M729" s="16" t="n">
        <x:v>5</x:v>
      </x:c>
      <x:c r="N729" s="16" t="n">
        <x:v>3</x:v>
      </x:c>
      <x:c r="O729" s="16" t="n">
        <x:v>5</x:v>
      </x:c>
      <x:c r="P729" s="16" t="n">
        <x:f>IF(COUNT(I729:O729)&lt;7,"",I729*8+J729*3+K729*2+L729*2+M729*2+N729*2+O729)</x:f>
        <x:v>54</x:v>
      </x:c>
      <x:c r="Q729" s="16" t="n">
        <x:f>IF(COUNT(J729:O729)&lt;6,"",J729*5+K729*4+M729*4+L729*3+N729*2+O729*2)</x:f>
        <x:v>80</x:v>
      </x:c>
      <x:c r="R729" s="14" t="str">
        <x:v>high</x:v>
      </x:c>
      <x:c r="S729" s="14" t="str">
        <x:v>official_prozorro_award_2025_2026</x:v>
      </x:c>
      <x:c r="T729" s="14" t="str">
        <x:v>official_prozorro_api</x:v>
      </x:c>
      <x:c r="U729" s="14" t="str">
        <x:v>Не контактували</x:v>
      </x:c>
      <x:c r="V729" s="15" t="str">
        <x:v>Workflow-audit outreach по UA-2026-05-13-005151-a; попросити 1 пакет здачі та вимоги проєкту</x:v>
      </x:c>
      <x:c r="W729" s="15" t="str">
        <x:v>Власник / виконавець; відповідальний за договір</x:v>
      </x:c>
      <x:c r="X729" s="15" t="str">
        <x:v>1 підтверджених перемог/договорів у Prozorro на 550 грн; 0 проєктів зі строком виконання не раніше 24.08.2026.</x:v>
      </x:c>
      <x:c r="Y729" s="15" t="str">
        <x:v>Кабель сигналізаційний для монтажу системи контролю доступу у ЗДО №51 Львівської міської ради (ДК 021:2015:44320000-9 - Кабелі та супутня продукція); строк до 2026-06-30. Попросити один знеособлений пакет здачі за цим workflow.</x:v>
      </x:c>
      <x:c r="Z729" s="15" t="str">
        <x:v>https://prozorro.gov.ua/tender/UA-2026-05-13-005151-a</x:v>
      </x:c>
      <x:c r="AA729" s="14" t="str">
        <x:v>2531503308</x:v>
      </x:c>
      <x:c r="AB729" s="14" t="str">
        <x:v>2026-08-24</x:v>
      </x:c>
      <x:c r="AC729" s="14" t="str"/>
      <x:c r="AD729" s="20" t="str"/>
      <x:c r="AE729" s="14" t="str"/>
      <x:c r="AF729" s="14" t="n">
        <x:v>38</x:v>
      </x:c>
      <x:c r="AG729" s="14" t="str">
        <x:v>I3</x:v>
      </x:c>
      <x:c r="AH729" s="14" t="n">
        <x:v>1</x:v>
      </x:c>
      <x:c r="AI729" s="14" t="n">
        <x:v>0</x:v>
      </x:c>
      <x:c r="AJ729" s="18" t="n">
        <x:v>550</x:v>
      </x:c>
      <x:c r="AK729" s="14" t="str">
        <x:v>https://prozorro.gov.ua/tender/UA-2026-05-13-005151-a</x:v>
      </x:c>
      <x:c r="AL729" s="19" t="n">
        <x:v>46155.37156013889</x:v>
      </x:c>
      <x:c r="AM729" s="19" t="n">
        <x:v>46203</x:v>
      </x:c>
      <x:c r="AN729" s="15" t="str">
        <x:v>Безпека / СКУД / CCTV</x:v>
      </x:c>
      <x:c r="AO729" s="15" t="str">
        <x:v>not_found_in_top_search</x:v>
      </x:c>
    </x:row>
    <x:row r="730">
      <x:c r="A730" s="14" t="str">
        <x:v>W3-458</x:v>
      </x:c>
      <x:c r="B730" s="14" t="str">
        <x:v>Prozorro winners — 24.08</x:v>
      </x:c>
      <x:c r="C730" s="14" t="str">
        <x:v>ТОВ "НГХ СЕРВІС"</x:v>
      </x:c>
      <x:c r="D730" s="14" t="str">
        <x:v>Технологічні трубопроводи</x:v>
      </x:c>
      <x:c r="E730" s="14" t="str">
        <x:v>Expansion discovery</x:v>
      </x:c>
      <x:c r="F730" s="17" t="str">
        <x:f>IF(E730="Pilot now",IF(P730&gt;=84,"P1",IF(P730&gt;=72,"P2","P3")),IF(E730="Expansion discovery",IF(Q730&gt;=88,"D1",IF(Q730&gt;=78,"D2","D3")),IF(E730="Later / requirements","L","Legacy")))</x:f>
        <x:v>D1</x:v>
      </x:c>
      <x:c r="G730" s="14" t="str">
        <x:v>ogcs.com.ua</x:v>
      </x:c>
      <x:c r="H730" s="14" t="str">
        <x:v>Discovery розширення — 2 тижні</x:v>
      </x:c>
      <x:c r="I730" s="16" t="n">
        <x:v>1</x:v>
      </x:c>
      <x:c r="J730" s="16" t="n">
        <x:v>5</x:v>
      </x:c>
      <x:c r="K730" s="16" t="n">
        <x:v>4</x:v>
      </x:c>
      <x:c r="L730" s="16" t="n">
        <x:v>4</x:v>
      </x:c>
      <x:c r="M730" s="16" t="n">
        <x:v>5</x:v>
      </x:c>
      <x:c r="N730" s="16" t="n">
        <x:v>5</x:v>
      </x:c>
      <x:c r="O730" s="16" t="n">
        <x:v>5</x:v>
      </x:c>
      <x:c r="P730" s="16" t="n">
        <x:f>IF(COUNT(I730:O730)&lt;7,"",I730*8+J730*3+K730*2+L730*2+M730*2+N730*2+O730)</x:f>
        <x:v>64</x:v>
      </x:c>
      <x:c r="Q730" s="16" t="n">
        <x:f>IF(COUNT(J730:O730)&lt;6,"",J730*5+K730*4+M730*4+L730*3+N730*2+O730*2)</x:f>
        <x:v>93</x:v>
      </x:c>
      <x:c r="R730" s="14" t="str">
        <x:v>high</x:v>
      </x:c>
      <x:c r="S730" s="14" t="str">
        <x:v>official_prozorro_award_2025_2026</x:v>
      </x:c>
      <x:c r="T730" s="14" t="str">
        <x:v>official_prozorro_api</x:v>
      </x:c>
      <x:c r="U730" s="14" t="str">
        <x:v>Не контактували</x:v>
      </x:c>
      <x:c r="V730" s="15" t="str">
        <x:v>Workflow-audit outreach по UA-2025-01-08-007081-a; попросити 1 пакет здачі та вимоги проєкту</x:v>
      </x:c>
      <x:c r="W730" s="15" t="str">
        <x:v>Власник / директор; керівник ПТО; відповідальний за договори</x:v>
      </x:c>
      <x:c r="X730" s="15" t="str">
        <x:v>1 підтверджених перемог/договорів у Prozorro на 7 229 604 грн; 0 проєктів зі строком виконання не раніше 24.08.2026.</x:v>
      </x:c>
      <x:c r="Y730" s="15" t="str">
        <x:v>Технічне переоснащення в частині відновлення товарно-сировинного парку ЦПСН КГПЗ з монтажем внутрішньопаркових технологічних трубопроводів та РВС по вул. Центральна, 1,  с. Мала Павлівка, Охтирського району Сумської області, ДК 021:2015 45220000-5  інженерні та будівельні роботи; строк до 2025-12-31. Попросити один знеособлений пакет здачі за цим workflow.</x:v>
      </x:c>
      <x:c r="Z730" s="15" t="str">
        <x:v>https://prozorro.gov.ua/tender/UA-2025-01-08-007081-a</x:v>
      </x:c>
      <x:c r="AA730" s="14" t="str">
        <x:v>38781431</x:v>
      </x:c>
      <x:c r="AB730" s="14" t="str">
        <x:v>2026-08-24</x:v>
      </x:c>
      <x:c r="AC730" s="14" t="str"/>
      <x:c r="AD730" s="20" t="str"/>
      <x:c r="AE730" s="14" t="str"/>
      <x:c r="AF730" s="14" t="n">
        <x:v>37</x:v>
      </x:c>
      <x:c r="AG730" s="14" t="str">
        <x:v>I3</x:v>
      </x:c>
      <x:c r="AH730" s="14" t="n">
        <x:v>1</x:v>
      </x:c>
      <x:c r="AI730" s="14" t="n">
        <x:v>0</x:v>
      </x:c>
      <x:c r="AJ730" s="18" t="n">
        <x:v>7229604</x:v>
      </x:c>
      <x:c r="AK730" s="14" t="str">
        <x:v>https://prozorro.gov.ua/tender/UA-2025-01-08-007081-a</x:v>
      </x:c>
      <x:c r="AL730" s="19" t="n">
        <x:v>45688.56694599537</x:v>
      </x:c>
      <x:c r="AM730" s="19" t="n">
        <x:v>46022</x:v>
      </x:c>
      <x:c r="AN730" s="15" t="str">
        <x:v>Технологічні трубопроводи</x:v>
      </x:c>
      <x:c r="AO730" s="15" t="str">
        <x:v>supplier_provided_url</x:v>
      </x:c>
    </x:row>
    <x:row r="731">
      <x:c r="A731" s="14" t="str">
        <x:v>W3-459</x:v>
      </x:c>
      <x:c r="B731" s="14" t="str">
        <x:v>Prozorro winners — 24.08</x:v>
      </x:c>
      <x:c r="C731" s="14" t="str">
        <x:v>ТОВ "МОНТАЖТРАНСГАЗ"</x:v>
      </x:c>
      <x:c r="D731" s="14" t="str">
        <x:v>Технологічні трубопроводи</x:v>
      </x:c>
      <x:c r="E731" s="14" t="str">
        <x:v>Expansion discovery</x:v>
      </x:c>
      <x:c r="F731" s="17" t="str">
        <x:f>IF(E731="Pilot now",IF(P731&gt;=84,"P1",IF(P731&gt;=72,"P2","P3")),IF(E731="Expansion discovery",IF(Q731&gt;=88,"D1",IF(Q731&gt;=78,"D2","D3")),IF(E731="Later / requirements","L","Legacy")))</x:f>
        <x:v>D1</x:v>
      </x:c>
      <x:c r="G731" s="14" t="str"/>
      <x:c r="H731" s="14" t="str">
        <x:v>Discovery розширення — 2 тижні</x:v>
      </x:c>
      <x:c r="I731" s="16" t="n">
        <x:v>1</x:v>
      </x:c>
      <x:c r="J731" s="16" t="n">
        <x:v>5</x:v>
      </x:c>
      <x:c r="K731" s="16" t="n">
        <x:v>4</x:v>
      </x:c>
      <x:c r="L731" s="16" t="n">
        <x:v>4</x:v>
      </x:c>
      <x:c r="M731" s="16" t="n">
        <x:v>5</x:v>
      </x:c>
      <x:c r="N731" s="16" t="n">
        <x:v>5</x:v>
      </x:c>
      <x:c r="O731" s="16" t="n">
        <x:v>5</x:v>
      </x:c>
      <x:c r="P731" s="16" t="n">
        <x:f>IF(COUNT(I731:O731)&lt;7,"",I731*8+J731*3+K731*2+L731*2+M731*2+N731*2+O731)</x:f>
        <x:v>64</x:v>
      </x:c>
      <x:c r="Q731" s="16" t="n">
        <x:f>IF(COUNT(J731:O731)&lt;6,"",J731*5+K731*4+M731*4+L731*3+N731*2+O731*2)</x:f>
        <x:v>93</x:v>
      </x:c>
      <x:c r="R731" s="14" t="str">
        <x:v>high</x:v>
      </x:c>
      <x:c r="S731" s="14" t="str">
        <x:v>official_prozorro_award_2025_2026</x:v>
      </x:c>
      <x:c r="T731" s="14" t="str">
        <x:v>official_prozorro_api</x:v>
      </x:c>
      <x:c r="U731" s="14" t="str">
        <x:v>Не контактували</x:v>
      </x:c>
      <x:c r="V731" s="15" t="str">
        <x:v>Workflow-audit outreach по UA-2025-04-24-010173-a; попросити 1 пакет здачі та вимоги проєкту</x:v>
      </x:c>
      <x:c r="W731" s="15" t="str">
        <x:v>Власник / директор; керівник ПТО; відповідальний за договори</x:v>
      </x:c>
      <x:c r="X731" s="15" t="str">
        <x:v>1 підтверджених перемог/договорів у Prozorro на 6 210 180 грн; 0 проєктів зі строком виконання не раніше 24.08.2026.</x:v>
      </x:c>
      <x:c r="Y731" s="15" t="str">
        <x:v>Технічне переоснащення в частині відновлення товарно-сировинного парку ХХХ з монтажем внутрішньо-паркових технологічних трубопроводів та РВС; строк до 2025-12-31. Попросити один знеособлений пакет здачі за цим workflow.</x:v>
      </x:c>
      <x:c r="Z731" s="15" t="str">
        <x:v>https://prozorro.gov.ua/tender/UA-2025-04-24-010173-a</x:v>
      </x:c>
      <x:c r="AA731" s="14" t="str">
        <x:v>13958101</x:v>
      </x:c>
      <x:c r="AB731" s="14" t="str">
        <x:v>2026-08-24</x:v>
      </x:c>
      <x:c r="AC731" s="14" t="str"/>
      <x:c r="AD731" s="20" t="str"/>
      <x:c r="AE731" s="14" t="str"/>
      <x:c r="AF731" s="14" t="n">
        <x:v>37</x:v>
      </x:c>
      <x:c r="AG731" s="14" t="str">
        <x:v>I3</x:v>
      </x:c>
      <x:c r="AH731" s="14" t="n">
        <x:v>1</x:v>
      </x:c>
      <x:c r="AI731" s="14" t="n">
        <x:v>0</x:v>
      </x:c>
      <x:c r="AJ731" s="18" t="n">
        <x:v>6210180</x:v>
      </x:c>
      <x:c r="AK731" s="14" t="str">
        <x:v>https://prozorro.gov.ua/tender/UA-2025-04-24-010173-a</x:v>
      </x:c>
      <x:c r="AL731" s="19" t="n">
        <x:v>45806.45531452546</x:v>
      </x:c>
      <x:c r="AM731" s="19" t="n">
        <x:v>46022</x:v>
      </x:c>
      <x:c r="AN731" s="15" t="str">
        <x:v>Технологічні трубопроводи</x:v>
      </x:c>
      <x:c r="AO731" s="15" t="str">
        <x:v>not_found_in_top_search</x:v>
      </x:c>
    </x:row>
    <x:row r="732">
      <x:c r="A732" s="14" t="str">
        <x:v>W3-460</x:v>
      </x:c>
      <x:c r="B732" s="14" t="str">
        <x:v>Prozorro winners — 24.08</x:v>
      </x:c>
      <x:c r="C732" s="14" t="str">
        <x:v>ТОВ "ОДЕСАСПЕ­ЦЕНЕРГО"</x:v>
      </x:c>
      <x:c r="D732" s="14" t="str">
        <x:v>ГНБ / безтраншейні роботи</x:v>
      </x:c>
      <x:c r="E732" s="14" t="str">
        <x:v>Expansion discovery</x:v>
      </x:c>
      <x:c r="F732" s="17" t="str">
        <x:f>IF(E732="Pilot now",IF(P732&gt;=84,"P1",IF(P732&gt;=72,"P2","P3")),IF(E732="Expansion discovery",IF(Q732&gt;=88,"D1",IF(Q732&gt;=78,"D2","D3")),IF(E732="Later / requirements","L","Legacy")))</x:f>
        <x:v>D1</x:v>
      </x:c>
      <x:c r="G732" s="14" t="str"/>
      <x:c r="H732" s="14" t="str">
        <x:v>Discovery розширення — 2 тижні</x:v>
      </x:c>
      <x:c r="I732" s="16" t="n">
        <x:v>1</x:v>
      </x:c>
      <x:c r="J732" s="16" t="n">
        <x:v>5</x:v>
      </x:c>
      <x:c r="K732" s="16" t="n">
        <x:v>4</x:v>
      </x:c>
      <x:c r="L732" s="16" t="n">
        <x:v>4</x:v>
      </x:c>
      <x:c r="M732" s="16" t="n">
        <x:v>5</x:v>
      </x:c>
      <x:c r="N732" s="16" t="n">
        <x:v>5</x:v>
      </x:c>
      <x:c r="O732" s="16" t="n">
        <x:v>5</x:v>
      </x:c>
      <x:c r="P732" s="16" t="n">
        <x:f>IF(COUNT(I732:O732)&lt;7,"",I732*8+J732*3+K732*2+L732*2+M732*2+N732*2+O732)</x:f>
        <x:v>64</x:v>
      </x:c>
      <x:c r="Q732" s="16" t="n">
        <x:f>IF(COUNT(J732:O732)&lt;6,"",J732*5+K732*4+M732*4+L732*3+N732*2+O732*2)</x:f>
        <x:v>93</x:v>
      </x:c>
      <x:c r="R732" s="14" t="str">
        <x:v>high</x:v>
      </x:c>
      <x:c r="S732" s="14" t="str">
        <x:v>official_prozorro_award_2025_2026</x:v>
      </x:c>
      <x:c r="T732" s="14" t="str">
        <x:v>official_prozorro_api</x:v>
      </x:c>
      <x:c r="U732" s="14" t="str">
        <x:v>Не контактували</x:v>
      </x:c>
      <x:c r="V732" s="15" t="str">
        <x:v>Workflow-audit outreach по UA-2025-08-08-003722-a; попросити 1 пакет здачі та вимоги проєкту</x:v>
      </x:c>
      <x:c r="W732" s="15" t="str">
        <x:v>Власник / директор; керівник ПТО; відповідальний за договори</x:v>
      </x:c>
      <x:c r="X732" s="15" t="str">
        <x:v>1 підтверджених перемог/договорів у Prozorro на 4 449 000 грн; 0 проєктів зі строком виконання не раніше 24.08.2026.</x:v>
      </x:c>
      <x:c r="Y732" s="15" t="str">
        <x:v>Реконструкція газопроводу-відводу до газорозподільної станції «Чорногузи» на ділянці переходу через річку Черемош на межі Вижницького району Чернівецької області та Косівського району Івано-Франківської області (роботи з горизонтально-направленого буріння) (Будівельні роботи та поточний ремонт); строк до 2026-03-16. Попросити один знеособлений пакет здачі за цим workflow.</x:v>
      </x:c>
      <x:c r="Z732" s="15" t="str">
        <x:v>https://prozorro.gov.ua/tender/UA-2025-08-08-003722-a</x:v>
      </x:c>
      <x:c r="AA732" s="14" t="str">
        <x:v>34490487</x:v>
      </x:c>
      <x:c r="AB732" s="14" t="str">
        <x:v>2026-08-24</x:v>
      </x:c>
      <x:c r="AC732" s="14" t="str"/>
      <x:c r="AD732" s="20" t="str"/>
      <x:c r="AE732" s="14" t="str"/>
      <x:c r="AF732" s="14" t="n">
        <x:v>37</x:v>
      </x:c>
      <x:c r="AG732" s="14" t="str">
        <x:v>I3</x:v>
      </x:c>
      <x:c r="AH732" s="14" t="n">
        <x:v>1</x:v>
      </x:c>
      <x:c r="AI732" s="14" t="n">
        <x:v>0</x:v>
      </x:c>
      <x:c r="AJ732" s="18" t="n">
        <x:v>4449000</x:v>
      </x:c>
      <x:c r="AK732" s="14" t="str">
        <x:v>https://prozorro.gov.ua/tender/UA-2025-08-08-003722-a</x:v>
      </x:c>
      <x:c r="AL732" s="19" t="n">
        <x:v>45908.31016237268</x:v>
      </x:c>
      <x:c r="AM732" s="19" t="n">
        <x:v>46097</x:v>
      </x:c>
      <x:c r="AN732" s="15" t="str">
        <x:v>ГНБ / безтраншейні роботи</x:v>
      </x:c>
      <x:c r="AO732" s="15" t="str">
        <x:v>not_found_in_top_search</x:v>
      </x:c>
    </x:row>
    <x:row r="733">
      <x:c r="A733" s="14" t="str">
        <x:v>W3-461</x:v>
      </x:c>
      <x:c r="B733" s="14" t="str">
        <x:v>Prozorro winners — 24.08</x:v>
      </x:c>
      <x:c r="C733" s="14" t="str">
        <x:v>Науково-виробниче підприємство"Електропром" у формі ТОВ</x:v>
      </x:c>
      <x:c r="D733" s="14" t="str">
        <x:v>Електромонтаж</x:v>
      </x:c>
      <x:c r="E733" s="14" t="str">
        <x:v>Pilot now</x:v>
      </x:c>
      <x:c r="F733" s="17" t="str">
        <x:f>IF(E733="Pilot now",IF(P733&gt;=84,"P1",IF(P733&gt;=72,"P2","P3")),IF(E733="Expansion discovery",IF(Q733&gt;=88,"D1",IF(Q733&gt;=78,"D2","D3")),IF(E733="Later / requirements","L","Legacy")))</x:f>
        <x:v>P1</x:v>
      </x:c>
      <x:c r="G733" s="14" t="str"/>
      <x:c r="H733" s="14" t="str">
        <x:v>Пілот зараз — Н.15</x:v>
      </x:c>
      <x:c r="I733" s="16" t="n">
        <x:v>5</x:v>
      </x:c>
      <x:c r="J733" s="16" t="n">
        <x:v>5</x:v>
      </x:c>
      <x:c r="K733" s="16" t="n">
        <x:v>5</x:v>
      </x:c>
      <x:c r="L733" s="16" t="n">
        <x:v>2</x:v>
      </x:c>
      <x:c r="M733" s="16" t="n">
        <x:v>5</x:v>
      </x:c>
      <x:c r="N733" s="16" t="n">
        <x:v>5</x:v>
      </x:c>
      <x:c r="O733" s="16" t="n">
        <x:v>5</x:v>
      </x:c>
      <x:c r="P733" s="16" t="n">
        <x:f>IF(COUNT(I733:O733)&lt;7,"",I733*8+J733*3+K733*2+L733*2+M733*2+N733*2+O733)</x:f>
        <x:v>94</x:v>
      </x:c>
      <x:c r="Q733" s="16" t="n">
        <x:f>IF(COUNT(J733:O733)&lt;6,"",J733*5+K733*4+M733*4+L733*3+N733*2+O733*2)</x:f>
        <x:v>91</x:v>
      </x:c>
      <x:c r="R733" s="14" t="str">
        <x:v>high</x:v>
      </x:c>
      <x:c r="S733" s="14" t="str">
        <x:v>official_prozorro_award_2025_2026</x:v>
      </x:c>
      <x:c r="T733" s="14" t="str">
        <x:v>official_prozorro_api</x:v>
      </x:c>
      <x:c r="U733" s="14" t="str">
        <x:v>Не контактували</x:v>
      </x:c>
      <x:c r="V733" s="15" t="str">
        <x:v>Персоналізований free-pilot outreach по UA-2026-04-16-004889-a; попросити 1 пакет Н.14/Н.15</x:v>
      </x:c>
      <x:c r="W733" s="15" t="str">
        <x:v>Власник / директор; керівник ПТО; відповідальний за договори</x:v>
      </x:c>
      <x:c r="X733" s="15" t="str">
        <x:v>1 підтверджених перемог/договорів у Prozorro на 389 416 грн; 0 проєктів зі строком виконання не раніше 24.08.2026.</x:v>
      </x:c>
      <x:c r="Y733" s="15" t="str">
        <x:v>Монтаж мереж  електричного кабелю 9-го під'їзду та 4-го під'їзду будинку за адресою: пл. Свободи, 5 в м. Харкові; строк до 2026-06-30. Попросити один знеособлений пакет здачі за цим workflow.</x:v>
      </x:c>
      <x:c r="Z733" s="15" t="str">
        <x:v>https://prozorro.gov.ua/tender/UA-2026-04-16-004889-a</x:v>
      </x:c>
      <x:c r="AA733" s="14" t="str">
        <x:v>14089096</x:v>
      </x:c>
      <x:c r="AB733" s="14" t="str">
        <x:v>2026-08-24</x:v>
      </x:c>
      <x:c r="AC733" s="14" t="str"/>
      <x:c r="AD733" s="20" t="str"/>
      <x:c r="AE733" s="14" t="str"/>
      <x:c r="AF733" s="14" t="n">
        <x:v>37</x:v>
      </x:c>
      <x:c r="AG733" s="14" t="str">
        <x:v>I3</x:v>
      </x:c>
      <x:c r="AH733" s="14" t="n">
        <x:v>1</x:v>
      </x:c>
      <x:c r="AI733" s="14" t="n">
        <x:v>0</x:v>
      </x:c>
      <x:c r="AJ733" s="18" t="n">
        <x:v>389415.6</x:v>
      </x:c>
      <x:c r="AK733" s="14" t="str">
        <x:v>https://prozorro.gov.ua/tender/UA-2026-04-16-004889-a</x:v>
      </x:c>
      <x:c r="AL733" s="19" t="n">
        <x:v>46128.366191064815</x:v>
      </x:c>
      <x:c r="AM733" s="19" t="n">
        <x:v>46203</x:v>
      </x:c>
      <x:c r="AN733" s="15" t="str">
        <x:v>Електромонтаж</x:v>
      </x:c>
      <x:c r="AO733" s="15" t="str">
        <x:v>not_found_in_top_search</x:v>
      </x:c>
    </x:row>
    <x:row r="734">
      <x:c r="A734" s="14" t="str">
        <x:v>W3-462</x:v>
      </x:c>
      <x:c r="B734" s="14" t="str">
        <x:v>Prozorro winners — 24.08</x:v>
      </x:c>
      <x:c r="C734" s="14" t="str">
        <x:v>КУЛЬЧИЦЬКИЙ ВОЛОДИМИР БОГДАНОВИЧ</x:v>
      </x:c>
      <x:c r="D734" s="14" t="str">
        <x:v>ГНБ / безтраншейні роботи</x:v>
      </x:c>
      <x:c r="E734" s="14" t="str">
        <x:v>Expansion discovery</x:v>
      </x:c>
      <x:c r="F734" s="17" t="str">
        <x:f>IF(E734="Pilot now",IF(P734&gt;=84,"P1",IF(P734&gt;=72,"P2","P3")),IF(E734="Expansion discovery",IF(Q734&gt;=88,"D1",IF(Q734&gt;=78,"D2","D3")),IF(E734="Later / requirements","L","Legacy")))</x:f>
        <x:v>D2</x:v>
      </x:c>
      <x:c r="G734" s="14" t="str"/>
      <x:c r="H734" s="14" t="str">
        <x:v>Discovery розширення — 2 тижні</x:v>
      </x:c>
      <x:c r="I734" s="16" t="n">
        <x:v>1</x:v>
      </x:c>
      <x:c r="J734" s="16" t="n">
        <x:v>5</x:v>
      </x:c>
      <x:c r="K734" s="16" t="n">
        <x:v>4</x:v>
      </x:c>
      <x:c r="L734" s="16" t="n">
        <x:v>3</x:v>
      </x:c>
      <x:c r="M734" s="16" t="n">
        <x:v>5</x:v>
      </x:c>
      <x:c r="N734" s="16" t="n">
        <x:v>3</x:v>
      </x:c>
      <x:c r="O734" s="16" t="n">
        <x:v>5</x:v>
      </x:c>
      <x:c r="P734" s="16" t="n">
        <x:f>IF(COUNT(I734:O734)&lt;7,"",I734*8+J734*3+K734*2+L734*2+M734*2+N734*2+O734)</x:f>
        <x:v>58</x:v>
      </x:c>
      <x:c r="Q734" s="16" t="n">
        <x:f>IF(COUNT(J734:O734)&lt;6,"",J734*5+K734*4+M734*4+L734*3+N734*2+O734*2)</x:f>
        <x:v>86</x:v>
      </x:c>
      <x:c r="R734" s="14" t="str">
        <x:v>high</x:v>
      </x:c>
      <x:c r="S734" s="14" t="str">
        <x:v>official_prozorro_award_2025_2026</x:v>
      </x:c>
      <x:c r="T734" s="14" t="str">
        <x:v>official_prozorro_api</x:v>
      </x:c>
      <x:c r="U734" s="14" t="str">
        <x:v>Не контактували</x:v>
      </x:c>
      <x:c r="V734" s="15" t="str">
        <x:v>Workflow-audit outreach по UA-2025-11-26-006530-a; попросити 1 пакет здачі та вимоги проєкту</x:v>
      </x:c>
      <x:c r="W734" s="15" t="str">
        <x:v>Власник / виконавець; відповідальний за договір</x:v>
      </x:c>
      <x:c r="X734" s="15" t="str">
        <x:v>2 підтверджених перемог/договорів у Prozorro на 902 371 грн; 0 проєктів зі строком виконання не раніше 24.08.2026.</x:v>
      </x:c>
      <x:c r="Y734" s="15" t="str">
        <x:v>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 строк до 2025-12-31. Попросити один знеособлений пакет здачі за цим workflow.</x:v>
      </x:c>
      <x:c r="Z734" s="15" t="str">
        <x:v>https://prozorro.gov.ua/tender/UA-2025-11-26-006530-a</x:v>
      </x:c>
      <x:c r="AA734" s="14" t="str">
        <x:v>2497618018</x:v>
      </x:c>
      <x:c r="AB734" s="14" t="str">
        <x:v>2026-08-24</x:v>
      </x:c>
      <x:c r="AC734" s="14" t="str"/>
      <x:c r="AD734" s="20" t="str"/>
      <x:c r="AE734" s="14" t="str"/>
      <x:c r="AF734" s="14" t="n">
        <x:v>35</x:v>
      </x:c>
      <x:c r="AG734" s="14" t="str">
        <x:v>I3</x:v>
      </x:c>
      <x:c r="AH734" s="14" t="n">
        <x:v>2</x:v>
      </x:c>
      <x:c r="AI734" s="14" t="n">
        <x:v>0</x:v>
      </x:c>
      <x:c r="AJ734" s="18" t="n">
        <x:v>902371.44</x:v>
      </x:c>
      <x:c r="AK734" s="14" t="str">
        <x:v>https://prozorro.gov.ua/tender/UA-2025-11-26-006530-a</x:v>
      </x:c>
      <x:c r="AL734" s="19" t="n">
        <x:v>45987.40705403935</x:v>
      </x:c>
      <x:c r="AM734" s="19" t="n">
        <x:v>46022</x:v>
      </x:c>
      <x:c r="AN734" s="15" t="str">
        <x:v>ГНБ / безтраншейні роботи</x:v>
      </x:c>
      <x:c r="AO734" s="15" t="str">
        <x:v>not_found_in_top_search</x:v>
      </x:c>
    </x:row>
    <x:row r="735">
      <x:c r="A735" s="14" t="str">
        <x:v>W3-463</x:v>
      </x:c>
      <x:c r="B735" s="14" t="str">
        <x:v>Prozorro winners — 24.08</x:v>
      </x:c>
      <x:c r="C735" s="14" t="str">
        <x:v>ФОП "МЕРЕЖКО МИКИТА АНДРІЙОВИЧ"</x:v>
      </x:c>
      <x:c r="D735" s="14" t="str">
        <x:v>Промисловий холод</x:v>
      </x:c>
      <x:c r="E735" s="14" t="str">
        <x:v>Expansion discovery</x:v>
      </x:c>
      <x:c r="F735" s="17" t="str">
        <x:f>IF(E735="Pilot now",IF(P735&gt;=84,"P1",IF(P735&gt;=72,"P2","P3")),IF(E735="Expansion discovery",IF(Q735&gt;=88,"D1",IF(Q735&gt;=78,"D2","D3")),IF(E735="Later / requirements","L","Legacy")))</x:f>
        <x:v>D2</x:v>
      </x:c>
      <x:c r="G735" s="14" t="str"/>
      <x:c r="H735" s="14" t="str">
        <x:v>Discovery розширення — 2 тижні</x:v>
      </x:c>
      <x:c r="I735" s="16" t="n">
        <x:v>1</x:v>
      </x:c>
      <x:c r="J735" s="16" t="n">
        <x:v>5</x:v>
      </x:c>
      <x:c r="K735" s="16" t="n">
        <x:v>4</x:v>
      </x:c>
      <x:c r="L735" s="16" t="n">
        <x:v>3</x:v>
      </x:c>
      <x:c r="M735" s="16" t="n">
        <x:v>5</x:v>
      </x:c>
      <x:c r="N735" s="16" t="n">
        <x:v>3</x:v>
      </x:c>
      <x:c r="O735" s="16" t="n">
        <x:v>5</x:v>
      </x:c>
      <x:c r="P735" s="16" t="n">
        <x:f>IF(COUNT(I735:O735)&lt;7,"",I735*8+J735*3+K735*2+L735*2+M735*2+N735*2+O735)</x:f>
        <x:v>58</x:v>
      </x:c>
      <x:c r="Q735" s="16" t="n">
        <x:f>IF(COUNT(J735:O735)&lt;6,"",J735*5+K735*4+M735*4+L735*3+N735*2+O735*2)</x:f>
        <x:v>86</x:v>
      </x:c>
      <x:c r="R735" s="14" t="str">
        <x:v>high</x:v>
      </x:c>
      <x:c r="S735" s="14" t="str">
        <x:v>official_prozorro_award_2025_2026</x:v>
      </x:c>
      <x:c r="T735" s="14" t="str">
        <x:v>official_prozorro_api</x:v>
      </x:c>
      <x:c r="U735" s="14" t="str">
        <x:v>Не контактували</x:v>
      </x:c>
      <x:c r="V735" s="15" t="str">
        <x:v>Workflow-audit outreach по UA-2025-12-15-018436-a; попросити 1 пакет здачі та вимоги проєкту</x:v>
      </x:c>
      <x:c r="W735" s="15" t="str">
        <x:v>Власник / виконавець; відповідальний за договір</x:v>
      </x:c>
      <x:c r="X735" s="15" t="str">
        <x:v>1 підтверджених перемог/договорів у Prozorro на 600 000 грн; 1 проєктів зі строком виконання не раніше 24.08.2026.</x:v>
      </x:c>
      <x:c r="Y735" s="15" t="str">
        <x:v>Строкове платне користування обладнанням та роботи з його монтажу (ДК: 42510000-4: Теплообмінники, кондиціонери повітря, холодильне обладнання та фільтрувальні пристрої).; строк до 2026-12-31. Попросити один знеособлений пакет здачі за цим workflow.</x:v>
      </x:c>
      <x:c r="Z735" s="15" t="str">
        <x:v>https://prozorro.gov.ua/tender/UA-2025-12-15-018436-a</x:v>
      </x:c>
      <x:c r="AA735" s="14" t="str">
        <x:v>3408617498</x:v>
      </x:c>
      <x:c r="AB735" s="14" t="str">
        <x:v>2026-08-24</x:v>
      </x:c>
      <x:c r="AC735" s="14" t="str"/>
      <x:c r="AD735" s="20" t="str"/>
      <x:c r="AE735" s="14" t="str"/>
      <x:c r="AF735" s="14" t="n">
        <x:v>35</x:v>
      </x:c>
      <x:c r="AG735" s="14" t="str">
        <x:v>I3</x:v>
      </x:c>
      <x:c r="AH735" s="14" t="n">
        <x:v>1</x:v>
      </x:c>
      <x:c r="AI735" s="14" t="n">
        <x:v>1</x:v>
      </x:c>
      <x:c r="AJ735" s="18" t="n">
        <x:v>600000</x:v>
      </x:c>
      <x:c r="AK735" s="14" t="str">
        <x:v>https://prozorro.gov.ua/tender/UA-2025-12-15-018436-a</x:v>
      </x:c>
      <x:c r="AL735" s="19" t="n">
        <x:v>46014.59971059028</x:v>
      </x:c>
      <x:c r="AM735" s="19" t="n">
        <x:v>46387</x:v>
      </x:c>
      <x:c r="AN735" s="15" t="str">
        <x:v>Промисловий холод</x:v>
      </x:c>
      <x:c r="AO735" s="15" t="str">
        <x:v>not_found_in_top_search</x:v>
      </x:c>
    </x:row>
    <x:row r="736">
      <x:c r="A736" s="14" t="str">
        <x:v>W3-464</x:v>
      </x:c>
      <x:c r="B736" s="14" t="str">
        <x:v>Prozorro winners — 24.08</x:v>
      </x:c>
      <x:c r="C736" s="14" t="str">
        <x:v>РУМЯНЦЕВ РУСЛАН СЕРГІЙОВИЧ</x:v>
      </x:c>
      <x:c r="D736" s="14" t="str">
        <x:v>HVAC / ОВіК</x:v>
      </x:c>
      <x:c r="E736" s="14" t="str">
        <x:v>Pilot now</x:v>
      </x:c>
      <x:c r="F736" s="17" t="str">
        <x:f>IF(E736="Pilot now",IF(P736&gt;=84,"P1",IF(P736&gt;=72,"P2","P3")),IF(E736="Expansion discovery",IF(Q736&gt;=88,"D1",IF(Q736&gt;=78,"D2","D3")),IF(E736="Later / requirements","L","Legacy")))</x:f>
        <x:v>P1</x:v>
      </x:c>
      <x:c r="G736" s="14" t="str"/>
      <x:c r="H736" s="14" t="str">
        <x:v>Пілот зараз — Н.14</x:v>
      </x:c>
      <x:c r="I736" s="16" t="n">
        <x:v>5</x:v>
      </x:c>
      <x:c r="J736" s="16" t="n">
        <x:v>5</x:v>
      </x:c>
      <x:c r="K736" s="16" t="n">
        <x:v>5</x:v>
      </x:c>
      <x:c r="L736" s="16" t="n">
        <x:v>1</x:v>
      </x:c>
      <x:c r="M736" s="16" t="n">
        <x:v>5</x:v>
      </x:c>
      <x:c r="N736" s="16" t="n">
        <x:v>3</x:v>
      </x:c>
      <x:c r="O736" s="16" t="n">
        <x:v>5</x:v>
      </x:c>
      <x:c r="P736" s="16" t="n">
        <x:f>IF(COUNT(I736:O736)&lt;7,"",I736*8+J736*3+K736*2+L736*2+M736*2+N736*2+O736)</x:f>
        <x:v>88</x:v>
      </x:c>
      <x:c r="Q736" s="16" t="n">
        <x:f>IF(COUNT(J736:O736)&lt;6,"",J736*5+K736*4+M736*4+L736*3+N736*2+O736*2)</x:f>
        <x:v>84</x:v>
      </x:c>
      <x:c r="R736" s="14" t="str">
        <x:v>high</x:v>
      </x:c>
      <x:c r="S736" s="14" t="str">
        <x:v>official_prozorro_award_2025_2026</x:v>
      </x:c>
      <x:c r="T736" s="14" t="str">
        <x:v>official_prozorro_api</x:v>
      </x:c>
      <x:c r="U736" s="14" t="str">
        <x:v>Не контактували</x:v>
      </x:c>
      <x:c r="V736" s="15" t="str">
        <x:v>Персоналізований free-pilot outreach по UA-2026-03-05-009153-a; попросити 1 пакет Н.14/Н.15</x:v>
      </x:c>
      <x:c r="W736" s="15" t="str">
        <x:v>Власник / виконавець; відповідальний за договір</x:v>
      </x:c>
      <x:c r="X736" s="15" t="str">
        <x:v>1 підтверджених перемог/договорів у Prozorro на 99 520 грн; 1 проєктів зі строком виконання не раніше 24.08.2026.</x:v>
      </x:c>
      <x:c r="Y736" s="15" t="str">
        <x:v>Послуги з монтажу та демонтажу стояків системи опалення та радіаторів в приміщенні за адресою: Харківська область, Чугуївський район, м.Зміїв, вул.Бутівська, буд.5 ; строк до 2026-12-31. Попросити один знеособлений пакет здачі за цим workflow.</x:v>
      </x:c>
      <x:c r="Z736" s="15" t="str">
        <x:v>https://prozorro.gov.ua/tender/UA-2026-03-05-009153-a</x:v>
      </x:c>
      <x:c r="AA736" s="14" t="str">
        <x:v>2858401831</x:v>
      </x:c>
      <x:c r="AB736" s="14" t="str">
        <x:v>2026-08-24</x:v>
      </x:c>
      <x:c r="AC736" s="14" t="str"/>
      <x:c r="AD736" s="20" t="str"/>
      <x:c r="AE736" s="14" t="str"/>
      <x:c r="AF736" s="14" t="n">
        <x:v>35</x:v>
      </x:c>
      <x:c r="AG736" s="14" t="str">
        <x:v>I3</x:v>
      </x:c>
      <x:c r="AH736" s="14" t="n">
        <x:v>1</x:v>
      </x:c>
      <x:c r="AI736" s="14" t="n">
        <x:v>1</x:v>
      </x:c>
      <x:c r="AJ736" s="18" t="n">
        <x:v>99520</x:v>
      </x:c>
      <x:c r="AK736" s="14" t="str">
        <x:v>https://prozorro.gov.ua/tender/UA-2026-03-05-009153-a</x:v>
      </x:c>
      <x:c r="AL736" s="19" t="n">
        <x:v>46086.51481393519</x:v>
      </x:c>
      <x:c r="AM736" s="19" t="n">
        <x:v>46387</x:v>
      </x:c>
      <x:c r="AN736" s="15" t="str">
        <x:v>HVAC / ОВіК</x:v>
      </x:c>
      <x:c r="AO736" s="15" t="str">
        <x:v>not_found_in_top_search</x:v>
      </x:c>
    </x:row>
    <x:row r="737">
      <x:c r="A737" s="14" t="str">
        <x:v>W3-465</x:v>
      </x:c>
      <x:c r="B737" s="14" t="str">
        <x:v>Prozorro winners — 24.08</x:v>
      </x:c>
      <x:c r="C737" s="14" t="str">
        <x:v>ФОП Бортнік Роман Андрійович</x:v>
      </x:c>
      <x:c r="D737" s="14" t="str">
        <x:v>Сонячна енергетика</x:v>
      </x:c>
      <x:c r="E737" s="14" t="str">
        <x:v>Expansion discovery</x:v>
      </x:c>
      <x:c r="F737" s="17" t="str">
        <x:f>IF(E737="Pilot now",IF(P737&gt;=84,"P1",IF(P737&gt;=72,"P2","P3")),IF(E737="Expansion discovery",IF(Q737&gt;=88,"D1",IF(Q737&gt;=78,"D2","D3")),IF(E737="Later / requirements","L","Legacy")))</x:f>
        <x:v>D2</x:v>
      </x:c>
      <x:c r="G737" s="14" t="str"/>
      <x:c r="H737" s="14" t="str">
        <x:v>Discovery розширення — 2 тижні</x:v>
      </x:c>
      <x:c r="I737" s="16" t="n">
        <x:v>1</x:v>
      </x:c>
      <x:c r="J737" s="16" t="n">
        <x:v>5</x:v>
      </x:c>
      <x:c r="K737" s="16" t="n">
        <x:v>4</x:v>
      </x:c>
      <x:c r="L737" s="16" t="n">
        <x:v>1</x:v>
      </x:c>
      <x:c r="M737" s="16" t="n">
        <x:v>5</x:v>
      </x:c>
      <x:c r="N737" s="16" t="n">
        <x:v>3</x:v>
      </x:c>
      <x:c r="O737" s="16" t="n">
        <x:v>5</x:v>
      </x:c>
      <x:c r="P737" s="16" t="n">
        <x:f>IF(COUNT(I737:O737)&lt;7,"",I737*8+J737*3+K737*2+L737*2+M737*2+N737*2+O737)</x:f>
        <x:v>54</x:v>
      </x:c>
      <x:c r="Q737" s="16" t="n">
        <x:f>IF(COUNT(J737:O737)&lt;6,"",J737*5+K737*4+M737*4+L737*3+N737*2+O737*2)</x:f>
        <x:v>80</x:v>
      </x:c>
      <x:c r="R737" s="14" t="str">
        <x:v>high</x:v>
      </x:c>
      <x:c r="S737" s="14" t="str">
        <x:v>official_prozorro_award_2025_2026</x:v>
      </x:c>
      <x:c r="T737" s="14" t="str">
        <x:v>official_prozorro_api</x:v>
      </x:c>
      <x:c r="U737" s="14" t="str">
        <x:v>Не контактували</x:v>
      </x:c>
      <x:c r="V737" s="15" t="str">
        <x:v>Workflow-audit outreach по UA-2026-01-08-004937-a; попросити 1 пакет здачі та вимоги проєкту</x:v>
      </x:c>
      <x:c r="W737" s="15" t="str">
        <x:v>Власник / виконавець; відповідальний за договір</x:v>
      </x:c>
      <x:c r="X737" s="15" t="str">
        <x:v>1 підтверджених перемог/договорів у Prozorro на 99 000 грн; 1 проєктів зі строком виконання не раніше 24.08.2026.</x:v>
      </x:c>
      <x:c r="Y737" s="15" t="str">
        <x:v>Послуги монтажу  сонячної електростанції; строк до 2026-12-31. Попросити один знеособлений пакет здачі за цим workflow.</x:v>
      </x:c>
      <x:c r="Z737" s="15" t="str">
        <x:v>https://prozorro.gov.ua/tender/UA-2026-01-08-004937-a</x:v>
      </x:c>
      <x:c r="AA737" s="14" t="str">
        <x:v>3376707477</x:v>
      </x:c>
      <x:c r="AB737" s="14" t="str">
        <x:v>2026-08-24</x:v>
      </x:c>
      <x:c r="AC737" s="14" t="str"/>
      <x:c r="AD737" s="20" t="str"/>
      <x:c r="AE737" s="14" t="str"/>
      <x:c r="AF737" s="14" t="n">
        <x:v>35</x:v>
      </x:c>
      <x:c r="AG737" s="14" t="str">
        <x:v>I3</x:v>
      </x:c>
      <x:c r="AH737" s="14" t="n">
        <x:v>1</x:v>
      </x:c>
      <x:c r="AI737" s="14" t="n">
        <x:v>1</x:v>
      </x:c>
      <x:c r="AJ737" s="18" t="n">
        <x:v>99000</x:v>
      </x:c>
      <x:c r="AK737" s="14" t="str">
        <x:v>https://prozorro.gov.ua/tender/UA-2026-01-08-004937-a</x:v>
      </x:c>
      <x:c r="AL737" s="19" t="n">
        <x:v>46030.520002083336</x:v>
      </x:c>
      <x:c r="AM737" s="19" t="n">
        <x:v>46387.52075231481</x:v>
      </x:c>
      <x:c r="AN737" s="15" t="str">
        <x:v>Сонячна енергетика</x:v>
      </x:c>
      <x:c r="AO737" s="15" t="str">
        <x:v>not_found_in_top_search</x:v>
      </x:c>
    </x:row>
    <x:row r="738">
      <x:c r="A738" s="14" t="str">
        <x:v>W3-466</x:v>
      </x:c>
      <x:c r="B738" s="14" t="str">
        <x:v>Prozorro winners — 24.08</x:v>
      </x:c>
      <x:c r="C738" s="14" t="str">
        <x:v>ФОП Дзюба Олександр Володимирович</x:v>
      </x:c>
      <x:c r="D738" s="14" t="str">
        <x:v>Промисловий холод</x:v>
      </x:c>
      <x:c r="E738" s="14" t="str">
        <x:v>Expansion discovery</x:v>
      </x:c>
      <x:c r="F738" s="17" t="str">
        <x:f>IF(E738="Pilot now",IF(P738&gt;=84,"P1",IF(P738&gt;=72,"P2","P3")),IF(E738="Expansion discovery",IF(Q738&gt;=88,"D1",IF(Q738&gt;=78,"D2","D3")),IF(E738="Later / requirements","L","Legacy")))</x:f>
        <x:v>D2</x:v>
      </x:c>
      <x:c r="G738" s="14" t="str"/>
      <x:c r="H738" s="14" t="str">
        <x:v>Discovery розширення — 2 тижні</x:v>
      </x:c>
      <x:c r="I738" s="16" t="n">
        <x:v>1</x:v>
      </x:c>
      <x:c r="J738" s="16" t="n">
        <x:v>5</x:v>
      </x:c>
      <x:c r="K738" s="16" t="n">
        <x:v>4</x:v>
      </x:c>
      <x:c r="L738" s="16" t="n">
        <x:v>1</x:v>
      </x:c>
      <x:c r="M738" s="16" t="n">
        <x:v>5</x:v>
      </x:c>
      <x:c r="N738" s="16" t="n">
        <x:v>3</x:v>
      </x:c>
      <x:c r="O738" s="16" t="n">
        <x:v>5</x:v>
      </x:c>
      <x:c r="P738" s="16" t="n">
        <x:f>IF(COUNT(I738:O738)&lt;7,"",I738*8+J738*3+K738*2+L738*2+M738*2+N738*2+O738)</x:f>
        <x:v>54</x:v>
      </x:c>
      <x:c r="Q738" s="16" t="n">
        <x:f>IF(COUNT(J738:O738)&lt;6,"",J738*5+K738*4+M738*4+L738*3+N738*2+O738*2)</x:f>
        <x:v>80</x:v>
      </x:c>
      <x:c r="R738" s="14" t="str">
        <x:v>high</x:v>
      </x:c>
      <x:c r="S738" s="14" t="str">
        <x:v>official_prozorro_award_2025_2026</x:v>
      </x:c>
      <x:c r="T738" s="14" t="str">
        <x:v>official_prozorro_api</x:v>
      </x:c>
      <x:c r="U738" s="14" t="str">
        <x:v>Не контактували</x:v>
      </x:c>
      <x:c r="V738" s="15" t="str">
        <x:v>Workflow-audit outreach по UA-2026-03-24-003055-a; попросити 1 пакет здачі та вимоги проєкту</x:v>
      </x:c>
      <x:c r="W738" s="15" t="str">
        <x:v>Власник / виконавець; відповідальний за договір</x:v>
      </x:c>
      <x:c r="X738" s="15" t="str">
        <x:v>1 підтверджених перемог/договорів у Prozorro на 98 064 грн; 1 проєктів зі строком виконання не раніше 24.08.2026.</x:v>
      </x:c>
      <x:c r="Y738" s="15" t="str">
        <x:v>Послуги з монтажу/демонтажу холодильного обладнання; строк до 2026-12-31. Попросити один знеособлений пакет здачі за цим workflow.</x:v>
      </x:c>
      <x:c r="Z738" s="15" t="str">
        <x:v>https://prozorro.gov.ua/tender/UA-2026-03-24-003055-a</x:v>
      </x:c>
      <x:c r="AA738" s="14" t="str">
        <x:v>3017110871</x:v>
      </x:c>
      <x:c r="AB738" s="14" t="str">
        <x:v>2026-08-24</x:v>
      </x:c>
      <x:c r="AC738" s="14" t="str"/>
      <x:c r="AD738" s="20" t="str"/>
      <x:c r="AE738" s="14" t="str"/>
      <x:c r="AF738" s="14" t="n">
        <x:v>35</x:v>
      </x:c>
      <x:c r="AG738" s="14" t="str">
        <x:v>I3</x:v>
      </x:c>
      <x:c r="AH738" s="14" t="n">
        <x:v>1</x:v>
      </x:c>
      <x:c r="AI738" s="14" t="n">
        <x:v>1</x:v>
      </x:c>
      <x:c r="AJ738" s="18" t="n">
        <x:v>98064</x:v>
      </x:c>
      <x:c r="AK738" s="14" t="str">
        <x:v>https://prozorro.gov.ua/tender/UA-2026-03-24-003055-a</x:v>
      </x:c>
      <x:c r="AL738" s="19" t="n">
        <x:v>46105.356499421294</x:v>
      </x:c>
      <x:c r="AM738" s="19" t="n">
        <x:v>46387.35738425926</x:v>
      </x:c>
      <x:c r="AN738" s="15" t="str">
        <x:v>Промисловий холод</x:v>
      </x:c>
      <x:c r="AO738" s="15" t="str">
        <x:v>not_found_in_top_search</x:v>
      </x:c>
    </x:row>
    <x:row r="739">
      <x:c r="A739" s="14" t="str">
        <x:v>W3-467</x:v>
      </x:c>
      <x:c r="B739" s="14" t="str">
        <x:v>Prozorro winners — 24.08</x:v>
      </x:c>
      <x:c r="C739" s="14" t="str">
        <x:v>ПРИВАТНЕ ПІДПРИЄМСТВО "ІНСТАЛ ГРУП"</x:v>
      </x:c>
      <x:c r="D739" s="14" t="str">
        <x:v>Резервне живлення</x:v>
      </x:c>
      <x:c r="E739" s="14" t="str">
        <x:v>Expansion discovery</x:v>
      </x:c>
      <x:c r="F739" s="17" t="str">
        <x:f>IF(E739="Pilot now",IF(P739&gt;=84,"P1",IF(P739&gt;=72,"P2","P3")),IF(E739="Expansion discovery",IF(Q739&gt;=88,"D1",IF(Q739&gt;=78,"D2","D3")),IF(E739="Later / requirements","L","Legacy")))</x:f>
        <x:v>D2</x:v>
      </x:c>
      <x:c r="G739" s="14" t="str"/>
      <x:c r="H739" s="14" t="str">
        <x:v>Discovery розширення — 2 тижні</x:v>
      </x:c>
      <x:c r="I739" s="16" t="n">
        <x:v>1</x:v>
      </x:c>
      <x:c r="J739" s="16" t="n">
        <x:v>5</x:v>
      </x:c>
      <x:c r="K739" s="16" t="n">
        <x:v>4</x:v>
      </x:c>
      <x:c r="L739" s="16" t="n">
        <x:v>1</x:v>
      </x:c>
      <x:c r="M739" s="16" t="n">
        <x:v>5</x:v>
      </x:c>
      <x:c r="N739" s="16" t="n">
        <x:v>5</x:v>
      </x:c>
      <x:c r="O739" s="16" t="n">
        <x:v>5</x:v>
      </x:c>
      <x:c r="P739" s="16" t="n">
        <x:f>IF(COUNT(I739:O739)&lt;7,"",I739*8+J739*3+K739*2+L739*2+M739*2+N739*2+O739)</x:f>
        <x:v>58</x:v>
      </x:c>
      <x:c r="Q739" s="16" t="n">
        <x:f>IF(COUNT(J739:O739)&lt;6,"",J739*5+K739*4+M739*4+L739*3+N739*2+O739*2)</x:f>
        <x:v>84</x:v>
      </x:c>
      <x:c r="R739" s="14" t="str">
        <x:v>high</x:v>
      </x:c>
      <x:c r="S739" s="14" t="str">
        <x:v>official_prozorro_award_2025_2026</x:v>
      </x:c>
      <x:c r="T739" s="14" t="str">
        <x:v>official_prozorro_api</x:v>
      </x:c>
      <x:c r="U739" s="14" t="str">
        <x:v>Не контактували</x:v>
      </x:c>
      <x:c r="V739" s="15" t="str">
        <x:v>Workflow-audit outreach по UA-2025-12-10-001371-a; попросити 1 пакет здачі та вимоги проєкту</x:v>
      </x:c>
      <x:c r="W739" s="15" t="str">
        <x:v>Власник / директор; керівник ПТО; відповідальний за договори</x:v>
      </x:c>
      <x:c r="X739" s="15" t="str">
        <x:v>3 підтверджених перемог/договорів у Prozorro на 46 000 грн; 0 проєктів зі строком виконання не раніше 24.08.2026.</x:v>
      </x:c>
      <x:c r="Y739" s="15" t="str">
        <x:v>Електромонтажні роботи (послуги з монтажу системи безперебійного живлення); строк до 2025-12-31. Попросити один знеособлений пакет здачі за цим workflow.</x:v>
      </x:c>
      <x:c r="Z739" s="15" t="str">
        <x:v>https://prozorro.gov.ua/tender/UA-2025-12-10-001371-a</x:v>
      </x:c>
      <x:c r="AA739" s="14" t="str">
        <x:v>39812602</x:v>
      </x:c>
      <x:c r="AB739" s="14" t="str">
        <x:v>2026-08-24</x:v>
      </x:c>
      <x:c r="AC739" s="14" t="str"/>
      <x:c r="AD739" s="20" t="str"/>
      <x:c r="AE739" s="14" t="str"/>
      <x:c r="AF739" s="14" t="n">
        <x:v>35</x:v>
      </x:c>
      <x:c r="AG739" s="14" t="str">
        <x:v>I3</x:v>
      </x:c>
      <x:c r="AH739" s="14" t="n">
        <x:v>3</x:v>
      </x:c>
      <x:c r="AI739" s="14" t="n">
        <x:v>0</x:v>
      </x:c>
      <x:c r="AJ739" s="18" t="n">
        <x:v>46000</x:v>
      </x:c>
      <x:c r="AK739" s="14" t="str">
        <x:v>https://prozorro.gov.ua/tender/UA-2025-12-10-001371-a</x:v>
      </x:c>
      <x:c r="AL739" s="19" t="n">
        <x:v>46001.31072509259</x:v>
      </x:c>
      <x:c r="AM739" s="19" t="n">
        <x:v>46022.31108796296</x:v>
      </x:c>
      <x:c r="AN739" s="15" t="str">
        <x:v>Резервне живлення</x:v>
      </x:c>
      <x:c r="AO739" s="15" t="str">
        <x:v>not_found_in_top_search</x:v>
      </x:c>
    </x:row>
    <x:row r="740">
      <x:c r="A740" s="14" t="str">
        <x:v>W3-468</x:v>
      </x:c>
      <x:c r="B740" s="14" t="str">
        <x:v>Prozorro winners — 24.08</x:v>
      </x:c>
      <x:c r="C740" s="14" t="str">
        <x:v>МАКОВІЙ ОЛЕКСАНДР ВІКТОРОВИЧ</x:v>
      </x:c>
      <x:c r="D740" s="14" t="str">
        <x:v>Електромонтаж</x:v>
      </x:c>
      <x:c r="E740" s="14" t="str">
        <x:v>Pilot now</x:v>
      </x:c>
      <x:c r="F740" s="17" t="str">
        <x:f>IF(E740="Pilot now",IF(P740&gt;=84,"P1",IF(P740&gt;=72,"P2","P3")),IF(E740="Expansion discovery",IF(Q740&gt;=88,"D1",IF(Q740&gt;=78,"D2","D3")),IF(E740="Later / requirements","L","Legacy")))</x:f>
        <x:v>P1</x:v>
      </x:c>
      <x:c r="G740" s="14" t="str"/>
      <x:c r="H740" s="14" t="str">
        <x:v>Пілот зараз — Н.15</x:v>
      </x:c>
      <x:c r="I740" s="16" t="n">
        <x:v>5</x:v>
      </x:c>
      <x:c r="J740" s="16" t="n">
        <x:v>5</x:v>
      </x:c>
      <x:c r="K740" s="16" t="n">
        <x:v>5</x:v>
      </x:c>
      <x:c r="L740" s="16" t="n">
        <x:v>1</x:v>
      </x:c>
      <x:c r="M740" s="16" t="n">
        <x:v>5</x:v>
      </x:c>
      <x:c r="N740" s="16" t="n">
        <x:v>3</x:v>
      </x:c>
      <x:c r="O740" s="16" t="n">
        <x:v>5</x:v>
      </x:c>
      <x:c r="P740" s="16" t="n">
        <x:f>IF(COUNT(I740:O740)&lt;7,"",I740*8+J740*3+K740*2+L740*2+M740*2+N740*2+O740)</x:f>
        <x:v>88</x:v>
      </x:c>
      <x:c r="Q740" s="16" t="n">
        <x:f>IF(COUNT(J740:O740)&lt;6,"",J740*5+K740*4+M740*4+L740*3+N740*2+O740*2)</x:f>
        <x:v>84</x:v>
      </x:c>
      <x:c r="R740" s="14" t="str">
        <x:v>high</x:v>
      </x:c>
      <x:c r="S740" s="14" t="str">
        <x:v>official_prozorro_award_2025_2026</x:v>
      </x:c>
      <x:c r="T740" s="14" t="str">
        <x:v>official_prozorro_api</x:v>
      </x:c>
      <x:c r="U740" s="14" t="str">
        <x:v>Не контактували</x:v>
      </x:c>
      <x:c r="V740" s="15" t="str">
        <x:v>Персоналізований free-pilot outreach по UA-2026-02-02-000218-a; попросити 1 пакет Н.14/Н.15</x:v>
      </x:c>
      <x:c r="W740" s="15" t="str">
        <x:v>Власник / виконавець; відповідальний за договір</x:v>
      </x:c>
      <x:c r="X740" s="15" t="str">
        <x:v>1 підтверджених перемог/договорів у Prozorro на 22 315 грн; 1 проєктів зі строком виконання не раніше 24.08.2026.</x:v>
      </x:c>
      <x:c r="Y740" s="15" t="str">
        <x:v>Послуги щодо виконання електровимірювальних робіт (Вимірювання опору заземлюючих пристроїв електроустановок; визначення повного опору петлі "фаза-нуль" шляхом виміру повного опору петлі "фаза-нульовий захисний провідник" та узгодження параметрів ланцюга "фаза-нуль" з характеристиками пристроїв автоматичного відключення живлення; перевірка працездатності пристроїв захисного відключення; вимірювання перехідного опору між заземлюючими пристроями та елементами заземлення електроустановок; вимірювання опору їзоляції електрообладнання та електромереж); строк до 2026-12-31. Попросити один знеособлений пакет здачі за цим workflow.</x:v>
      </x:c>
      <x:c r="Z740" s="15" t="str">
        <x:v>https://prozorro.gov.ua/tender/UA-2026-02-02-000218-a</x:v>
      </x:c>
      <x:c r="AA740" s="14" t="str">
        <x:v>3225620512</x:v>
      </x:c>
      <x:c r="AB740" s="14" t="str">
        <x:v>2026-08-24</x:v>
      </x:c>
      <x:c r="AC740" s="14" t="str"/>
      <x:c r="AD740" s="20" t="str"/>
      <x:c r="AE740" s="14" t="str"/>
      <x:c r="AF740" s="14" t="n">
        <x:v>35</x:v>
      </x:c>
      <x:c r="AG740" s="14" t="str">
        <x:v>I3</x:v>
      </x:c>
      <x:c r="AH740" s="14" t="n">
        <x:v>1</x:v>
      </x:c>
      <x:c r="AI740" s="14" t="n">
        <x:v>1</x:v>
      </x:c>
      <x:c r="AJ740" s="18" t="n">
        <x:v>22315</x:v>
      </x:c>
      <x:c r="AK740" s="14" t="str">
        <x:v>https://prozorro.gov.ua/tender/UA-2026-02-02-000218-a</x:v>
      </x:c>
      <x:c r="AL740" s="19" t="n">
        <x:v>46055.277131284725</x:v>
      </x:c>
      <x:c r="AM740" s="19" t="n">
        <x:v>46387</x:v>
      </x:c>
      <x:c r="AN740" s="15" t="str">
        <x:v>Електромонтаж</x:v>
      </x:c>
      <x:c r="AO740" s="15" t="str">
        <x:v>not_found_in_top_search</x:v>
      </x:c>
    </x:row>
    <x:row r="741">
      <x:c r="A741" s="14" t="str">
        <x:v>W3-469</x:v>
      </x:c>
      <x:c r="B741" s="14" t="str">
        <x:v>Prozorro winners — 24.08</x:v>
      </x:c>
      <x:c r="C741" s="14" t="str">
        <x:v>ГАВРИЩУК ТЕТЯНА ЯРОСЛАВІВНА</x:v>
      </x:c>
      <x:c r="D741" s="14" t="str">
        <x:v>HVAC / ОВіК</x:v>
      </x:c>
      <x:c r="E741" s="14" t="str">
        <x:v>Pilot now</x:v>
      </x:c>
      <x:c r="F741" s="17" t="str">
        <x:f>IF(E741="Pilot now",IF(P741&gt;=84,"P1",IF(P741&gt;=72,"P2","P3")),IF(E741="Expansion discovery",IF(Q741&gt;=88,"D1",IF(Q741&gt;=78,"D2","D3")),IF(E741="Later / requirements","L","Legacy")))</x:f>
        <x:v>P1</x:v>
      </x:c>
      <x:c r="G741" s="14" t="str"/>
      <x:c r="H741" s="14" t="str">
        <x:v>Пілот зараз — Н.14</x:v>
      </x:c>
      <x:c r="I741" s="16" t="n">
        <x:v>5</x:v>
      </x:c>
      <x:c r="J741" s="16" t="n">
        <x:v>5</x:v>
      </x:c>
      <x:c r="K741" s="16" t="n">
        <x:v>5</x:v>
      </x:c>
      <x:c r="L741" s="16" t="n">
        <x:v>1</x:v>
      </x:c>
      <x:c r="M741" s="16" t="n">
        <x:v>5</x:v>
      </x:c>
      <x:c r="N741" s="16" t="n">
        <x:v>3</x:v>
      </x:c>
      <x:c r="O741" s="16" t="n">
        <x:v>5</x:v>
      </x:c>
      <x:c r="P741" s="16" t="n">
        <x:f>IF(COUNT(I741:O741)&lt;7,"",I741*8+J741*3+K741*2+L741*2+M741*2+N741*2+O741)</x:f>
        <x:v>88</x:v>
      </x:c>
      <x:c r="Q741" s="16" t="n">
        <x:f>IF(COUNT(J741:O741)&lt;6,"",J741*5+K741*4+M741*4+L741*3+N741*2+O741*2)</x:f>
        <x:v>84</x:v>
      </x:c>
      <x:c r="R741" s="14" t="str">
        <x:v>high</x:v>
      </x:c>
      <x:c r="S741" s="14" t="str">
        <x:v>official_prozorro_award_2025_2026</x:v>
      </x:c>
      <x:c r="T741" s="14" t="str">
        <x:v>official_prozorro_api</x:v>
      </x:c>
      <x:c r="U741" s="14" t="str">
        <x:v>Не контактували</x:v>
      </x:c>
      <x:c r="V741" s="15" t="str">
        <x:v>Персоналізований free-pilot outreach по UA-2026-03-11-009469-a; попросити 1 пакет Н.14/Н.15</x:v>
      </x:c>
      <x:c r="W741" s="15" t="str">
        <x:v>Власник / виконавець; відповідальний за договір</x:v>
      </x:c>
      <x:c r="X741" s="15" t="str">
        <x:v>1 підтверджених перемог/договорів у Prozorro на 21 058 грн; 1 проєктів зі строком виконання не раніше 24.08.2026.</x:v>
      </x:c>
      <x:c r="Y741" s="15" t="str">
        <x:v>Монтаж обладнання для системи вентиляції повітря; строк до 2026-12-31. Попросити один знеособлений пакет здачі за цим workflow.</x:v>
      </x:c>
      <x:c r="Z741" s="15" t="str">
        <x:v>https://prozorro.gov.ua/tender/UA-2026-03-11-009469-a</x:v>
      </x:c>
      <x:c r="AA741" s="14" t="str">
        <x:v>2964801488</x:v>
      </x:c>
      <x:c r="AB741" s="14" t="str">
        <x:v>2026-08-24</x:v>
      </x:c>
      <x:c r="AC741" s="14" t="str"/>
      <x:c r="AD741" s="20" t="str"/>
      <x:c r="AE741" s="14" t="str"/>
      <x:c r="AF741" s="14" t="n">
        <x:v>35</x:v>
      </x:c>
      <x:c r="AG741" s="14" t="str">
        <x:v>I3</x:v>
      </x:c>
      <x:c r="AH741" s="14" t="n">
        <x:v>1</x:v>
      </x:c>
      <x:c r="AI741" s="14" t="n">
        <x:v>1</x:v>
      </x:c>
      <x:c r="AJ741" s="18" t="n">
        <x:v>21058</x:v>
      </x:c>
      <x:c r="AK741" s="14" t="str">
        <x:v>https://prozorro.gov.ua/tender/UA-2026-03-11-009469-a</x:v>
      </x:c>
      <x:c r="AL741" s="19" t="n">
        <x:v>46092.52821265046</x:v>
      </x:c>
      <x:c r="AM741" s="19" t="n">
        <x:v>46387</x:v>
      </x:c>
      <x:c r="AN741" s="15" t="str">
        <x:v>HVAC / ОВіК</x:v>
      </x:c>
      <x:c r="AO741" s="15" t="str">
        <x:v>not_found_in_top_search</x:v>
      </x:c>
    </x:row>
    <x:row r="742">
      <x:c r="A742" s="14" t="str">
        <x:v>W3-470</x:v>
      </x:c>
      <x:c r="B742" s="14" t="str">
        <x:v>Prozorro winners — 24.08</x:v>
      </x:c>
      <x:c r="C742" s="14" t="str">
        <x:v>ФОП Ковальчук П. Я.</x:v>
      </x:c>
      <x:c r="D742" s="14" t="str">
        <x:v>Мости / інфраструктура</x:v>
      </x:c>
      <x:c r="E742" s="14" t="str">
        <x:v>Expansion discovery</x:v>
      </x:c>
      <x:c r="F742" s="17" t="str">
        <x:f>IF(E742="Pilot now",IF(P742&gt;=84,"P1",IF(P742&gt;=72,"P2","P3")),IF(E742="Expansion discovery",IF(Q742&gt;=88,"D1",IF(Q742&gt;=78,"D2","D3")),IF(E742="Later / requirements","L","Legacy")))</x:f>
        <x:v>D2</x:v>
      </x:c>
      <x:c r="G742" s="14" t="str"/>
      <x:c r="H742" s="14" t="str">
        <x:v>Discovery розширення — 2 тижні</x:v>
      </x:c>
      <x:c r="I742" s="16" t="n">
        <x:v>1</x:v>
      </x:c>
      <x:c r="J742" s="16" t="n">
        <x:v>5</x:v>
      </x:c>
      <x:c r="K742" s="16" t="n">
        <x:v>4</x:v>
      </x:c>
      <x:c r="L742" s="16" t="n">
        <x:v>1</x:v>
      </x:c>
      <x:c r="M742" s="16" t="n">
        <x:v>5</x:v>
      </x:c>
      <x:c r="N742" s="16" t="n">
        <x:v>3</x:v>
      </x:c>
      <x:c r="O742" s="16" t="n">
        <x:v>5</x:v>
      </x:c>
      <x:c r="P742" s="16" t="n">
        <x:f>IF(COUNT(I742:O742)&lt;7,"",I742*8+J742*3+K742*2+L742*2+M742*2+N742*2+O742)</x:f>
        <x:v>54</x:v>
      </x:c>
      <x:c r="Q742" s="16" t="n">
        <x:f>IF(COUNT(J742:O742)&lt;6,"",J742*5+K742*4+M742*4+L742*3+N742*2+O742*2)</x:f>
        <x:v>80</x:v>
      </x:c>
      <x:c r="R742" s="14" t="str">
        <x:v>high</x:v>
      </x:c>
      <x:c r="S742" s="14" t="str">
        <x:v>official_prozorro_award_2025_2026</x:v>
      </x:c>
      <x:c r="T742" s="14" t="str">
        <x:v>official_prozorro_api</x:v>
      </x:c>
      <x:c r="U742" s="14" t="str">
        <x:v>Не контактували</x:v>
      </x:c>
      <x:c r="V742" s="15" t="str">
        <x:v>Workflow-audit outreach по UA-2026-04-17-004350-a; попросити 1 пакет здачі та вимоги проєкту</x:v>
      </x:c>
      <x:c r="W742" s="15" t="str">
        <x:v>Власник / виконавець; відповідальний за договір</x:v>
      </x:c>
      <x:c r="X742" s="15" t="str">
        <x:v>1 підтверджених перемог/договорів у Prozorro на 18 700 грн; 1 проєктів зі строком виконання не раніше 24.08.2026.</x:v>
      </x:c>
      <x:c r="Y742" s="15" t="str">
        <x:v>Ремонт заднього моста автобуса KING LONG; строк до 2026-12-31. Попросити один знеособлений пакет здачі за цим workflow.</x:v>
      </x:c>
      <x:c r="Z742" s="15" t="str">
        <x:v>https://prozorro.gov.ua/tender/UA-2026-04-17-004350-a</x:v>
      </x:c>
      <x:c r="AA742" s="14" t="str">
        <x:v>3529106677</x:v>
      </x:c>
      <x:c r="AB742" s="14" t="str">
        <x:v>2026-08-24</x:v>
      </x:c>
      <x:c r="AC742" s="14" t="str"/>
      <x:c r="AD742" s="20" t="str"/>
      <x:c r="AE742" s="14" t="str"/>
      <x:c r="AF742" s="14" t="n">
        <x:v>35</x:v>
      </x:c>
      <x:c r="AG742" s="14" t="str">
        <x:v>I3</x:v>
      </x:c>
      <x:c r="AH742" s="14" t="n">
        <x:v>1</x:v>
      </x:c>
      <x:c r="AI742" s="14" t="n">
        <x:v>1</x:v>
      </x:c>
      <x:c r="AJ742" s="18" t="n">
        <x:v>18700</x:v>
      </x:c>
      <x:c r="AK742" s="14" t="str">
        <x:v>https://prozorro.gov.ua/tender/UA-2026-04-17-004350-a</x:v>
      </x:c>
      <x:c r="AL742" s="19" t="n">
        <x:v>46129.35597673611</x:v>
      </x:c>
      <x:c r="AM742" s="19" t="n">
        <x:v>46387.39959490741</x:v>
      </x:c>
      <x:c r="AN742" s="15" t="str">
        <x:v>Мости / інфраструктура</x:v>
      </x:c>
      <x:c r="AO742" s="15" t="str">
        <x:v>not_found_in_top_search</x:v>
      </x:c>
    </x:row>
    <x:row r="743">
      <x:c r="A743" s="14" t="str">
        <x:v>W3-471</x:v>
      </x:c>
      <x:c r="B743" s="14" t="str">
        <x:v>Prozorro winners — 24.08</x:v>
      </x:c>
      <x:c r="C743" s="14" t="str">
        <x:v>ВІТИК ТАРАС РОМАНОВИЧ</x:v>
      </x:c>
      <x:c r="D743" s="14" t="str">
        <x:v>Безпека / СКУД / CCTV</x:v>
      </x:c>
      <x:c r="E743" s="14" t="str">
        <x:v>Expansion discovery</x:v>
      </x:c>
      <x:c r="F743" s="17" t="str">
        <x:f>IF(E743="Pilot now",IF(P743&gt;=84,"P1",IF(P743&gt;=72,"P2","P3")),IF(E743="Expansion discovery",IF(Q743&gt;=88,"D1",IF(Q743&gt;=78,"D2","D3")),IF(E743="Later / requirements","L","Legacy")))</x:f>
        <x:v>D2</x:v>
      </x:c>
      <x:c r="G743" s="14" t="str"/>
      <x:c r="H743" s="14" t="str">
        <x:v>Discovery розширення — 2 тижні</x:v>
      </x:c>
      <x:c r="I743" s="16" t="n">
        <x:v>1</x:v>
      </x:c>
      <x:c r="J743" s="16" t="n">
        <x:v>5</x:v>
      </x:c>
      <x:c r="K743" s="16" t="n">
        <x:v>4</x:v>
      </x:c>
      <x:c r="L743" s="16" t="n">
        <x:v>1</x:v>
      </x:c>
      <x:c r="M743" s="16" t="n">
        <x:v>5</x:v>
      </x:c>
      <x:c r="N743" s="16" t="n">
        <x:v>3</x:v>
      </x:c>
      <x:c r="O743" s="16" t="n">
        <x:v>5</x:v>
      </x:c>
      <x:c r="P743" s="16" t="n">
        <x:f>IF(COUNT(I743:O743)&lt;7,"",I743*8+J743*3+K743*2+L743*2+M743*2+N743*2+O743)</x:f>
        <x:v>54</x:v>
      </x:c>
      <x:c r="Q743" s="16" t="n">
        <x:f>IF(COUNT(J743:O743)&lt;6,"",J743*5+K743*4+M743*4+L743*3+N743*2+O743*2)</x:f>
        <x:v>80</x:v>
      </x:c>
      <x:c r="R743" s="14" t="str">
        <x:v>high</x:v>
      </x:c>
      <x:c r="S743" s="14" t="str">
        <x:v>official_prozorro_award_2025_2026</x:v>
      </x:c>
      <x:c r="T743" s="14" t="str">
        <x:v>official_prozorro_api</x:v>
      </x:c>
      <x:c r="U743" s="14" t="str">
        <x:v>Не контактували</x:v>
      </x:c>
      <x:c r="V743" s="15" t="str">
        <x:v>Workflow-audit outreach по UA-2026-04-07-008585-a; попросити 1 пакет здачі та вимоги проєкту</x:v>
      </x:c>
      <x:c r="W743" s="15" t="str">
        <x:v>Власник / виконавець; відповідальний за договір</x:v>
      </x:c>
      <x:c r="X743" s="15" t="str">
        <x:v>1 підтверджених перемог/договорів у Prozorro на 14 387 грн; 1 проєктів зі строком виконання не раніше 24.08.2026.</x:v>
      </x:c>
      <x:c r="Y743" s="15" t="str">
        <x:v>Послуги з монтажу та налагоджування системи контролю доступу по вул.Стефаника,2; строк до 2026-12-31. Попросити один знеособлений пакет здачі за цим workflow.</x:v>
      </x:c>
      <x:c r="Z743" s="15" t="str">
        <x:v>https://prozorro.gov.ua/tender/UA-2026-04-07-008585-a</x:v>
      </x:c>
      <x:c r="AA743" s="14" t="str">
        <x:v>2746811436</x:v>
      </x:c>
      <x:c r="AB743" s="14" t="str">
        <x:v>2026-08-24</x:v>
      </x:c>
      <x:c r="AC743" s="14" t="str"/>
      <x:c r="AD743" s="20" t="str"/>
      <x:c r="AE743" s="14" t="str"/>
      <x:c r="AF743" s="14" t="n">
        <x:v>35</x:v>
      </x:c>
      <x:c r="AG743" s="14" t="str">
        <x:v>I3</x:v>
      </x:c>
      <x:c r="AH743" s="14" t="n">
        <x:v>1</x:v>
      </x:c>
      <x:c r="AI743" s="14" t="n">
        <x:v>1</x:v>
      </x:c>
      <x:c r="AJ743" s="18" t="n">
        <x:v>14387.31</x:v>
      </x:c>
      <x:c r="AK743" s="14" t="str">
        <x:v>https://prozorro.gov.ua/tender/UA-2026-04-07-008585-a</x:v>
      </x:c>
      <x:c r="AL743" s="19" t="n">
        <x:v>46119.47239679398</x:v>
      </x:c>
      <x:c r="AM743" s="19" t="n">
        <x:v>46387</x:v>
      </x:c>
      <x:c r="AN743" s="15" t="str">
        <x:v>Безпека / СКУД / CCTV</x:v>
      </x:c>
      <x:c r="AO743" s="15" t="str">
        <x:v>not_found_in_top_search</x:v>
      </x:c>
    </x:row>
    <x:row r="744">
      <x:c r="A744" s="14" t="str">
        <x:v>W3-472</x:v>
      </x:c>
      <x:c r="B744" s="14" t="str">
        <x:v>Prozorro winners — 24.08</x:v>
      </x:c>
      <x:c r="C744" s="14" t="str">
        <x:v>ФОП "Іванов Р.О."</x:v>
      </x:c>
      <x:c r="D744" s="14" t="str">
        <x:v>Промисловий холод</x:v>
      </x:c>
      <x:c r="E744" s="14" t="str">
        <x:v>Expansion discovery</x:v>
      </x:c>
      <x:c r="F744" s="17" t="str">
        <x:f>IF(E744="Pilot now",IF(P744&gt;=84,"P1",IF(P744&gt;=72,"P2","P3")),IF(E744="Expansion discovery",IF(Q744&gt;=88,"D1",IF(Q744&gt;=78,"D2","D3")),IF(E744="Later / requirements","L","Legacy")))</x:f>
        <x:v>D2</x:v>
      </x:c>
      <x:c r="G744" s="14" t="str"/>
      <x:c r="H744" s="14" t="str">
        <x:v>Discovery розширення — 2 тижні</x:v>
      </x:c>
      <x:c r="I744" s="16" t="n">
        <x:v>1</x:v>
      </x:c>
      <x:c r="J744" s="16" t="n">
        <x:v>5</x:v>
      </x:c>
      <x:c r="K744" s="16" t="n">
        <x:v>4</x:v>
      </x:c>
      <x:c r="L744" s="16" t="n">
        <x:v>1</x:v>
      </x:c>
      <x:c r="M744" s="16" t="n">
        <x:v>5</x:v>
      </x:c>
      <x:c r="N744" s="16" t="n">
        <x:v>3</x:v>
      </x:c>
      <x:c r="O744" s="16" t="n">
        <x:v>5</x:v>
      </x:c>
      <x:c r="P744" s="16" t="n">
        <x:f>IF(COUNT(I744:O744)&lt;7,"",I744*8+J744*3+K744*2+L744*2+M744*2+N744*2+O744)</x:f>
        <x:v>54</x:v>
      </x:c>
      <x:c r="Q744" s="16" t="n">
        <x:f>IF(COUNT(J744:O744)&lt;6,"",J744*5+K744*4+M744*4+L744*3+N744*2+O744*2)</x:f>
        <x:v>80</x:v>
      </x:c>
      <x:c r="R744" s="14" t="str">
        <x:v>high</x:v>
      </x:c>
      <x:c r="S744" s="14" t="str">
        <x:v>official_prozorro_award_2025_2026</x:v>
      </x:c>
      <x:c r="T744" s="14" t="str">
        <x:v>official_prozorro_api</x:v>
      </x:c>
      <x:c r="U744" s="14" t="str">
        <x:v>Не контактували</x:v>
      </x:c>
      <x:c r="V744" s="15" t="str">
        <x:v>Workflow-audit outreach по UA-2026-03-03-000950-a; попросити 1 пакет здачі та вимоги проєкту</x:v>
      </x:c>
      <x:c r="W744" s="15" t="str">
        <x:v>Власник / виконавець; відповідальний за договір</x:v>
      </x:c>
      <x:c r="X744" s="15" t="str">
        <x:v>1 підтверджених перемог/договорів у Prozorro на 11 500 грн; 1 проєктів зі строком виконання не раніше 24.08.2026.</x:v>
      </x:c>
      <x:c r="Y744" s="15" t="str">
        <x:v>Монтаж та технічне обслуговування холодильного обладнання (холодильний кулбаїн Olmo ECO-COOL S3.1k).; строк до 2026-12-21. Попросити один знеособлений пакет здачі за цим workflow.</x:v>
      </x:c>
      <x:c r="Z744" s="15" t="str">
        <x:v>https://prozorro.gov.ua/tender/UA-2026-03-03-000950-a</x:v>
      </x:c>
      <x:c r="AA744" s="14" t="str">
        <x:v>2645312176</x:v>
      </x:c>
      <x:c r="AB744" s="14" t="str">
        <x:v>2026-08-24</x:v>
      </x:c>
      <x:c r="AC744" s="14" t="str"/>
      <x:c r="AD744" s="20" t="str"/>
      <x:c r="AE744" s="14" t="str"/>
      <x:c r="AF744" s="14" t="n">
        <x:v>35</x:v>
      </x:c>
      <x:c r="AG744" s="14" t="str">
        <x:v>I3</x:v>
      </x:c>
      <x:c r="AH744" s="14" t="n">
        <x:v>1</x:v>
      </x:c>
      <x:c r="AI744" s="14" t="n">
        <x:v>1</x:v>
      </x:c>
      <x:c r="AJ744" s="18" t="n">
        <x:v>11500</x:v>
      </x:c>
      <x:c r="AK744" s="14" t="str">
        <x:v>https://prozorro.gov.ua/tender/UA-2026-03-03-000950-a</x:v>
      </x:c>
      <x:c r="AL744" s="19" t="n">
        <x:v>46084.31268465278</x:v>
      </x:c>
      <x:c r="AM744" s="19" t="n">
        <x:v>46377.31267361111</x:v>
      </x:c>
      <x:c r="AN744" s="15" t="str">
        <x:v>Промисловий холод</x:v>
      </x:c>
      <x:c r="AO744" s="15" t="str">
        <x:v>not_found_in_top_search</x:v>
      </x:c>
    </x:row>
    <x:row r="745">
      <x:c r="A745" s="14" t="str">
        <x:v>W3-473</x:v>
      </x:c>
      <x:c r="B745" s="14" t="str">
        <x:v>Prozorro winners — 24.08</x:v>
      </x:c>
      <x:c r="C745" s="14" t="str">
        <x:v>ПОДОЛЯКА АНАТОЛІЙ МИКОЛАЙОВИЧ</x:v>
      </x:c>
      <x:c r="D745" s="14" t="str">
        <x:v>Електромонтаж</x:v>
      </x:c>
      <x:c r="E745" s="14" t="str">
        <x:v>Pilot now</x:v>
      </x:c>
      <x:c r="F745" s="17" t="str">
        <x:f>IF(E745="Pilot now",IF(P745&gt;=84,"P1",IF(P745&gt;=72,"P2","P3")),IF(E745="Expansion discovery",IF(Q745&gt;=88,"D1",IF(Q745&gt;=78,"D2","D3")),IF(E745="Later / requirements","L","Legacy")))</x:f>
        <x:v>P1</x:v>
      </x:c>
      <x:c r="G745" s="14" t="str"/>
      <x:c r="H745" s="14" t="str">
        <x:v>Пілот зараз — Н.15</x:v>
      </x:c>
      <x:c r="I745" s="16" t="n">
        <x:v>5</x:v>
      </x:c>
      <x:c r="J745" s="16" t="n">
        <x:v>5</x:v>
      </x:c>
      <x:c r="K745" s="16" t="n">
        <x:v>5</x:v>
      </x:c>
      <x:c r="L745" s="16" t="n">
        <x:v>1</x:v>
      </x:c>
      <x:c r="M745" s="16" t="n">
        <x:v>5</x:v>
      </x:c>
      <x:c r="N745" s="16" t="n">
        <x:v>3</x:v>
      </x:c>
      <x:c r="O745" s="16" t="n">
        <x:v>5</x:v>
      </x:c>
      <x:c r="P745" s="16" t="n">
        <x:f>IF(COUNT(I745:O745)&lt;7,"",I745*8+J745*3+K745*2+L745*2+M745*2+N745*2+O745)</x:f>
        <x:v>88</x:v>
      </x:c>
      <x:c r="Q745" s="16" t="n">
        <x:f>IF(COUNT(J745:O745)&lt;6,"",J745*5+K745*4+M745*4+L745*3+N745*2+O745*2)</x:f>
        <x:v>84</x:v>
      </x:c>
      <x:c r="R745" s="14" t="str">
        <x:v>high</x:v>
      </x:c>
      <x:c r="S745" s="14" t="str">
        <x:v>official_prozorro_award_2025_2026</x:v>
      </x:c>
      <x:c r="T745" s="14" t="str">
        <x:v>official_prozorro_api</x:v>
      </x:c>
      <x:c r="U745" s="14" t="str">
        <x:v>Не контактували</x:v>
      </x:c>
      <x:c r="V745" s="15" t="str">
        <x:v>Персоналізований free-pilot outreach по UA-2026-01-09-007123-a; попросити 1 пакет Н.14/Н.15</x:v>
      </x:c>
      <x:c r="W745" s="15" t="str">
        <x:v>Власник / виконавець; відповідальний за договір</x:v>
      </x:c>
      <x:c r="X745" s="15" t="str">
        <x:v>2 підтверджених перемог/договорів у Prozorro на 8 300 грн; 0 проєктів зі строком виконання не раніше 24.08.2026.</x:v>
      </x:c>
      <x:c r="Y745" s="15" t="str">
        <x:v>ДК 021:2015: 71630000-3 Послуги з технічного огляду та випробовувань (електровимірювальні роботи (ЕР) по вимірюванню опору: контуру заземлення блискавозахисту та виготовлення паспорту блискавозахисту); строк до 2026-01-31. Попросити один знеособлений пакет здачі за цим workflow.</x:v>
      </x:c>
      <x:c r="Z745" s="15" t="str">
        <x:v>https://prozorro.gov.ua/tender/UA-2026-01-09-007123-a</x:v>
      </x:c>
      <x:c r="AA745" s="14" t="str">
        <x:v>2099304597</x:v>
      </x:c>
      <x:c r="AB745" s="14" t="str">
        <x:v>2026-08-24</x:v>
      </x:c>
      <x:c r="AC745" s="14" t="str"/>
      <x:c r="AD745" s="20" t="str"/>
      <x:c r="AE745" s="14" t="str"/>
      <x:c r="AF745" s="14" t="n">
        <x:v>35</x:v>
      </x:c>
      <x:c r="AG745" s="14" t="str">
        <x:v>I3</x:v>
      </x:c>
      <x:c r="AH745" s="14" t="n">
        <x:v>2</x:v>
      </x:c>
      <x:c r="AI745" s="14" t="n">
        <x:v>0</x:v>
      </x:c>
      <x:c r="AJ745" s="18" t="n">
        <x:v>8300</x:v>
      </x:c>
      <x:c r="AK745" s="14" t="str">
        <x:v>https://prozorro.gov.ua/tender/UA-2026-01-09-007123-a</x:v>
      </x:c>
      <x:c r="AL745" s="19" t="n">
        <x:v>46031.57680336806</x:v>
      </x:c>
      <x:c r="AM745" s="19" t="n">
        <x:v>46053</x:v>
      </x:c>
      <x:c r="AN745" s="15" t="str">
        <x:v>Електромонтаж</x:v>
      </x:c>
      <x:c r="AO745" s="15" t="str">
        <x:v>not_found_in_top_search</x:v>
      </x:c>
    </x:row>
    <x:row r="746">
      <x:c r="A746" s="14" t="str">
        <x:v>W3-474</x:v>
      </x:c>
      <x:c r="B746" s="14" t="str">
        <x:v>Prozorro winners — 24.08</x:v>
      </x:c>
      <x:c r="C746" s="14" t="str">
        <x:v>ТОВАРИСТВО З ОБМЕЖЕНОЮ ВІД­ПО­ВІД­АЛЬ­НІ­СТЮ «БУДІВЕЛЬНІ СПОРУДИ МІСТА»</x:v>
      </x:c>
      <x:c r="D746" s="14" t="str">
        <x:v>ГНБ / безтраншейні роботи</x:v>
      </x:c>
      <x:c r="E746" s="14" t="str">
        <x:v>Expansion discovery</x:v>
      </x:c>
      <x:c r="F746" s="17" t="str">
        <x:f>IF(E746="Pilot now",IF(P746&gt;=84,"P1",IF(P746&gt;=72,"P2","P3")),IF(E746="Expansion discovery",IF(Q746&gt;=88,"D1",IF(Q746&gt;=78,"D2","D3")),IF(E746="Later / requirements","L","Legacy")))</x:f>
        <x:v>D2</x:v>
      </x:c>
      <x:c r="G746" s="14" t="str"/>
      <x:c r="H746" s="14" t="str">
        <x:v>Discovery розширення — 2 тижні</x:v>
      </x:c>
      <x:c r="I746" s="16" t="n">
        <x:v>1</x:v>
      </x:c>
      <x:c r="J746" s="16" t="n">
        <x:v>5</x:v>
      </x:c>
      <x:c r="K746" s="16" t="n">
        <x:v>4</x:v>
      </x:c>
      <x:c r="L746" s="16" t="n">
        <x:v>2</x:v>
      </x:c>
      <x:c r="M746" s="16" t="n">
        <x:v>5</x:v>
      </x:c>
      <x:c r="N746" s="16" t="n">
        <x:v>5</x:v>
      </x:c>
      <x:c r="O746" s="16" t="n">
        <x:v>5</x:v>
      </x:c>
      <x:c r="P746" s="16" t="n">
        <x:f>IF(COUNT(I746:O746)&lt;7,"",I746*8+J746*3+K746*2+L746*2+M746*2+N746*2+O746)</x:f>
        <x:v>60</x:v>
      </x:c>
      <x:c r="Q746" s="16" t="n">
        <x:f>IF(COUNT(J746:O746)&lt;6,"",J746*5+K746*4+M746*4+L746*3+N746*2+O746*2)</x:f>
        <x:v>87</x:v>
      </x:c>
      <x:c r="R746" s="14" t="str">
        <x:v>high</x:v>
      </x:c>
      <x:c r="S746" s="14" t="str">
        <x:v>official_prozorro_award_2025_2026</x:v>
      </x:c>
      <x:c r="T746" s="14" t="str">
        <x:v>official_prozorro_api</x:v>
      </x:c>
      <x:c r="U746" s="14" t="str">
        <x:v>Не контактували</x:v>
      </x:c>
      <x:c r="V746" s="15" t="str">
        <x:v>Workflow-audit outreach по UA-2025-12-18-018759-a; попросити 1 пакет здачі та вимоги проєкту</x:v>
      </x:c>
      <x:c r="W746" s="15" t="str">
        <x:v>Власник / директор; керівник ПТО; відповідальний за договори</x:v>
      </x:c>
      <x:c r="X746" s="15" t="str">
        <x:v>2 підтверджених перемог/договорів у Prozorro на 333 690 грн; 0 проєктів зі строком виконання не раніше 24.08.2026.</x:v>
      </x:c>
      <x:c r="Y746" s="15" t="str">
        <x:v>Поточний ремонт частини водопроводу по вул. Житомирська, 85 методом горизонтально-направленого буріння в м. Звягель Житомирської області; строк до 2025-12-19. Попросити один знеособлений пакет здачі за цим workflow.</x:v>
      </x:c>
      <x:c r="Z746" s="15" t="str">
        <x:v>https://prozorro.gov.ua/tender/UA-2025-12-18-018759-a</x:v>
      </x:c>
      <x:c r="AA746" s="14" t="str">
        <x:v>43037877</x:v>
      </x:c>
      <x:c r="AB746" s="14" t="str">
        <x:v>2026-08-24</x:v>
      </x:c>
      <x:c r="AC746" s="14" t="str"/>
      <x:c r="AD746" s="20" t="str"/>
      <x:c r="AE746" s="14" t="str"/>
      <x:c r="AF746" s="14" t="n">
        <x:v>34</x:v>
      </x:c>
      <x:c r="AG746" s="14" t="str">
        <x:v>I3</x:v>
      </x:c>
      <x:c r="AH746" s="14" t="n">
        <x:v>2</x:v>
      </x:c>
      <x:c r="AI746" s="14" t="n">
        <x:v>0</x:v>
      </x:c>
      <x:c r="AJ746" s="18" t="n">
        <x:v>333690</x:v>
      </x:c>
      <x:c r="AK746" s="14" t="str">
        <x:v>https://prozorro.gov.ua/tender/UA-2025-12-18-018759-a</x:v>
      </x:c>
      <x:c r="AL746" s="19" t="n">
        <x:v>46009.57103386574</x:v>
      </x:c>
      <x:c r="AM746" s="19" t="n">
        <x:v>46010</x:v>
      </x:c>
      <x:c r="AN746" s="15" t="str">
        <x:v>ГНБ / безтраншейні роботи</x:v>
      </x:c>
      <x:c r="AO746" s="15" t="str">
        <x:v>not_found_in_top_search</x:v>
      </x:c>
    </x:row>
    <x:row r="747">
      <x:c r="A747" s="14" t="str">
        <x:v>W3-475</x:v>
      </x:c>
      <x:c r="B747" s="14" t="str">
        <x:v>Prozorro winners — 24.08</x:v>
      </x:c>
      <x:c r="C747" s="14" t="str">
        <x:v>ФОП АЛФІМОВ ІГОР ДМИТРОВИЧ</x:v>
      </x:c>
      <x:c r="D747" s="14" t="str">
        <x:v>Електромонтаж</x:v>
      </x:c>
      <x:c r="E747" s="14" t="str">
        <x:v>Pilot now</x:v>
      </x:c>
      <x:c r="F747" s="17" t="str">
        <x:f>IF(E747="Pilot now",IF(P747&gt;=84,"P1",IF(P747&gt;=72,"P2","P3")),IF(E747="Expansion discovery",IF(Q747&gt;=88,"D1",IF(Q747&gt;=78,"D2","D3")),IF(E747="Later / requirements","L","Legacy")))</x:f>
        <x:v>P1</x:v>
      </x:c>
      <x:c r="G747" s="14" t="str"/>
      <x:c r="H747" s="14" t="str">
        <x:v>Пілот зараз — Н.15</x:v>
      </x:c>
      <x:c r="I747" s="16" t="n">
        <x:v>5</x:v>
      </x:c>
      <x:c r="J747" s="16" t="n">
        <x:v>5</x:v>
      </x:c>
      <x:c r="K747" s="16" t="n">
        <x:v>5</x:v>
      </x:c>
      <x:c r="L747" s="16" t="n">
        <x:v>2</x:v>
      </x:c>
      <x:c r="M747" s="16" t="n">
        <x:v>5</x:v>
      </x:c>
      <x:c r="N747" s="16" t="n">
        <x:v>3</x:v>
      </x:c>
      <x:c r="O747" s="16" t="n">
        <x:v>5</x:v>
      </x:c>
      <x:c r="P747" s="16" t="n">
        <x:f>IF(COUNT(I747:O747)&lt;7,"",I747*8+J747*3+K747*2+L747*2+M747*2+N747*2+O747)</x:f>
        <x:v>90</x:v>
      </x:c>
      <x:c r="Q747" s="16" t="n">
        <x:f>IF(COUNT(J747:O747)&lt;6,"",J747*5+K747*4+M747*4+L747*3+N747*2+O747*2)</x:f>
        <x:v>87</x:v>
      </x:c>
      <x:c r="R747" s="14" t="str">
        <x:v>high</x:v>
      </x:c>
      <x:c r="S747" s="14" t="str">
        <x:v>official_prozorro_award_2025_2026</x:v>
      </x:c>
      <x:c r="T747" s="14" t="str">
        <x:v>official_prozorro_api</x:v>
      </x:c>
      <x:c r="U747" s="14" t="str">
        <x:v>Не контактували</x:v>
      </x:c>
      <x:c r="V747" s="15" t="str">
        <x:v>Персоналізований free-pilot outreach по UA-2026-04-21-004189-a; попросити 1 пакет Н.14/Н.15</x:v>
      </x:c>
      <x:c r="W747" s="15" t="str">
        <x:v>Власник / виконавець; відповідальний за договір</x:v>
      </x:c>
      <x:c r="X747" s="15" t="str">
        <x:v>1 підтверджених перемог/договорів у Prozorro на 198 570 грн; 0 проєктів зі строком виконання не раніше 24.08.2026.</x:v>
      </x:c>
      <x:c r="Y747" s="15" t="str">
        <x:v>ДК 021:2015 код 45310000-3 Електромонтажні роботи (Поточний ремонт внутрішніх електричних мереж Козирського ліцею, що розташований за адресою: Миколаївський район, Миколаївська область, село Козирка, вул. Шкільна, 1-В - ДК 021:2015 код 45311100-1 Монтаж електропроводки) ; строк до 2026-05-15. Попросити один знеособлений пакет здачі за цим workflow.</x:v>
      </x:c>
      <x:c r="Z747" s="15" t="str">
        <x:v>https://prozorro.gov.ua/tender/UA-2026-04-21-004189-a</x:v>
      </x:c>
      <x:c r="AA747" s="14" t="str">
        <x:v>3413506156</x:v>
      </x:c>
      <x:c r="AB747" s="14" t="str">
        <x:v>2026-08-24</x:v>
      </x:c>
      <x:c r="AC747" s="14" t="str"/>
      <x:c r="AD747" s="20" t="str"/>
      <x:c r="AE747" s="14" t="str"/>
      <x:c r="AF747" s="14" t="n">
        <x:v>34</x:v>
      </x:c>
      <x:c r="AG747" s="14" t="str">
        <x:v>I3</x:v>
      </x:c>
      <x:c r="AH747" s="14" t="n">
        <x:v>1</x:v>
      </x:c>
      <x:c r="AI747" s="14" t="n">
        <x:v>0</x:v>
      </x:c>
      <x:c r="AJ747" s="18" t="n">
        <x:v>198569.6</x:v>
      </x:c>
      <x:c r="AK747" s="14" t="str">
        <x:v>https://prozorro.gov.ua/tender/UA-2026-04-21-004189-a</x:v>
      </x:c>
      <x:c r="AL747" s="19" t="n">
        <x:v>46133.36862380787</x:v>
      </x:c>
      <x:c r="AM747" s="19" t="n">
        <x:v>46157</x:v>
      </x:c>
      <x:c r="AN747" s="15" t="str">
        <x:v>Електромонтаж</x:v>
      </x:c>
      <x:c r="AO747" s="15" t="str">
        <x:v>not_found_in_top_search</x:v>
      </x:c>
    </x:row>
    <x:row r="748">
      <x:c r="A748" s="14" t="str">
        <x:v>W3-476</x:v>
      </x:c>
      <x:c r="B748" s="14" t="str">
        <x:v>Prozorro winners — 24.08</x:v>
      </x:c>
      <x:c r="C748" s="14" t="str">
        <x:v>ПП "Компанія Інсталбуд"</x:v>
      </x:c>
      <x:c r="D748" s="14" t="str">
        <x:v>ГНБ / безтраншейні роботи</x:v>
      </x:c>
      <x:c r="E748" s="14" t="str">
        <x:v>Expansion discovery</x:v>
      </x:c>
      <x:c r="F748" s="17" t="str">
        <x:f>IF(E748="Pilot now",IF(P748&gt;=84,"P1",IF(P748&gt;=72,"P2","P3")),IF(E748="Expansion discovery",IF(Q748&gt;=88,"D1",IF(Q748&gt;=78,"D2","D3")),IF(E748="Later / requirements","L","Legacy")))</x:f>
        <x:v>D2</x:v>
      </x:c>
      <x:c r="G748" s="14" t="str"/>
      <x:c r="H748" s="14" t="str">
        <x:v>Discovery розширення — 2 тижні</x:v>
      </x:c>
      <x:c r="I748" s="16" t="n">
        <x:v>1</x:v>
      </x:c>
      <x:c r="J748" s="16" t="n">
        <x:v>5</x:v>
      </x:c>
      <x:c r="K748" s="16" t="n">
        <x:v>4</x:v>
      </x:c>
      <x:c r="L748" s="16" t="n">
        <x:v>2</x:v>
      </x:c>
      <x:c r="M748" s="16" t="n">
        <x:v>5</x:v>
      </x:c>
      <x:c r="N748" s="16" t="n">
        <x:v>5</x:v>
      </x:c>
      <x:c r="O748" s="16" t="n">
        <x:v>5</x:v>
      </x:c>
      <x:c r="P748" s="16" t="n">
        <x:f>IF(COUNT(I748:O748)&lt;7,"",I748*8+J748*3+K748*2+L748*2+M748*2+N748*2+O748)</x:f>
        <x:v>60</x:v>
      </x:c>
      <x:c r="Q748" s="16" t="n">
        <x:f>IF(COUNT(J748:O748)&lt;6,"",J748*5+K748*4+M748*4+L748*3+N748*2+O748*2)</x:f>
        <x:v>87</x:v>
      </x:c>
      <x:c r="R748" s="14" t="str">
        <x:v>high</x:v>
      </x:c>
      <x:c r="S748" s="14" t="str">
        <x:v>official_prozorro_award_2025_2026</x:v>
      </x:c>
      <x:c r="T748" s="14" t="str">
        <x:v>official_prozorro_api</x:v>
      </x:c>
      <x:c r="U748" s="14" t="str">
        <x:v>Не контактували</x:v>
      </x:c>
      <x:c r="V748" s="15" t="str">
        <x:v>Workflow-audit outreach по UA-2025-09-02-003676-a; попросити 1 пакет здачі та вимоги проєкту</x:v>
      </x:c>
      <x:c r="W748" s="15" t="str">
        <x:v>Власник / директор; керівник ПТО; відповідальний за договори</x:v>
      </x:c>
      <x:c r="X748" s="15" t="str">
        <x:v>2 підтверджених перемог/договорів у Prozorro на 148 477 грн; 0 проєктів зі строком виконання не раніше 24.08.2026.</x:v>
      </x:c>
      <x:c r="Y748" s="15" t="str">
        <x:v>Поточний ремонт водопроводу по вул. Сокальська, 2 в м.Шептицький Львівської області (Перехід доріг методом горизонтально-направленого буріння); строк до 2025-09-30. Попросити один знеособлений пакет здачі за цим workflow.</x:v>
      </x:c>
      <x:c r="Z748" s="15" t="str">
        <x:v>https://prozorro.gov.ua/tender/UA-2025-09-02-003676-a</x:v>
      </x:c>
      <x:c r="AA748" s="14" t="str">
        <x:v>33465397</x:v>
      </x:c>
      <x:c r="AB748" s="14" t="str">
        <x:v>2026-08-24</x:v>
      </x:c>
      <x:c r="AC748" s="14" t="str"/>
      <x:c r="AD748" s="20" t="str"/>
      <x:c r="AE748" s="14" t="str"/>
      <x:c r="AF748" s="14" t="n">
        <x:v>34</x:v>
      </x:c>
      <x:c r="AG748" s="14" t="str">
        <x:v>I3</x:v>
      </x:c>
      <x:c r="AH748" s="14" t="n">
        <x:v>2</x:v>
      </x:c>
      <x:c r="AI748" s="14" t="n">
        <x:v>0</x:v>
      </x:c>
      <x:c r="AJ748" s="18" t="n">
        <x:v>148476.78</x:v>
      </x:c>
      <x:c r="AK748" s="14" t="str">
        <x:v>https://prozorro.gov.ua/tender/UA-2025-09-02-003676-a</x:v>
      </x:c>
      <x:c r="AL748" s="19" t="n">
        <x:v>45902.35470488426</x:v>
      </x:c>
      <x:c r="AM748" s="19" t="n">
        <x:v>45930.35290509259</x:v>
      </x:c>
      <x:c r="AN748" s="15" t="str">
        <x:v>ГНБ / безтраншейні роботи</x:v>
      </x:c>
      <x:c r="AO748" s="15" t="str">
        <x:v>not_found_in_top_search</x:v>
      </x:c>
    </x:row>
    <x:row r="749">
      <x:c r="A749" s="14" t="str">
        <x:v>W3-477</x:v>
      </x:c>
      <x:c r="B749" s="14" t="str">
        <x:v>Prozorro winners — 24.08</x:v>
      </x:c>
      <x:c r="C749" s="14" t="str">
        <x:v>ТОВ "ВІННИЦЯ БЛАГОУСТРІЙ"</x:v>
      </x:c>
      <x:c r="D749" s="14" t="str">
        <x:v>ГНБ / безтраншейні роботи</x:v>
      </x:c>
      <x:c r="E749" s="14" t="str">
        <x:v>Expansion discovery</x:v>
      </x:c>
      <x:c r="F749" s="17" t="str">
        <x:f>IF(E749="Pilot now",IF(P749&gt;=84,"P1",IF(P749&gt;=72,"P2","P3")),IF(E749="Expansion discovery",IF(Q749&gt;=88,"D1",IF(Q749&gt;=78,"D2","D3")),IF(E749="Later / requirements","L","Legacy")))</x:f>
        <x:v>D1</x:v>
      </x:c>
      <x:c r="G749" s="14" t="str"/>
      <x:c r="H749" s="14" t="str">
        <x:v>Discovery розширення — 2 тижні</x:v>
      </x:c>
      <x:c r="I749" s="16" t="n">
        <x:v>1</x:v>
      </x:c>
      <x:c r="J749" s="16" t="n">
        <x:v>5</x:v>
      </x:c>
      <x:c r="K749" s="16" t="n">
        <x:v>4</x:v>
      </x:c>
      <x:c r="L749" s="16" t="n">
        <x:v>3</x:v>
      </x:c>
      <x:c r="M749" s="16" t="n">
        <x:v>5</x:v>
      </x:c>
      <x:c r="N749" s="16" t="n">
        <x:v>5</x:v>
      </x:c>
      <x:c r="O749" s="16" t="n">
        <x:v>5</x:v>
      </x:c>
      <x:c r="P749" s="16" t="n">
        <x:f>IF(COUNT(I749:O749)&lt;7,"",I749*8+J749*3+K749*2+L749*2+M749*2+N749*2+O749)</x:f>
        <x:v>62</x:v>
      </x:c>
      <x:c r="Q749" s="16" t="n">
        <x:f>IF(COUNT(J749:O749)&lt;6,"",J749*5+K749*4+M749*4+L749*3+N749*2+O749*2)</x:f>
        <x:v>90</x:v>
      </x:c>
      <x:c r="R749" s="14" t="str">
        <x:v>high</x:v>
      </x:c>
      <x:c r="S749" s="14" t="str">
        <x:v>official_prozorro_award_2025_2026</x:v>
      </x:c>
      <x:c r="T749" s="14" t="str">
        <x:v>official_prozorro_api</x:v>
      </x:c>
      <x:c r="U749" s="14" t="str">
        <x:v>Не контактували</x:v>
      </x:c>
      <x:c r="V749" s="15" t="str">
        <x:v>Workflow-audit outreach по UA-2025-11-28-001410-a; попросити 1 пакет здачі та вимоги проєкту</x:v>
      </x:c>
      <x:c r="W749" s="15" t="str">
        <x:v>Власник / директор; керівник ПТО; відповідальний за договори</x:v>
      </x:c>
      <x:c r="X749" s="15" t="str">
        <x:v>1 підтверджених перемог/договорів у Prozorro на 850 236 грн; 0 проєктів зі строком виконання не раніше 24.08.2026.</x:v>
      </x:c>
      <x:c r="Y749" s="15" t="str">
        <x:v>Супутні роботи: благоустрій території – облаштування тротуарів та пандусів, острівця безпеки на розділовій смузі дороги; облаштування регульованого пішохідного переходу – прокол (горизонтально направлене буріння) по капітальному ремонту об’єкту: «Облаштування регульованого пішохідного переходу через вул. Барське шосе в районі зупинки міського пасажирського транспорту «вул. Стельмаха» в м. Вінниці» за кодом ДК 021:2015 Єдиного закупівельного словника 45450000-6 Інші завершальні будівельні роботи (45453000-7 Капітальний ремонт і реставрація).; строк до 2025-12-25. Попросити один знеособлений пакет здачі за цим workflow.</x:v>
      </x:c>
      <x:c r="Z749" s="15" t="str">
        <x:v>https://prozorro.gov.ua/tender/UA-2025-11-28-001410-a</x:v>
      </x:c>
      <x:c r="AA749" s="14" t="str">
        <x:v>41164193</x:v>
      </x:c>
      <x:c r="AB749" s="14" t="str">
        <x:v>2026-08-24</x:v>
      </x:c>
      <x:c r="AC749" s="14" t="str"/>
      <x:c r="AD749" s="20" t="str"/>
      <x:c r="AE749" s="14" t="str"/>
      <x:c r="AF749" s="14" t="n">
        <x:v>33</x:v>
      </x:c>
      <x:c r="AG749" s="14" t="str">
        <x:v>I3</x:v>
      </x:c>
      <x:c r="AH749" s="14" t="n">
        <x:v>1</x:v>
      </x:c>
      <x:c r="AI749" s="14" t="n">
        <x:v>0</x:v>
      </x:c>
      <x:c r="AJ749" s="18" t="n">
        <x:v>850235.84</x:v>
      </x:c>
      <x:c r="AK749" s="14" t="str">
        <x:v>https://prozorro.gov.ua/tender/UA-2025-11-28-001410-a</x:v>
      </x:c>
      <x:c r="AL749" s="19" t="n">
        <x:v>46000.647910300926</x:v>
      </x:c>
      <x:c r="AM749" s="19" t="n">
        <x:v>46016</x:v>
      </x:c>
      <x:c r="AN749" s="15" t="str">
        <x:v>ГНБ / безтраншейні роботи</x:v>
      </x:c>
      <x:c r="AO749" s="15" t="str">
        <x:v>not_found_in_top_search</x:v>
      </x:c>
    </x:row>
    <x:row r="750">
      <x:c r="A750" s="14" t="str">
        <x:v>W3-478</x:v>
      </x:c>
      <x:c r="B750" s="14" t="str">
        <x:v>Prozorro winners — 24.08</x:v>
      </x:c>
      <x:c r="C750" s="14" t="str">
        <x:v>ПрАТ Львівське спеціалізоване будівельно-монтажне управління №1</x:v>
      </x:c>
      <x:c r="D750" s="14" t="str">
        <x:v>ГНБ / безтраншейні роботи</x:v>
      </x:c>
      <x:c r="E750" s="14" t="str">
        <x:v>Expansion discovery</x:v>
      </x:c>
      <x:c r="F750" s="17" t="str">
        <x:f>IF(E750="Pilot now",IF(P750&gt;=84,"P1",IF(P750&gt;=72,"P2","P3")),IF(E750="Expansion discovery",IF(Q750&gt;=88,"D1",IF(Q750&gt;=78,"D2","D3")),IF(E750="Later / requirements","L","Legacy")))</x:f>
        <x:v>D1</x:v>
      </x:c>
      <x:c r="G750" s="14" t="str"/>
      <x:c r="H750" s="14" t="str">
        <x:v>Discovery розширення — 2 тижні</x:v>
      </x:c>
      <x:c r="I750" s="16" t="n">
        <x:v>1</x:v>
      </x:c>
      <x:c r="J750" s="16" t="n">
        <x:v>5</x:v>
      </x:c>
      <x:c r="K750" s="16" t="n">
        <x:v>4</x:v>
      </x:c>
      <x:c r="L750" s="16" t="n">
        <x:v>3</x:v>
      </x:c>
      <x:c r="M750" s="16" t="n">
        <x:v>5</x:v>
      </x:c>
      <x:c r="N750" s="16" t="n">
        <x:v>5</x:v>
      </x:c>
      <x:c r="O750" s="16" t="n">
        <x:v>5</x:v>
      </x:c>
      <x:c r="P750" s="16" t="n">
        <x:f>IF(COUNT(I750:O750)&lt;7,"",I750*8+J750*3+K750*2+L750*2+M750*2+N750*2+O750)</x:f>
        <x:v>62</x:v>
      </x:c>
      <x:c r="Q750" s="16" t="n">
        <x:f>IF(COUNT(J750:O750)&lt;6,"",J750*5+K750*4+M750*4+L750*3+N750*2+O750*2)</x:f>
        <x:v>90</x:v>
      </x:c>
      <x:c r="R750" s="14" t="str">
        <x:v>high</x:v>
      </x:c>
      <x:c r="S750" s="14" t="str">
        <x:v>official_prozorro_award_2025_2026</x:v>
      </x:c>
      <x:c r="T750" s="14" t="str">
        <x:v>official_prozorro_api</x:v>
      </x:c>
      <x:c r="U750" s="14" t="str">
        <x:v>Не контактували</x:v>
      </x:c>
      <x:c r="V750" s="15" t="str">
        <x:v>Workflow-audit outreach по UA-2025-08-18-011728-a; попросити 1 пакет здачі та вимоги проєкту</x:v>
      </x:c>
      <x:c r="W750" s="15" t="str">
        <x:v>Власник / директор; керівник ПТО; відповідальний за договори</x:v>
      </x:c>
      <x:c r="X750" s="15" t="str">
        <x:v>1 підтверджених перемог/договорів у Prozorro на 571 027 грн; 0 проєктів зі строком виконання не раніше 24.08.2026.</x:v>
      </x:c>
      <x:c r="Y750" s="15" t="str">
        <x:v>Виконання робіт по об’єкту: ««Реконструкція напірних колекторів від КНС "Кільцева" в м. Винники до КОС». Коригування» (Перетин автомобільної дороги методом горизонтально направленого буріння)»; строк до 2025-12-31. Попросити один знеособлений пакет здачі за цим workflow.</x:v>
      </x:c>
      <x:c r="Z750" s="15" t="str">
        <x:v>https://prozorro.gov.ua/tender/UA-2025-08-18-011728-a</x:v>
      </x:c>
      <x:c r="AA750" s="14" t="str">
        <x:v>03335511</x:v>
      </x:c>
      <x:c r="AB750" s="14" t="str">
        <x:v>2026-08-24</x:v>
      </x:c>
      <x:c r="AC750" s="14" t="str"/>
      <x:c r="AD750" s="20" t="str"/>
      <x:c r="AE750" s="14" t="str"/>
      <x:c r="AF750" s="14" t="n">
        <x:v>33</x:v>
      </x:c>
      <x:c r="AG750" s="14" t="str">
        <x:v>I3</x:v>
      </x:c>
      <x:c r="AH750" s="14" t="n">
        <x:v>1</x:v>
      </x:c>
      <x:c r="AI750" s="14" t="n">
        <x:v>0</x:v>
      </x:c>
      <x:c r="AJ750" s="18" t="n">
        <x:v>571026.58</x:v>
      </x:c>
      <x:c r="AK750" s="14" t="str">
        <x:v>https://prozorro.gov.ua/tender/UA-2025-08-18-011728-a</x:v>
      </x:c>
      <x:c r="AL750" s="19" t="n">
        <x:v>45908.623008194445</x:v>
      </x:c>
      <x:c r="AM750" s="19" t="n">
        <x:v>46022</x:v>
      </x:c>
      <x:c r="AN750" s="15" t="str">
        <x:v>ГНБ / безтраншейні роботи</x:v>
      </x:c>
      <x:c r="AO750" s="15" t="str">
        <x:v>not_found_in_top_search</x:v>
      </x:c>
    </x:row>
    <x:row r="751">
      <x:c r="A751" s="14" t="str">
        <x:v>W3-479</x:v>
      </x:c>
      <x:c r="B751" s="14" t="str">
        <x:v>Prozorro winners — 24.08</x:v>
      </x:c>
      <x:c r="C751" s="14" t="str">
        <x:v>УПРАВЛІННЯ ПОЛІЦІЇ ОХОРОНИ В КИЇВСЬКІЙ ОБЛАСТІ</x:v>
      </x:c>
      <x:c r="D751" s="14" t="str">
        <x:v>Газопостачання / котельні</x:v>
      </x:c>
      <x:c r="E751" s="14" t="str">
        <x:v>Expansion discovery</x:v>
      </x:c>
      <x:c r="F751" s="17" t="str">
        <x:f>IF(E751="Pilot now",IF(P751&gt;=84,"P1",IF(P751&gt;=72,"P2","P3")),IF(E751="Expansion discovery",IF(Q751&gt;=88,"D1",IF(Q751&gt;=78,"D2","D3")),IF(E751="Later / requirements","L","Legacy")))</x:f>
        <x:v>D2</x:v>
      </x:c>
      <x:c r="G751" s="14" t="str"/>
      <x:c r="H751" s="14" t="str">
        <x:v>Discovery розширення — 2 тижні</x:v>
      </x:c>
      <x:c r="I751" s="16" t="n">
        <x:v>1</x:v>
      </x:c>
      <x:c r="J751" s="16" t="n">
        <x:v>5</x:v>
      </x:c>
      <x:c r="K751" s="16" t="n">
        <x:v>4</x:v>
      </x:c>
      <x:c r="L751" s="16" t="n">
        <x:v>1</x:v>
      </x:c>
      <x:c r="M751" s="16" t="n">
        <x:v>5</x:v>
      </x:c>
      <x:c r="N751" s="16" t="n">
        <x:v>5</x:v>
      </x:c>
      <x:c r="O751" s="16" t="n">
        <x:v>5</x:v>
      </x:c>
      <x:c r="P751" s="16" t="n">
        <x:f>IF(COUNT(I751:O751)&lt;7,"",I751*8+J751*3+K751*2+L751*2+M751*2+N751*2+O751)</x:f>
        <x:v>58</x:v>
      </x:c>
      <x:c r="Q751" s="16" t="n">
        <x:f>IF(COUNT(J751:O751)&lt;6,"",J751*5+K751*4+M751*4+L751*3+N751*2+O751*2)</x:f>
        <x:v>84</x:v>
      </x:c>
      <x:c r="R751" s="14" t="str">
        <x:v>high</x:v>
      </x:c>
      <x:c r="S751" s="14" t="str">
        <x:v>official_prozorro_award_2025_2026</x:v>
      </x:c>
      <x:c r="T751" s="14" t="str">
        <x:v>official_prozorro_api</x:v>
      </x:c>
      <x:c r="U751" s="14" t="str">
        <x:v>Не контактували</x:v>
      </x:c>
      <x:c r="V751" s="15" t="str">
        <x:v>Workflow-audit outreach по UA-2026-04-23-013132-a; попросити 1 пакет здачі та вимоги проєкту</x:v>
      </x:c>
      <x:c r="W751" s="15" t="str">
        <x:v>Власник / директор; керівник ПТО; відповідальний за договори</x:v>
      </x:c>
      <x:c r="X751" s="15" t="str">
        <x:v>1 підтверджених перемог/договорів у Prozorro на 88 689 грн; 0 проєктів зі строком виконання не раніше 24.08.2026.</x:v>
      </x:c>
      <x:c r="Y751" s="15" t="str">
        <x:v>Монтаж, пусконалагоджування охоронно-тривожної системи сигналізації на об'єкті: котельня по вулиці Київський Шлях, 39-б; котельня по вулиці Нижній Вал, 1-а; котельня по вулиці Княгині Ольги, 1-г; котельня по вулиці Глібова, 3; котельня по вулиці Володимира Момота, 42-б; котельня по вулиці Соборна, 8-а; котельня по вулиці Привокзальна, 2-г; котельня по вулиці Соцмістечко, 242
(45310000-3	Електромонтажні роботи); строк до 2026-05-30. Попросити один знеособлений пакет здачі за цим workflow.</x:v>
      </x:c>
      <x:c r="Z751" s="15" t="str">
        <x:v>https://prozorro.gov.ua/tender/UA-2026-04-23-013132-a</x:v>
      </x:c>
      <x:c r="AA751" s="14" t="str">
        <x:v>40109063</x:v>
      </x:c>
      <x:c r="AB751" s="14" t="str">
        <x:v>2026-08-24</x:v>
      </x:c>
      <x:c r="AC751" s="14" t="str"/>
      <x:c r="AD751" s="20" t="str"/>
      <x:c r="AE751" s="14" t="str"/>
      <x:c r="AF751" s="14" t="n">
        <x:v>33</x:v>
      </x:c>
      <x:c r="AG751" s="14" t="str">
        <x:v>I3</x:v>
      </x:c>
      <x:c r="AH751" s="14" t="n">
        <x:v>1</x:v>
      </x:c>
      <x:c r="AI751" s="14" t="n">
        <x:v>0</x:v>
      </x:c>
      <x:c r="AJ751" s="18" t="n">
        <x:v>88688.74</x:v>
      </x:c>
      <x:c r="AK751" s="14" t="str">
        <x:v>https://prozorro.gov.ua/tender/UA-2026-04-23-013132-a</x:v>
      </x:c>
      <x:c r="AL751" s="19" t="n">
        <x:v>46135.5542437037</x:v>
      </x:c>
      <x:c r="AM751" s="19" t="n">
        <x:v>46172</x:v>
      </x:c>
      <x:c r="AN751" s="15" t="str">
        <x:v>Газопостачання / котельні</x:v>
      </x:c>
      <x:c r="AO751" s="15" t="str">
        <x:v>not_found_in_top_search</x:v>
      </x:c>
    </x:row>
    <x:row r="752">
      <x:c r="A752" s="14" t="str">
        <x:v>W3-480</x:v>
      </x:c>
      <x:c r="B752" s="14" t="str">
        <x:v>Prozorro winners — 24.08</x:v>
      </x:c>
      <x:c r="C752" s="14" t="str">
        <x:v>ДЕРЖАВНЕ ПІДПРИЄМСТВО "ЖИЛКОМ"</x:v>
      </x:c>
      <x:c r="D752" s="14" t="str">
        <x:v>Зовнішні мережі</x:v>
      </x:c>
      <x:c r="E752" s="14" t="str">
        <x:v>Expansion discovery</x:v>
      </x:c>
      <x:c r="F752" s="17" t="str">
        <x:f>IF(E752="Pilot now",IF(P752&gt;=84,"P1",IF(P752&gt;=72,"P2","P3")),IF(E752="Expansion discovery",IF(Q752&gt;=88,"D1",IF(Q752&gt;=78,"D2","D3")),IF(E752="Later / requirements","L","Legacy")))</x:f>
        <x:v>D2</x:v>
      </x:c>
      <x:c r="G752" s="14" t="str"/>
      <x:c r="H752" s="14" t="str">
        <x:v>Discovery розширення — 2 тижні</x:v>
      </x:c>
      <x:c r="I752" s="16" t="n">
        <x:v>1</x:v>
      </x:c>
      <x:c r="J752" s="16" t="n">
        <x:v>5</x:v>
      </x:c>
      <x:c r="K752" s="16" t="n">
        <x:v>4</x:v>
      </x:c>
      <x:c r="L752" s="16" t="n">
        <x:v>1</x:v>
      </x:c>
      <x:c r="M752" s="16" t="n">
        <x:v>5</x:v>
      </x:c>
      <x:c r="N752" s="16" t="n">
        <x:v>5</x:v>
      </x:c>
      <x:c r="O752" s="16" t="n">
        <x:v>5</x:v>
      </x:c>
      <x:c r="P752" s="16" t="n">
        <x:f>IF(COUNT(I752:O752)&lt;7,"",I752*8+J752*3+K752*2+L752*2+M752*2+N752*2+O752)</x:f>
        <x:v>58</x:v>
      </x:c>
      <x:c r="Q752" s="16" t="n">
        <x:f>IF(COUNT(J752:O752)&lt;6,"",J752*5+K752*4+M752*4+L752*3+N752*2+O752*2)</x:f>
        <x:v>84</x:v>
      </x:c>
      <x:c r="R752" s="14" t="str">
        <x:v>high</x:v>
      </x:c>
      <x:c r="S752" s="14" t="str">
        <x:v>official_prozorro_award_2025_2026</x:v>
      </x:c>
      <x:c r="T752" s="14" t="str">
        <x:v>official_prozorro_api</x:v>
      </x:c>
      <x:c r="U752" s="14" t="str">
        <x:v>Не контактували</x:v>
      </x:c>
      <x:c r="V752" s="15" t="str">
        <x:v>Workflow-audit outreach по UA-2026-04-09-006861-a; попросити 1 пакет здачі та вимоги проєкту</x:v>
      </x:c>
      <x:c r="W752" s="15" t="str">
        <x:v>Власник / директор; керівник ПТО; відповідальний за договори</x:v>
      </x:c>
      <x:c r="X752" s="15" t="str">
        <x:v>1 підтверджених перемог/договорів у Prozorro на 74 967 грн; 0 проєктів зі строком виконання не раніше 24.08.2026.</x:v>
      </x:c>
      <x:c r="Y752" s="15" t="str">
        <x:v>Роботи на виконання експертизи проєкту будівництва: “Нове будівництво зовнішніх інженерних мереж електропостачання, військове містечко № 7, с. Тетерівка, Житомирська обл.”; строк до 2026-05-09. Попросити один знеособлений пакет здачі за цим workflow.</x:v>
      </x:c>
      <x:c r="Z752" s="15" t="str">
        <x:v>https://prozorro.gov.ua/tender/UA-2026-04-09-006861-a</x:v>
      </x:c>
      <x:c r="AA752" s="14" t="str">
        <x:v>32350021</x:v>
      </x:c>
      <x:c r="AB752" s="14" t="str">
        <x:v>2026-08-24</x:v>
      </x:c>
      <x:c r="AC752" s="14" t="str"/>
      <x:c r="AD752" s="20" t="str"/>
      <x:c r="AE752" s="14" t="str"/>
      <x:c r="AF752" s="14" t="n">
        <x:v>33</x:v>
      </x:c>
      <x:c r="AG752" s="14" t="str">
        <x:v>I3</x:v>
      </x:c>
      <x:c r="AH752" s="14" t="n">
        <x:v>1</x:v>
      </x:c>
      <x:c r="AI752" s="14" t="n">
        <x:v>0</x:v>
      </x:c>
      <x:c r="AJ752" s="18" t="n">
        <x:v>74966.69</x:v>
      </x:c>
      <x:c r="AK752" s="14" t="str">
        <x:v>https://prozorro.gov.ua/tender/UA-2026-04-09-006861-a</x:v>
      </x:c>
      <x:c r="AL752" s="19" t="n">
        <x:v>46121.44054548611</x:v>
      </x:c>
      <x:c r="AM752" s="19" t="n">
        <x:v>46151</x:v>
      </x:c>
      <x:c r="AN752" s="15" t="str">
        <x:v>Зовнішні мережі</x:v>
      </x:c>
      <x:c r="AO752" s="15" t="str">
        <x:v>not_found_in_top_search</x:v>
      </x:c>
    </x:row>
    <x:row r="753">
      <x:c r="A753" s="14" t="str">
        <x:v>W3-481</x:v>
      </x:c>
      <x:c r="B753" s="14" t="str">
        <x:v>Prozorro winners — 24.08</x:v>
      </x:c>
      <x:c r="C753" s="14" t="str">
        <x:v>Товариство з додатковою відповідальністю "БЗКУ АРДЕНЗ"</x:v>
      </x:c>
      <x:c r="D753" s="14" t="str">
        <x:v>Газопостачання / котельні</x:v>
      </x:c>
      <x:c r="E753" s="14" t="str">
        <x:v>Expansion discovery</x:v>
      </x:c>
      <x:c r="F753" s="17" t="str">
        <x:f>IF(E753="Pilot now",IF(P753&gt;=84,"P1",IF(P753&gt;=72,"P2","P3")),IF(E753="Expansion discovery",IF(Q753&gt;=88,"D1",IF(Q753&gt;=78,"D2","D3")),IF(E753="Later / requirements","L","Legacy")))</x:f>
        <x:v>D2</x:v>
      </x:c>
      <x:c r="G753" s="14" t="str"/>
      <x:c r="H753" s="14" t="str">
        <x:v>Discovery розширення — 2 тижні</x:v>
      </x:c>
      <x:c r="I753" s="16" t="n">
        <x:v>1</x:v>
      </x:c>
      <x:c r="J753" s="16" t="n">
        <x:v>5</x:v>
      </x:c>
      <x:c r="K753" s="16" t="n">
        <x:v>4</x:v>
      </x:c>
      <x:c r="L753" s="16" t="n">
        <x:v>1</x:v>
      </x:c>
      <x:c r="M753" s="16" t="n">
        <x:v>5</x:v>
      </x:c>
      <x:c r="N753" s="16" t="n">
        <x:v>5</x:v>
      </x:c>
      <x:c r="O753" s="16" t="n">
        <x:v>5</x:v>
      </x:c>
      <x:c r="P753" s="16" t="n">
        <x:f>IF(COUNT(I753:O753)&lt;7,"",I753*8+J753*3+K753*2+L753*2+M753*2+N753*2+O753)</x:f>
        <x:v>58</x:v>
      </x:c>
      <x:c r="Q753" s="16" t="n">
        <x:f>IF(COUNT(J753:O753)&lt;6,"",J753*5+K753*4+M753*4+L753*3+N753*2+O753*2)</x:f>
        <x:v>84</x:v>
      </x:c>
      <x:c r="R753" s="14" t="str">
        <x:v>high</x:v>
      </x:c>
      <x:c r="S753" s="14" t="str">
        <x:v>official_prozorro_award_2025_2026</x:v>
      </x:c>
      <x:c r="T753" s="14" t="str">
        <x:v>official_prozorro_api</x:v>
      </x:c>
      <x:c r="U753" s="14" t="str">
        <x:v>Не контактували</x:v>
      </x:c>
      <x:c r="V753" s="15" t="str">
        <x:v>Workflow-audit outreach по UA-2026-03-25-004989-a; попросити 1 пакет здачі та вимоги проєкту</x:v>
      </x:c>
      <x:c r="W753" s="15" t="str">
        <x:v>Власник / директор; керівник ПТО; відповідальний за договори</x:v>
      </x:c>
      <x:c r="X753" s="15" t="str">
        <x:v>1 підтверджених перемог/договорів у Prozorro на 55 392 грн; 0 проєктів зі строком виконання не раніше 24.08.2026.</x:v>
      </x:c>
      <x:c r="Y753" s="15" t="str">
        <x:v>Послуги з монтажу та технологічне налагодження котельного обладнання, що розташоване в котельні за адресою м.Шостка, вул. Заводська,30; строк до 2026-04-24. Попросити один знеособлений пакет здачі за цим workflow.</x:v>
      </x:c>
      <x:c r="Z753" s="15" t="str">
        <x:v>https://prozorro.gov.ua/tender/UA-2026-03-25-004989-a</x:v>
      </x:c>
      <x:c r="AA753" s="14" t="str">
        <x:v>05495354</x:v>
      </x:c>
      <x:c r="AB753" s="14" t="str">
        <x:v>2026-08-24</x:v>
      </x:c>
      <x:c r="AC753" s="14" t="str"/>
      <x:c r="AD753" s="20" t="str"/>
      <x:c r="AE753" s="14" t="str"/>
      <x:c r="AF753" s="14" t="n">
        <x:v>33</x:v>
      </x:c>
      <x:c r="AG753" s="14" t="str">
        <x:v>I3</x:v>
      </x:c>
      <x:c r="AH753" s="14" t="n">
        <x:v>1</x:v>
      </x:c>
      <x:c r="AI753" s="14" t="n">
        <x:v>0</x:v>
      </x:c>
      <x:c r="AJ753" s="18" t="n">
        <x:v>55392</x:v>
      </x:c>
      <x:c r="AK753" s="14" t="str">
        <x:v>https://prozorro.gov.ua/tender/UA-2026-03-25-004989-a</x:v>
      </x:c>
      <x:c r="AL753" s="19" t="n">
        <x:v>46106.40369903935</x:v>
      </x:c>
      <x:c r="AM753" s="19" t="n">
        <x:v>46136.362662037034</x:v>
      </x:c>
      <x:c r="AN753" s="15" t="str">
        <x:v>Газопостачання / котельні</x:v>
      </x:c>
      <x:c r="AO753" s="15" t="str">
        <x:v>not_found_in_top_search</x:v>
      </x:c>
    </x:row>
    <x:row r="754">
      <x:c r="A754" s="14" t="str">
        <x:v>W3-482</x:v>
      </x:c>
      <x:c r="B754" s="14" t="str">
        <x:v>Prozorro winners — 24.08</x:v>
      </x:c>
      <x:c r="C754" s="14" t="str">
        <x:v>ТОВАРИСТВО З ОБМЕЖЕНОЮ ВІДПОВІДАЛЬНІСТЮ "ВЕТО"</x:v>
      </x:c>
      <x:c r="D754" s="14" t="str">
        <x:v>Пожежогасіння</x:v>
      </x:c>
      <x:c r="E754" s="14" t="str">
        <x:v>Expansion discovery</x:v>
      </x:c>
      <x:c r="F754" s="17" t="str">
        <x:f>IF(E754="Pilot now",IF(P754&gt;=84,"P1",IF(P754&gt;=72,"P2","P3")),IF(E754="Expansion discovery",IF(Q754&gt;=88,"D1",IF(Q754&gt;=78,"D2","D3")),IF(E754="Later / requirements","L","Legacy")))</x:f>
        <x:v>D2</x:v>
      </x:c>
      <x:c r="G754" s="14" t="str"/>
      <x:c r="H754" s="14" t="str">
        <x:v>Discovery розширення — 2 тижні</x:v>
      </x:c>
      <x:c r="I754" s="16" t="n">
        <x:v>1</x:v>
      </x:c>
      <x:c r="J754" s="16" t="n">
        <x:v>5</x:v>
      </x:c>
      <x:c r="K754" s="16" t="n">
        <x:v>4</x:v>
      </x:c>
      <x:c r="L754" s="16" t="n">
        <x:v>1</x:v>
      </x:c>
      <x:c r="M754" s="16" t="n">
        <x:v>5</x:v>
      </x:c>
      <x:c r="N754" s="16" t="n">
        <x:v>5</x:v>
      </x:c>
      <x:c r="O754" s="16" t="n">
        <x:v>5</x:v>
      </x:c>
      <x:c r="P754" s="16" t="n">
        <x:f>IF(COUNT(I754:O754)&lt;7,"",I754*8+J754*3+K754*2+L754*2+M754*2+N754*2+O754)</x:f>
        <x:v>58</x:v>
      </x:c>
      <x:c r="Q754" s="16" t="n">
        <x:f>IF(COUNT(J754:O754)&lt;6,"",J754*5+K754*4+M754*4+L754*3+N754*2+O754*2)</x:f>
        <x:v>84</x:v>
      </x:c>
      <x:c r="R754" s="14" t="str">
        <x:v>high</x:v>
      </x:c>
      <x:c r="S754" s="14" t="str">
        <x:v>official_prozorro_award_2025_2026</x:v>
      </x:c>
      <x:c r="T754" s="14" t="str">
        <x:v>official_prozorro_api</x:v>
      </x:c>
      <x:c r="U754" s="14" t="str">
        <x:v>Не контактували</x:v>
      </x:c>
      <x:c r="V754" s="15" t="str">
        <x:v>Workflow-audit outreach по UA-2026-04-10-004562-a; попросити 1 пакет здачі та вимоги проєкту</x:v>
      </x:c>
      <x:c r="W754" s="15" t="str">
        <x:v>Власник / директор; керівник ПТО; відповідальний за договори</x:v>
      </x:c>
      <x:c r="X754" s="15" t="str">
        <x:v>1 підтверджених перемог/договорів у Prozorro на 28 128 грн; 0 проєктів зі строком виконання не раніше 24.08.2026.</x:v>
      </x:c>
      <x:c r="Y754" s="15" t="str">
        <x:v>Роботи з монтажу і наладки засобів системи пожежної сигналізації ; строк до 2026-04-30. Попросити один знеособлений пакет здачі за цим workflow.</x:v>
      </x:c>
      <x:c r="Z754" s="15" t="str">
        <x:v>https://prozorro.gov.ua/tender/UA-2026-04-10-004562-a</x:v>
      </x:c>
      <x:c r="AA754" s="14" t="str">
        <x:v>32653295</x:v>
      </x:c>
      <x:c r="AB754" s="14" t="str">
        <x:v>2026-08-24</x:v>
      </x:c>
      <x:c r="AC754" s="14" t="str"/>
      <x:c r="AD754" s="20" t="str"/>
      <x:c r="AE754" s="14" t="str"/>
      <x:c r="AF754" s="14" t="n">
        <x:v>33</x:v>
      </x:c>
      <x:c r="AG754" s="14" t="str">
        <x:v>I3</x:v>
      </x:c>
      <x:c r="AH754" s="14" t="n">
        <x:v>1</x:v>
      </x:c>
      <x:c r="AI754" s="14" t="n">
        <x:v>0</x:v>
      </x:c>
      <x:c r="AJ754" s="18" t="n">
        <x:v>28128</x:v>
      </x:c>
      <x:c r="AK754" s="14" t="str">
        <x:v>https://prozorro.gov.ua/tender/UA-2026-04-10-004562-a</x:v>
      </x:c>
      <x:c r="AL754" s="19" t="n">
        <x:v>46122.36283795139</x:v>
      </x:c>
      <x:c r="AM754" s="19" t="n">
        <x:v>46142</x:v>
      </x:c>
      <x:c r="AN754" s="15" t="str">
        <x:v>Пожежогасіння</x:v>
      </x:c>
      <x:c r="AO754" s="15" t="str">
        <x:v>not_found_in_top_search</x:v>
      </x:c>
    </x:row>
    <x:row r="755">
      <x:c r="A755" s="14" t="str">
        <x:v>W3-483</x:v>
      </x:c>
      <x:c r="B755" s="14" t="str">
        <x:v>Prozorro winners — 24.08</x:v>
      </x:c>
      <x:c r="C755" s="14" t="str">
        <x:v>ТОВ "Ротор-24"</x:v>
      </x:c>
      <x:c r="D755" s="14" t="str">
        <x:v>Електромонтаж</x:v>
      </x:c>
      <x:c r="E755" s="14" t="str">
        <x:v>Pilot now</x:v>
      </x:c>
      <x:c r="F755" s="17" t="str">
        <x:f>IF(E755="Pilot now",IF(P755&gt;=84,"P1",IF(P755&gt;=72,"P2","P3")),IF(E755="Expansion discovery",IF(Q755&gt;=88,"D1",IF(Q755&gt;=78,"D2","D3")),IF(E755="Later / requirements","L","Legacy")))</x:f>
        <x:v>P1</x:v>
      </x:c>
      <x:c r="G755" s="14" t="str"/>
      <x:c r="H755" s="14" t="str">
        <x:v>Пілот зараз — Н.15</x:v>
      </x:c>
      <x:c r="I755" s="16" t="n">
        <x:v>5</x:v>
      </x:c>
      <x:c r="J755" s="16" t="n">
        <x:v>5</x:v>
      </x:c>
      <x:c r="K755" s="16" t="n">
        <x:v>5</x:v>
      </x:c>
      <x:c r="L755" s="16" t="n">
        <x:v>1</x:v>
      </x:c>
      <x:c r="M755" s="16" t="n">
        <x:v>5</x:v>
      </x:c>
      <x:c r="N755" s="16" t="n">
        <x:v>5</x:v>
      </x:c>
      <x:c r="O755" s="16" t="n">
        <x:v>5</x:v>
      </x:c>
      <x:c r="P755" s="16" t="n">
        <x:f>IF(COUNT(I755:O755)&lt;7,"",I755*8+J755*3+K755*2+L755*2+M755*2+N755*2+O755)</x:f>
        <x:v>92</x:v>
      </x:c>
      <x:c r="Q755" s="16" t="n">
        <x:f>IF(COUNT(J755:O755)&lt;6,"",J755*5+K755*4+M755*4+L755*3+N755*2+O755*2)</x:f>
        <x:v>88</x:v>
      </x:c>
      <x:c r="R755" s="14" t="str">
        <x:v>high</x:v>
      </x:c>
      <x:c r="S755" s="14" t="str">
        <x:v>official_prozorro_award_2025_2026</x:v>
      </x:c>
      <x:c r="T755" s="14" t="str">
        <x:v>official_prozorro_api</x:v>
      </x:c>
      <x:c r="U755" s="14" t="str">
        <x:v>Не контактували</x:v>
      </x:c>
      <x:c r="V755" s="15" t="str">
        <x:v>Персоналізований free-pilot outreach по UA-2026-04-07-006143-a; попросити 1 пакет Н.14/Н.15</x:v>
      </x:c>
      <x:c r="W755" s="15" t="str">
        <x:v>Власник / директор; керівник ПТО; відповідальний за договори</x:v>
      </x:c>
      <x:c r="X755" s="15" t="str">
        <x:v>1 підтверджених перемог/договорів у Prozorro на 15 630 грн; 0 проєктів зі строком виконання не раніше 24.08.2026.</x:v>
      </x:c>
      <x:c r="Y755" s="15" t="str">
        <x:v>Електровимірювальні роботи (вимірювння опору заземлення та ізоляції- за адресою:  вул.Лаврська 9 , корп. 24,26 та по вул. Велика Всильківська, 121 ); строк до 2026-04-10. Попросити один знеособлений пакет здачі за цим workflow.</x:v>
      </x:c>
      <x:c r="Z755" s="15" t="str">
        <x:v>https://prozorro.gov.ua/tender/UA-2026-04-07-006143-a</x:v>
      </x:c>
      <x:c r="AA755" s="14" t="str">
        <x:v>44505709</x:v>
      </x:c>
      <x:c r="AB755" s="14" t="str">
        <x:v>2026-08-24</x:v>
      </x:c>
      <x:c r="AC755" s="14" t="str"/>
      <x:c r="AD755" s="20" t="str"/>
      <x:c r="AE755" s="14" t="str"/>
      <x:c r="AF755" s="14" t="n">
        <x:v>33</x:v>
      </x:c>
      <x:c r="AG755" s="14" t="str">
        <x:v>I3</x:v>
      </x:c>
      <x:c r="AH755" s="14" t="n">
        <x:v>1</x:v>
      </x:c>
      <x:c r="AI755" s="14" t="n">
        <x:v>0</x:v>
      </x:c>
      <x:c r="AJ755" s="18" t="n">
        <x:v>15630</x:v>
      </x:c>
      <x:c r="AK755" s="14" t="str">
        <x:v>https://prozorro.gov.ua/tender/UA-2026-04-07-006143-a</x:v>
      </x:c>
      <x:c r="AL755" s="19" t="n">
        <x:v>46119.39454677083</x:v>
      </x:c>
      <x:c r="AM755" s="19" t="n">
        <x:v>46122</x:v>
      </x:c>
      <x:c r="AN755" s="15" t="str">
        <x:v>Електромонтаж</x:v>
      </x:c>
      <x:c r="AO755" s="15" t="str">
        <x:v>not_found_in_top_search</x:v>
      </x:c>
    </x:row>
    <x:row r="756">
      <x:c r="A756" s="14" t="str">
        <x:v>W3-484</x:v>
      </x:c>
      <x:c r="B756" s="14" t="str">
        <x:v>Prozorro winners — 24.08</x:v>
      </x:c>
      <x:c r="C756" s="14" t="str">
        <x:v>ПП "ЕВЕРЕСТ О"</x:v>
      </x:c>
      <x:c r="D756" s="14" t="str">
        <x:v>Газопостачання / котельні</x:v>
      </x:c>
      <x:c r="E756" s="14" t="str">
        <x:v>Expansion discovery</x:v>
      </x:c>
      <x:c r="F756" s="17" t="str">
        <x:f>IF(E756="Pilot now",IF(P756&gt;=84,"P1",IF(P756&gt;=72,"P2","P3")),IF(E756="Expansion discovery",IF(Q756&gt;=88,"D1",IF(Q756&gt;=78,"D2","D3")),IF(E756="Later / requirements","L","Legacy")))</x:f>
        <x:v>D2</x:v>
      </x:c>
      <x:c r="G756" s="14" t="str"/>
      <x:c r="H756" s="14" t="str">
        <x:v>Discovery розширення — 2 тижні</x:v>
      </x:c>
      <x:c r="I756" s="16" t="n">
        <x:v>1</x:v>
      </x:c>
      <x:c r="J756" s="16" t="n">
        <x:v>5</x:v>
      </x:c>
      <x:c r="K756" s="16" t="n">
        <x:v>4</x:v>
      </x:c>
      <x:c r="L756" s="16" t="n">
        <x:v>1</x:v>
      </x:c>
      <x:c r="M756" s="16" t="n">
        <x:v>5</x:v>
      </x:c>
      <x:c r="N756" s="16" t="n">
        <x:v>5</x:v>
      </x:c>
      <x:c r="O756" s="16" t="n">
        <x:v>5</x:v>
      </x:c>
      <x:c r="P756" s="16" t="n">
        <x:f>IF(COUNT(I756:O756)&lt;7,"",I756*8+J756*3+K756*2+L756*2+M756*2+N756*2+O756)</x:f>
        <x:v>58</x:v>
      </x:c>
      <x:c r="Q756" s="16" t="n">
        <x:f>IF(COUNT(J756:O756)&lt;6,"",J756*5+K756*4+M756*4+L756*3+N756*2+O756*2)</x:f>
        <x:v>84</x:v>
      </x:c>
      <x:c r="R756" s="14" t="str">
        <x:v>high</x:v>
      </x:c>
      <x:c r="S756" s="14" t="str">
        <x:v>official_prozorro_award_2025_2026</x:v>
      </x:c>
      <x:c r="T756" s="14" t="str">
        <x:v>official_prozorro_api</x:v>
      </x:c>
      <x:c r="U756" s="14" t="str">
        <x:v>Не контактували</x:v>
      </x:c>
      <x:c r="V756" s="15" t="str">
        <x:v>Workflow-audit outreach по UA-2026-04-01-001928-a; попросити 1 пакет здачі та вимоги проєкту</x:v>
      </x:c>
      <x:c r="W756" s="15" t="str">
        <x:v>Власник / директор; керівник ПТО; відповідальний за договори</x:v>
      </x:c>
      <x:c r="X756" s="15" t="str">
        <x:v>1 підтверджених перемог/договорів у Prozorro на 8 599 грн; 0 проєктів зі строком виконання не раніше 24.08.2026.</x:v>
      </x:c>
      <x:c r="Y756" s="15" t="str">
        <x:v>Послуги з демонтажу, ремонту та монтажу протипожежного обладнання на котельні в м. Кременчуці; строк до 2026-05-12. Попросити один знеособлений пакет здачі за цим workflow.</x:v>
      </x:c>
      <x:c r="Z756" s="15" t="str">
        <x:v>https://prozorro.gov.ua/tender/UA-2026-04-01-001928-a</x:v>
      </x:c>
      <x:c r="AA756" s="14" t="str">
        <x:v>36274877</x:v>
      </x:c>
      <x:c r="AB756" s="14" t="str">
        <x:v>2026-08-24</x:v>
      </x:c>
      <x:c r="AC756" s="14" t="str"/>
      <x:c r="AD756" s="20" t="str"/>
      <x:c r="AE756" s="14" t="str"/>
      <x:c r="AF756" s="14" t="n">
        <x:v>33</x:v>
      </x:c>
      <x:c r="AG756" s="14" t="str">
        <x:v>I3</x:v>
      </x:c>
      <x:c r="AH756" s="14" t="n">
        <x:v>1</x:v>
      </x:c>
      <x:c r="AI756" s="14" t="n">
        <x:v>0</x:v>
      </x:c>
      <x:c r="AJ756" s="18" t="n">
        <x:v>8599.2</x:v>
      </x:c>
      <x:c r="AK756" s="14" t="str">
        <x:v>https://prozorro.gov.ua/tender/UA-2026-04-01-001928-a</x:v>
      </x:c>
      <x:c r="AL756" s="19" t="n">
        <x:v>46113.30135084491</x:v>
      </x:c>
      <x:c r="AM756" s="19" t="n">
        <x:v>46154.302199074074</x:v>
      </x:c>
      <x:c r="AN756" s="15" t="str">
        <x:v>Газопостачання / котельні</x:v>
      </x:c>
      <x:c r="AO756" s="15" t="str">
        <x:v>not_found_in_top_search</x:v>
      </x:c>
    </x:row>
    <x:row r="757">
      <x:c r="A757" s="14" t="str">
        <x:v>W3-485</x:v>
      </x:c>
      <x:c r="B757" s="14" t="str">
        <x:v>Prozorro winners — 24.08</x:v>
      </x:c>
      <x:c r="C757" s="14" t="str">
        <x:v>Фізична особа підприємець Корчемлюк Володимир Васильович</x:v>
      </x:c>
      <x:c r="D757" s="14" t="str">
        <x:v>Електромонтаж</x:v>
      </x:c>
      <x:c r="E757" s="14" t="str">
        <x:v>Pilot now</x:v>
      </x:c>
      <x:c r="F757" s="17" t="str">
        <x:f>IF(E757="Pilot now",IF(P757&gt;=84,"P1",IF(P757&gt;=72,"P2","P3")),IF(E757="Expansion discovery",IF(Q757&gt;=88,"D1",IF(Q757&gt;=78,"D2","D3")),IF(E757="Later / requirements","L","Legacy")))</x:f>
        <x:v>P1</x:v>
      </x:c>
      <x:c r="G757" s="14" t="str"/>
      <x:c r="H757" s="14" t="str">
        <x:v>Пілот зараз — Н.15</x:v>
      </x:c>
      <x:c r="I757" s="16" t="n">
        <x:v>5</x:v>
      </x:c>
      <x:c r="J757" s="16" t="n">
        <x:v>5</x:v>
      </x:c>
      <x:c r="K757" s="16" t="n">
        <x:v>5</x:v>
      </x:c>
      <x:c r="L757" s="16" t="n">
        <x:v>1</x:v>
      </x:c>
      <x:c r="M757" s="16" t="n">
        <x:v>5</x:v>
      </x:c>
      <x:c r="N757" s="16" t="n">
        <x:v>3</x:v>
      </x:c>
      <x:c r="O757" s="16" t="n">
        <x:v>5</x:v>
      </x:c>
      <x:c r="P757" s="16" t="n">
        <x:f>IF(COUNT(I757:O757)&lt;7,"",I757*8+J757*3+K757*2+L757*2+M757*2+N757*2+O757)</x:f>
        <x:v>88</x:v>
      </x:c>
      <x:c r="Q757" s="16" t="n">
        <x:f>IF(COUNT(J757:O757)&lt;6,"",J757*5+K757*4+M757*4+L757*3+N757*2+O757*2)</x:f>
        <x:v>84</x:v>
      </x:c>
      <x:c r="R757" s="14" t="str">
        <x:v>high</x:v>
      </x:c>
      <x:c r="S757" s="14" t="str">
        <x:v>official_prozorro_award_2025_2026</x:v>
      </x:c>
      <x:c r="T757" s="14" t="str">
        <x:v>official_prozorro_api</x:v>
      </x:c>
      <x:c r="U757" s="14" t="str">
        <x:v>Не контактували</x:v>
      </x:c>
      <x:c r="V757" s="15" t="str">
        <x:v>Персоналізований free-pilot outreach по UA-2025-07-11-007985-a; попросити 1 пакет Н.14/Н.15</x:v>
      </x:c>
      <x:c r="W757" s="15" t="str">
        <x:v>Власник / виконавець; відповідальний за договір</x:v>
      </x:c>
      <x:c r="X757" s="15" t="str">
        <x:v>3 підтверджених перемог/договорів у Prozorro на 74 565 грн; 0 проєктів зі строком виконання не раніше 24.08.2026.</x:v>
      </x:c>
      <x:c r="Y757" s="15" t="str">
        <x:v>Поточний ремонт системи контурів заземлення, електровимірювальні роботи із виготовленням паспортів контурів  заземлення нежитлового приміщення адмінбудинку Карпатського національного природного парку за адресою: вул. Стуса, 6, м. Яремче Івано-Франківської області.; строк до 2025-09-05. Попросити один знеособлений пакет здачі за цим workflow.</x:v>
      </x:c>
      <x:c r="Z757" s="15" t="str">
        <x:v>https://prozorro.gov.ua/tender/UA-2025-07-11-007985-a</x:v>
      </x:c>
      <x:c r="AA757" s="14" t="str">
        <x:v>2448308158</x:v>
      </x:c>
      <x:c r="AB757" s="14" t="str">
        <x:v>2026-08-24</x:v>
      </x:c>
      <x:c r="AC757" s="14" t="str"/>
      <x:c r="AD757" s="20" t="str"/>
      <x:c r="AE757" s="14" t="str"/>
      <x:c r="AF757" s="14" t="n">
        <x:v>32</x:v>
      </x:c>
      <x:c r="AG757" s="14" t="str">
        <x:v>I3</x:v>
      </x:c>
      <x:c r="AH757" s="14" t="n">
        <x:v>3</x:v>
      </x:c>
      <x:c r="AI757" s="14" t="n">
        <x:v>0</x:v>
      </x:c>
      <x:c r="AJ757" s="18" t="n">
        <x:v>74565.36</x:v>
      </x:c>
      <x:c r="AK757" s="14" t="str">
        <x:v>https://prozorro.gov.ua/tender/UA-2025-07-11-007985-a</x:v>
      </x:c>
      <x:c r="AL757" s="19" t="n">
        <x:v>45849.489091689815</x:v>
      </x:c>
      <x:c r="AM757" s="19" t="n">
        <x:v>45905.491481481484</x:v>
      </x:c>
      <x:c r="AN757" s="15" t="str">
        <x:v>Електромонтаж</x:v>
      </x:c>
      <x:c r="AO757" s="15" t="str">
        <x:v>not_found_in_top_search</x:v>
      </x:c>
    </x:row>
    <x:row r="758">
      <x:c r="A758" s="14" t="str">
        <x:v>W3-486</x:v>
      </x:c>
      <x:c r="B758" s="14" t="str">
        <x:v>Prozorro winners — 24.08</x:v>
      </x:c>
      <x:c r="C758" s="14" t="str">
        <x:v>Фізична особа - підприємець Хрущ Сергій Володимирович</x:v>
      </x:c>
      <x:c r="D758" s="14" t="str">
        <x:v>Резервне живлення</x:v>
      </x:c>
      <x:c r="E758" s="14" t="str">
        <x:v>Expansion discovery</x:v>
      </x:c>
      <x:c r="F758" s="17" t="str">
        <x:f>IF(E758="Pilot now",IF(P758&gt;=84,"P1",IF(P758&gt;=72,"P2","P3")),IF(E758="Expansion discovery",IF(Q758&gt;=88,"D1",IF(Q758&gt;=78,"D2","D3")),IF(E758="Later / requirements","L","Legacy")))</x:f>
        <x:v>D2</x:v>
      </x:c>
      <x:c r="G758" s="14" t="str"/>
      <x:c r="H758" s="14" t="str">
        <x:v>Discovery розширення — 2 тижні</x:v>
      </x:c>
      <x:c r="I758" s="16" t="n">
        <x:v>1</x:v>
      </x:c>
      <x:c r="J758" s="16" t="n">
        <x:v>5</x:v>
      </x:c>
      <x:c r="K758" s="16" t="n">
        <x:v>4</x:v>
      </x:c>
      <x:c r="L758" s="16" t="n">
        <x:v>2</x:v>
      </x:c>
      <x:c r="M758" s="16" t="n">
        <x:v>5</x:v>
      </x:c>
      <x:c r="N758" s="16" t="n">
        <x:v>3</x:v>
      </x:c>
      <x:c r="O758" s="16" t="n">
        <x:v>5</x:v>
      </x:c>
      <x:c r="P758" s="16" t="n">
        <x:f>IF(COUNT(I758:O758)&lt;7,"",I758*8+J758*3+K758*2+L758*2+M758*2+N758*2+O758)</x:f>
        <x:v>56</x:v>
      </x:c>
      <x:c r="Q758" s="16" t="n">
        <x:f>IF(COUNT(J758:O758)&lt;6,"",J758*5+K758*4+M758*4+L758*3+N758*2+O758*2)</x:f>
        <x:v>83</x:v>
      </x:c>
      <x:c r="R758" s="14" t="str">
        <x:v>high</x:v>
      </x:c>
      <x:c r="S758" s="14" t="str">
        <x:v>official_prozorro_award_2025_2026</x:v>
      </x:c>
      <x:c r="T758" s="14" t="str">
        <x:v>official_prozorro_api</x:v>
      </x:c>
      <x:c r="U758" s="14" t="str">
        <x:v>Не контактували</x:v>
      </x:c>
      <x:c r="V758" s="15" t="str">
        <x:v>Workflow-audit outreach по UA-2025-12-23-016856-a; попросити 1 пакет здачі та вимоги проєкту</x:v>
      </x:c>
      <x:c r="W758" s="15" t="str">
        <x:v>Власник / виконавець; відповідальний за договір</x:v>
      </x:c>
      <x:c r="X758" s="15" t="str">
        <x:v>2 підтверджених перемог/договорів у Prozorro на 115 260 грн; 0 проєктів зі строком виконання не раніше 24.08.2026.</x:v>
      </x:c>
      <x:c r="Y758" s="15" t="str">
        <x:v>Послуги з монтажу джерел безперебійного живлення та системи резервного освітлення; строк до 2025-12-31. Попросити один знеособлений пакет здачі за цим workflow.</x:v>
      </x:c>
      <x:c r="Z758" s="15" t="str">
        <x:v>https://prozorro.gov.ua/tender/UA-2025-12-23-016856-a</x:v>
      </x:c>
      <x:c r="AA758" s="14" t="str">
        <x:v>3318711816</x:v>
      </x:c>
      <x:c r="AB758" s="14" t="str">
        <x:v>2026-08-24</x:v>
      </x:c>
      <x:c r="AC758" s="14" t="str"/>
      <x:c r="AD758" s="20" t="str"/>
      <x:c r="AE758" s="14" t="str"/>
      <x:c r="AF758" s="14" t="n">
        <x:v>31</x:v>
      </x:c>
      <x:c r="AG758" s="14" t="str">
        <x:v>I3</x:v>
      </x:c>
      <x:c r="AH758" s="14" t="n">
        <x:v>2</x:v>
      </x:c>
      <x:c r="AI758" s="14" t="n">
        <x:v>0</x:v>
      </x:c>
      <x:c r="AJ758" s="18" t="n">
        <x:v>115260</x:v>
      </x:c>
      <x:c r="AK758" s="14" t="str">
        <x:v>https://prozorro.gov.ua/tender/UA-2025-12-23-016856-a</x:v>
      </x:c>
      <x:c r="AL758" s="19" t="n">
        <x:v>46014.56969240741</x:v>
      </x:c>
      <x:c r="AM758" s="19" t="n">
        <x:v>46022.57048611111</x:v>
      </x:c>
      <x:c r="AN758" s="15" t="str">
        <x:v>Резервне живлення</x:v>
      </x:c>
      <x:c r="AO758" s="15" t="str">
        <x:v>not_found_in_top_search</x:v>
      </x:c>
    </x:row>
    <x:row r="759">
      <x:c r="A759" s="14" t="str">
        <x:v>W3-487</x:v>
      </x:c>
      <x:c r="B759" s="14" t="str">
        <x:v>Prozorro winners — 24.08</x:v>
      </x:c>
      <x:c r="C759" s="14" t="str">
        <x:v>ДОБРІНОВ СЕРГІЙ ПЕТРОВИЧ</x:v>
      </x:c>
      <x:c r="D759" s="14" t="str">
        <x:v>Електромонтаж</x:v>
      </x:c>
      <x:c r="E759" s="14" t="str">
        <x:v>Pilot now</x:v>
      </x:c>
      <x:c r="F759" s="17" t="str">
        <x:f>IF(E759="Pilot now",IF(P759&gt;=84,"P1",IF(P759&gt;=72,"P2","P3")),IF(E759="Expansion discovery",IF(Q759&gt;=88,"D1",IF(Q759&gt;=78,"D2","D3")),IF(E759="Later / requirements","L","Legacy")))</x:f>
        <x:v>P1</x:v>
      </x:c>
      <x:c r="G759" s="14" t="str"/>
      <x:c r="H759" s="14" t="str">
        <x:v>Пілот зараз — Н.15</x:v>
      </x:c>
      <x:c r="I759" s="16" t="n">
        <x:v>5</x:v>
      </x:c>
      <x:c r="J759" s="16" t="n">
        <x:v>5</x:v>
      </x:c>
      <x:c r="K759" s="16" t="n">
        <x:v>5</x:v>
      </x:c>
      <x:c r="L759" s="16" t="n">
        <x:v>1</x:v>
      </x:c>
      <x:c r="M759" s="16" t="n">
        <x:v>5</x:v>
      </x:c>
      <x:c r="N759" s="16" t="n">
        <x:v>3</x:v>
      </x:c>
      <x:c r="O759" s="16" t="n">
        <x:v>5</x:v>
      </x:c>
      <x:c r="P759" s="16" t="n">
        <x:f>IF(COUNT(I759:O759)&lt;7,"",I759*8+J759*3+K759*2+L759*2+M759*2+N759*2+O759)</x:f>
        <x:v>88</x:v>
      </x:c>
      <x:c r="Q759" s="16" t="n">
        <x:f>IF(COUNT(J759:O759)&lt;6,"",J759*5+K759*4+M759*4+L759*3+N759*2+O759*2)</x:f>
        <x:v>84</x:v>
      </x:c>
      <x:c r="R759" s="14" t="str">
        <x:v>high</x:v>
      </x:c>
      <x:c r="S759" s="14" t="str">
        <x:v>official_prozorro_award_2025_2026</x:v>
      </x:c>
      <x:c r="T759" s="14" t="str">
        <x:v>official_prozorro_api</x:v>
      </x:c>
      <x:c r="U759" s="14" t="str">
        <x:v>Не контактували</x:v>
      </x:c>
      <x:c r="V759" s="15" t="str">
        <x:v>Персоналізований free-pilot outreach по UA-2026-04-15-010231-a; попросити 1 пакет Н.14/Н.15</x:v>
      </x:c>
      <x:c r="W759" s="15" t="str">
        <x:v>Власник / виконавець; відповідальний за договір</x:v>
      </x:c>
      <x:c r="X759" s="15" t="str">
        <x:v>1 підтверджених перемог/договорів у Prozorro на 92 560 грн; 0 проєктів зі строком виконання не раніше 24.08.2026.</x:v>
      </x:c>
      <x:c r="Y759" s="15" t="str">
        <x:v>виготовлення  проєктно-кошторисної документації  по об’єкту: «Реконструкція електричних мереж комунального підприємства «Миколаївкомунтранс» шляхом монтажу та підключення сонячної електростанції на даху з установкою зберігання енергії за адресою: 54034, м. Микола-їв, вул. Ковальська, 199»  (71320000-7 Послуги з інженерного проектування); строк до 2026-07-04. Попросити один знеособлений пакет здачі за цим workflow.</x:v>
      </x:c>
      <x:c r="Z759" s="15" t="str">
        <x:v>https://prozorro.gov.ua/tender/UA-2026-04-15-010231-a</x:v>
      </x:c>
      <x:c r="AA759" s="14" t="str">
        <x:v>2347816559</x:v>
      </x:c>
      <x:c r="AB759" s="14" t="str">
        <x:v>2026-08-24</x:v>
      </x:c>
      <x:c r="AC759" s="14" t="str"/>
      <x:c r="AD759" s="20" t="str"/>
      <x:c r="AE759" s="14" t="str"/>
      <x:c r="AF759" s="14" t="n">
        <x:v>30</x:v>
      </x:c>
      <x:c r="AG759" s="14" t="str">
        <x:v>I3</x:v>
      </x:c>
      <x:c r="AH759" s="14" t="n">
        <x:v>1</x:v>
      </x:c>
      <x:c r="AI759" s="14" t="n">
        <x:v>0</x:v>
      </x:c>
      <x:c r="AJ759" s="18" t="n">
        <x:v>92560</x:v>
      </x:c>
      <x:c r="AK759" s="14" t="str">
        <x:v>https://prozorro.gov.ua/tender/UA-2026-04-15-010231-a</x:v>
      </x:c>
      <x:c r="AL759" s="19" t="n">
        <x:v>46127.52486856481</x:v>
      </x:c>
      <x:c r="AM759" s="19" t="n">
        <x:v>46207</x:v>
      </x:c>
      <x:c r="AN759" s="15" t="str">
        <x:v>Електромонтаж</x:v>
      </x:c>
      <x:c r="AO759" s="15" t="str">
        <x:v>not_found_in_top_search</x:v>
      </x:c>
    </x:row>
    <x:row r="760">
      <x:c r="A760" s="14" t="str">
        <x:v>W3-488</x:v>
      </x:c>
      <x:c r="B760" s="14" t="str">
        <x:v>Prozorro winners — 24.08</x:v>
      </x:c>
      <x:c r="C760" s="14" t="str">
        <x:v>Фізична особа-підприємець Ковач Семен Семенович</x:v>
      </x:c>
      <x:c r="D760" s="14" t="str">
        <x:v>Безпека / СКУД / CCTV</x:v>
      </x:c>
      <x:c r="E760" s="14" t="str">
        <x:v>Expansion discovery</x:v>
      </x:c>
      <x:c r="F760" s="17" t="str">
        <x:f>IF(E760="Pilot now",IF(P760&gt;=84,"P1",IF(P760&gt;=72,"P2","P3")),IF(E760="Expansion discovery",IF(Q760&gt;=88,"D1",IF(Q760&gt;=78,"D2","D3")),IF(E760="Later / requirements","L","Legacy")))</x:f>
        <x:v>D2</x:v>
      </x:c>
      <x:c r="G760" s="14" t="str"/>
      <x:c r="H760" s="14" t="str">
        <x:v>Discovery розширення — 2 тижні</x:v>
      </x:c>
      <x:c r="I760" s="16" t="n">
        <x:v>1</x:v>
      </x:c>
      <x:c r="J760" s="16" t="n">
        <x:v>5</x:v>
      </x:c>
      <x:c r="K760" s="16" t="n">
        <x:v>4</x:v>
      </x:c>
      <x:c r="L760" s="16" t="n">
        <x:v>1</x:v>
      </x:c>
      <x:c r="M760" s="16" t="n">
        <x:v>5</x:v>
      </x:c>
      <x:c r="N760" s="16" t="n">
        <x:v>3</x:v>
      </x:c>
      <x:c r="O760" s="16" t="n">
        <x:v>5</x:v>
      </x:c>
      <x:c r="P760" s="16" t="n">
        <x:f>IF(COUNT(I760:O760)&lt;7,"",I760*8+J760*3+K760*2+L760*2+M760*2+N760*2+O760)</x:f>
        <x:v>54</x:v>
      </x:c>
      <x:c r="Q760" s="16" t="n">
        <x:f>IF(COUNT(J760:O760)&lt;6,"",J760*5+K760*4+M760*4+L760*3+N760*2+O760*2)</x:f>
        <x:v>80</x:v>
      </x:c>
      <x:c r="R760" s="14" t="str">
        <x:v>high</x:v>
      </x:c>
      <x:c r="S760" s="14" t="str">
        <x:v>official_prozorro_award_2025_2026</x:v>
      </x:c>
      <x:c r="T760" s="14" t="str">
        <x:v>official_prozorro_api</x:v>
      </x:c>
      <x:c r="U760" s="14" t="str">
        <x:v>Не контактували</x:v>
      </x:c>
      <x:c r="V760" s="15" t="str">
        <x:v>Workflow-audit outreach по UA-2026-04-17-000711-a; попросити 1 пакет здачі та вимоги проєкту</x:v>
      </x:c>
      <x:c r="W760" s="15" t="str">
        <x:v>Власник / виконавець; відповідальний за договір</x:v>
      </x:c>
      <x:c r="X760" s="15" t="str">
        <x:v>1 підтверджених перемог/договорів у Prozorro на 76 600 грн; 0 проєктів зі строком виконання не раніше 24.08.2026.</x:v>
      </x:c>
      <x:c r="Y760" s="15" t="str">
        <x:v>Послуги з встановлення системи керування та контролю доступу для воріт за адресою: м. Тернопіль, вул. Галицька, 40Б: монтаж та налаштування автоматики розпашних воріт; монтаж та налаштування система керування та контролю доступу (SafetyEye SE-IPC-2BP47-I10ZA (2.8-12мм);  монтаж та налаштування СКУД  для калітки; прокладання кабеля; прокладання гофрорукава;монтаж електромеханічного замка з використанням  зварювальних  послуг.; строк до 2026-06-30. Попросити один знеособлений пакет здачі за цим workflow.</x:v>
      </x:c>
      <x:c r="Z760" s="15" t="str">
        <x:v>https://prozorro.gov.ua/tender/UA-2026-04-17-000711-a</x:v>
      </x:c>
      <x:c r="AA760" s="14" t="str">
        <x:v>3076004037</x:v>
      </x:c>
      <x:c r="AB760" s="14" t="str">
        <x:v>2026-08-24</x:v>
      </x:c>
      <x:c r="AC760" s="14" t="str"/>
      <x:c r="AD760" s="20" t="str"/>
      <x:c r="AE760" s="14" t="str"/>
      <x:c r="AF760" s="14" t="n">
        <x:v>30</x:v>
      </x:c>
      <x:c r="AG760" s="14" t="str">
        <x:v>I3</x:v>
      </x:c>
      <x:c r="AH760" s="14" t="n">
        <x:v>1</x:v>
      </x:c>
      <x:c r="AI760" s="14" t="n">
        <x:v>0</x:v>
      </x:c>
      <x:c r="AJ760" s="18" t="n">
        <x:v>76600</x:v>
      </x:c>
      <x:c r="AK760" s="14" t="str">
        <x:v>https://prozorro.gov.ua/tender/UA-2026-04-17-000711-a</x:v>
      </x:c>
      <x:c r="AL760" s="19" t="n">
        <x:v>46129.26033920139</x:v>
      </x:c>
      <x:c r="AM760" s="19" t="n">
        <x:v>46203.26263888889</x:v>
      </x:c>
      <x:c r="AN760" s="15" t="str">
        <x:v>Безпека / СКУД / CCTV</x:v>
      </x:c>
      <x:c r="AO760" s="15" t="str">
        <x:v>not_found_in_top_search</x:v>
      </x:c>
    </x:row>
    <x:row r="761">
      <x:c r="A761" s="14" t="str">
        <x:v>W3-489</x:v>
      </x:c>
      <x:c r="B761" s="14" t="str">
        <x:v>Prozorro winners — 24.08</x:v>
      </x:c>
      <x:c r="C761" s="14" t="str">
        <x:v>ПРИВАТНЕ ПІДПРИЄМСТВО "ТЕРМО-БУД-СЕРВІС"</x:v>
      </x:c>
      <x:c r="D761" s="14" t="str">
        <x:v>HVAC / ОВіК</x:v>
      </x:c>
      <x:c r="E761" s="14" t="str">
        <x:v>Pilot now</x:v>
      </x:c>
      <x:c r="F761" s="17" t="str">
        <x:f>IF(E761="Pilot now",IF(P761&gt;=84,"P1",IF(P761&gt;=72,"P2","P3")),IF(E761="Expansion discovery",IF(Q761&gt;=88,"D1",IF(Q761&gt;=78,"D2","D3")),IF(E761="Later / requirements","L","Legacy")))</x:f>
        <x:v>P1</x:v>
      </x:c>
      <x:c r="G761" s="14" t="str"/>
      <x:c r="H761" s="14" t="str">
        <x:v>Пілот зараз — Н.14</x:v>
      </x:c>
      <x:c r="I761" s="16" t="n">
        <x:v>5</x:v>
      </x:c>
      <x:c r="J761" s="16" t="n">
        <x:v>5</x:v>
      </x:c>
      <x:c r="K761" s="16" t="n">
        <x:v>5</x:v>
      </x:c>
      <x:c r="L761" s="16" t="n">
        <x:v>1</x:v>
      </x:c>
      <x:c r="M761" s="16" t="n">
        <x:v>5</x:v>
      </x:c>
      <x:c r="N761" s="16" t="n">
        <x:v>5</x:v>
      </x:c>
      <x:c r="O761" s="16" t="n">
        <x:v>5</x:v>
      </x:c>
      <x:c r="P761" s="16" t="n">
        <x:f>IF(COUNT(I761:O761)&lt;7,"",I761*8+J761*3+K761*2+L761*2+M761*2+N761*2+O761)</x:f>
        <x:v>92</x:v>
      </x:c>
      <x:c r="Q761" s="16" t="n">
        <x:f>IF(COUNT(J761:O761)&lt;6,"",J761*5+K761*4+M761*4+L761*3+N761*2+O761*2)</x:f>
        <x:v>88</x:v>
      </x:c>
      <x:c r="R761" s="14" t="str">
        <x:v>high</x:v>
      </x:c>
      <x:c r="S761" s="14" t="str">
        <x:v>official_prozorro_award_2025_2026</x:v>
      </x:c>
      <x:c r="T761" s="14" t="str">
        <x:v>official_prozorro_api</x:v>
      </x:c>
      <x:c r="U761" s="14" t="str">
        <x:v>Не контактували</x:v>
      </x:c>
      <x:c r="V761" s="15" t="str">
        <x:v>Персоналізований free-pilot outreach по UA-2025-12-16-024067-a; попросити 1 пакет Н.14/Н.15</x:v>
      </x:c>
      <x:c r="W761" s="15" t="str">
        <x:v>Власник / директор; керівник ПТО; відповідальний за договори</x:v>
      </x:c>
      <x:c r="X761" s="15" t="str">
        <x:v>2 підтверджених перемог/договорів у Prozorro на 76 536 грн; 0 проєктів зі строком виконання не раніше 24.08.2026.</x:v>
      </x:c>
      <x:c r="Y761" s="15" t="str">
        <x:v>Монтаж системи вентиляції; строк до 2025-12-19. Попросити один знеособлений пакет здачі за цим workflow.</x:v>
      </x:c>
      <x:c r="Z761" s="15" t="str">
        <x:v>https://prozorro.gov.ua/tender/UA-2025-12-16-024067-a</x:v>
      </x:c>
      <x:c r="AA761" s="14" t="str">
        <x:v>37076562</x:v>
      </x:c>
      <x:c r="AB761" s="14" t="str">
        <x:v>2026-08-24</x:v>
      </x:c>
      <x:c r="AC761" s="14" t="str"/>
      <x:c r="AD761" s="20" t="str"/>
      <x:c r="AE761" s="14" t="str"/>
      <x:c r="AF761" s="14" t="n">
        <x:v>30</x:v>
      </x:c>
      <x:c r="AG761" s="14" t="str">
        <x:v>I3</x:v>
      </x:c>
      <x:c r="AH761" s="14" t="n">
        <x:v>2</x:v>
      </x:c>
      <x:c r="AI761" s="14" t="n">
        <x:v>0</x:v>
      </x:c>
      <x:c r="AJ761" s="18" t="n">
        <x:v>76536</x:v>
      </x:c>
      <x:c r="AK761" s="14" t="str">
        <x:v>https://prozorro.gov.ua/tender/UA-2025-12-16-024067-a</x:v>
      </x:c>
      <x:c r="AL761" s="19" t="n">
        <x:v>46007.66713553241</x:v>
      </x:c>
      <x:c r="AM761" s="19" t="n">
        <x:v>46010</x:v>
      </x:c>
      <x:c r="AN761" s="15" t="str">
        <x:v>HVAC / ОВіК</x:v>
      </x:c>
      <x:c r="AO761" s="15" t="str">
        <x:v>not_found_in_top_search</x:v>
      </x:c>
    </x:row>
    <x:row r="762">
      <x:c r="A762" s="14" t="str">
        <x:v>W3-490</x:v>
      </x:c>
      <x:c r="B762" s="14" t="str">
        <x:v>Prozorro winners — 24.08</x:v>
      </x:c>
      <x:c r="C762" s="14" t="str">
        <x:v>ТОВ "Гармонія сонця"</x:v>
      </x:c>
      <x:c r="D762" s="14" t="str">
        <x:v>Резервне живлення</x:v>
      </x:c>
      <x:c r="E762" s="14" t="str">
        <x:v>Expansion discovery</x:v>
      </x:c>
      <x:c r="F762" s="17" t="str">
        <x:f>IF(E762="Pilot now",IF(P762&gt;=84,"P1",IF(P762&gt;=72,"P2","P3")),IF(E762="Expansion discovery",IF(Q762&gt;=88,"D1",IF(Q762&gt;=78,"D2","D3")),IF(E762="Later / requirements","L","Legacy")))</x:f>
        <x:v>D2</x:v>
      </x:c>
      <x:c r="G762" s="14" t="str"/>
      <x:c r="H762" s="14" t="str">
        <x:v>Discovery розширення — 2 тижні</x:v>
      </x:c>
      <x:c r="I762" s="16" t="n">
        <x:v>1</x:v>
      </x:c>
      <x:c r="J762" s="16" t="n">
        <x:v>5</x:v>
      </x:c>
      <x:c r="K762" s="16" t="n">
        <x:v>4</x:v>
      </x:c>
      <x:c r="L762" s="16" t="n">
        <x:v>1</x:v>
      </x:c>
      <x:c r="M762" s="16" t="n">
        <x:v>5</x:v>
      </x:c>
      <x:c r="N762" s="16" t="n">
        <x:v>5</x:v>
      </x:c>
      <x:c r="O762" s="16" t="n">
        <x:v>5</x:v>
      </x:c>
      <x:c r="P762" s="16" t="n">
        <x:f>IF(COUNT(I762:O762)&lt;7,"",I762*8+J762*3+K762*2+L762*2+M762*2+N762*2+O762)</x:f>
        <x:v>58</x:v>
      </x:c>
      <x:c r="Q762" s="16" t="n">
        <x:f>IF(COUNT(J762:O762)&lt;6,"",J762*5+K762*4+M762*4+L762*3+N762*2+O762*2)</x:f>
        <x:v>84</x:v>
      </x:c>
      <x:c r="R762" s="14" t="str">
        <x:v>high</x:v>
      </x:c>
      <x:c r="S762" s="14" t="str">
        <x:v>official_prozorro_award_2025_2026</x:v>
      </x:c>
      <x:c r="T762" s="14" t="str">
        <x:v>official_prozorro_api</x:v>
      </x:c>
      <x:c r="U762" s="14" t="str">
        <x:v>Не контактували</x:v>
      </x:c>
      <x:c r="V762" s="15" t="str">
        <x:v>Workflow-audit outreach по UA-2025-08-22-002549-a; попросити 1 пакет здачі та вимоги проєкту</x:v>
      </x:c>
      <x:c r="W762" s="15" t="str">
        <x:v>Власник / директор; керівник ПТО; відповідальний за договори</x:v>
      </x:c>
      <x:c r="X762" s="15" t="str">
        <x:v>2 підтверджених перемог/договорів у Prozorro на 60 000 грн; 0 проєктів зі строком виконання не раніше 24.08.2026.</x:v>
      </x:c>
      <x:c r="Y762" s="15" t="str">
        <x:v>Встановлення комплекту системи безперебійного живлення (встановлення, монтаж та налаштування електричного обладнання Tesla Powerwall2); строк до 2025-12-31. Попросити один знеособлений пакет здачі за цим workflow.</x:v>
      </x:c>
      <x:c r="Z762" s="15" t="str">
        <x:v>https://prozorro.gov.ua/tender/UA-2025-08-22-002549-a</x:v>
      </x:c>
      <x:c r="AA762" s="14" t="str">
        <x:v>45494756</x:v>
      </x:c>
      <x:c r="AB762" s="14" t="str">
        <x:v>2026-08-24</x:v>
      </x:c>
      <x:c r="AC762" s="14" t="str"/>
      <x:c r="AD762" s="20" t="str"/>
      <x:c r="AE762" s="14" t="str"/>
      <x:c r="AF762" s="14" t="n">
        <x:v>30</x:v>
      </x:c>
      <x:c r="AG762" s="14" t="str">
        <x:v>I3</x:v>
      </x:c>
      <x:c r="AH762" s="14" t="n">
        <x:v>2</x:v>
      </x:c>
      <x:c r="AI762" s="14" t="n">
        <x:v>0</x:v>
      </x:c>
      <x:c r="AJ762" s="18" t="n">
        <x:v>60000</x:v>
      </x:c>
      <x:c r="AK762" s="14" t="str">
        <x:v>https://prozorro.gov.ua/tender/UA-2025-08-22-002549-a</x:v>
      </x:c>
      <x:c r="AL762" s="19" t="n">
        <x:v>45891.321374467596</x:v>
      </x:c>
      <x:c r="AM762" s="19" t="n">
        <x:v>46022.36398148148</x:v>
      </x:c>
      <x:c r="AN762" s="15" t="str">
        <x:v>Резервне живлення</x:v>
      </x:c>
      <x:c r="AO762" s="15" t="str">
        <x:v>not_found_in_top_search</x:v>
      </x:c>
    </x:row>
    <x:row r="763">
      <x:c r="A763" s="14" t="str">
        <x:v>W3-491</x:v>
      </x:c>
      <x:c r="B763" s="14" t="str">
        <x:v>Prozorro winners — 24.08</x:v>
      </x:c>
      <x:c r="C763" s="14" t="str">
        <x:v>НЕВАРЕНИХ ГАННА МИКОЛАЇВНА</x:v>
      </x:c>
      <x:c r="D763" s="14" t="str">
        <x:v>Газопостачання / котельні</x:v>
      </x:c>
      <x:c r="E763" s="14" t="str">
        <x:v>Expansion discovery</x:v>
      </x:c>
      <x:c r="F763" s="17" t="str">
        <x:f>IF(E763="Pilot now",IF(P763&gt;=84,"P1",IF(P763&gt;=72,"P2","P3")),IF(E763="Expansion discovery",IF(Q763&gt;=88,"D1",IF(Q763&gt;=78,"D2","D3")),IF(E763="Later / requirements","L","Legacy")))</x:f>
        <x:v>D2</x:v>
      </x:c>
      <x:c r="G763" s="14" t="str"/>
      <x:c r="H763" s="14" t="str">
        <x:v>Discovery розширення — 2 тижні</x:v>
      </x:c>
      <x:c r="I763" s="16" t="n">
        <x:v>1</x:v>
      </x:c>
      <x:c r="J763" s="16" t="n">
        <x:v>5</x:v>
      </x:c>
      <x:c r="K763" s="16" t="n">
        <x:v>4</x:v>
      </x:c>
      <x:c r="L763" s="16" t="n">
        <x:v>1</x:v>
      </x:c>
      <x:c r="M763" s="16" t="n">
        <x:v>5</x:v>
      </x:c>
      <x:c r="N763" s="16" t="n">
        <x:v>3</x:v>
      </x:c>
      <x:c r="O763" s="16" t="n">
        <x:v>5</x:v>
      </x:c>
      <x:c r="P763" s="16" t="n">
        <x:f>IF(COUNT(I763:O763)&lt;7,"",I763*8+J763*3+K763*2+L763*2+M763*2+N763*2+O763)</x:f>
        <x:v>54</x:v>
      </x:c>
      <x:c r="Q763" s="16" t="n">
        <x:f>IF(COUNT(J763:O763)&lt;6,"",J763*5+K763*4+M763*4+L763*3+N763*2+O763*2)</x:f>
        <x:v>80</x:v>
      </x:c>
      <x:c r="R763" s="14" t="str">
        <x:v>high</x:v>
      </x:c>
      <x:c r="S763" s="14" t="str">
        <x:v>official_prozorro_award_2025_2026</x:v>
      </x:c>
      <x:c r="T763" s="14" t="str">
        <x:v>official_prozorro_api</x:v>
      </x:c>
      <x:c r="U763" s="14" t="str">
        <x:v>Не контактували</x:v>
      </x:c>
      <x:c r="V763" s="15" t="str">
        <x:v>Workflow-audit outreach по UA-2026-03-23-007547-a; попросити 1 пакет здачі та вимоги проєкту</x:v>
      </x:c>
      <x:c r="W763" s="15" t="str">
        <x:v>Власник / виконавець; відповідальний за договір</x:v>
      </x:c>
      <x:c r="X763" s="15" t="str">
        <x:v>1 підтверджених перемог/договорів у Prozorro на 53 694 грн; 0 проєктів зі строком виконання не раніше 24.08.2026.</x:v>
      </x:c>
      <x:c r="Y763" s="15" t="str">
        <x:v>Послуга аварійної заміни вхідного кабелю, монтажу виносної шафи обліку, заміни та підключення кабеля живлення в приміщенні котельні Дубровицького ЗЗСО; строк до 2026-06-30. Попросити один знеособлений пакет здачі за цим workflow.</x:v>
      </x:c>
      <x:c r="Z763" s="15" t="str">
        <x:v>https://prozorro.gov.ua/tender/UA-2026-03-23-007547-a</x:v>
      </x:c>
      <x:c r="AA763" s="14" t="str">
        <x:v>2515106803</x:v>
      </x:c>
      <x:c r="AB763" s="14" t="str">
        <x:v>2026-08-24</x:v>
      </x:c>
      <x:c r="AC763" s="14" t="str"/>
      <x:c r="AD763" s="20" t="str"/>
      <x:c r="AE763" s="14" t="str"/>
      <x:c r="AF763" s="14" t="n">
        <x:v>30</x:v>
      </x:c>
      <x:c r="AG763" s="14" t="str">
        <x:v>I3</x:v>
      </x:c>
      <x:c r="AH763" s="14" t="n">
        <x:v>1</x:v>
      </x:c>
      <x:c r="AI763" s="14" t="n">
        <x:v>0</x:v>
      </x:c>
      <x:c r="AJ763" s="18" t="n">
        <x:v>53694</x:v>
      </x:c>
      <x:c r="AK763" s="14" t="str">
        <x:v>https://prozorro.gov.ua/tender/UA-2026-03-23-007547-a</x:v>
      </x:c>
      <x:c r="AL763" s="19" t="n">
        <x:v>46104.57060160879</x:v>
      </x:c>
      <x:c r="AM763" s="19" t="n">
        <x:v>46203</x:v>
      </x:c>
      <x:c r="AN763" s="15" t="str">
        <x:v>Газопостачання / котельні</x:v>
      </x:c>
      <x:c r="AO763" s="15" t="str">
        <x:v>not_found_in_top_search</x:v>
      </x:c>
    </x:row>
    <x:row r="764">
      <x:c r="A764" s="14" t="str">
        <x:v>W3-492</x:v>
      </x:c>
      <x:c r="B764" s="14" t="str">
        <x:v>Prozorro winners — 24.08</x:v>
      </x:c>
      <x:c r="C764" s="14" t="str">
        <x:v>ТОВ «СЕКУР ІНТЕГРАЦІЯ»</x:v>
      </x:c>
      <x:c r="D764" s="14" t="str">
        <x:v>Безпека / СКУД / CCTV</x:v>
      </x:c>
      <x:c r="E764" s="14" t="str">
        <x:v>Expansion discovery</x:v>
      </x:c>
      <x:c r="F764" s="17" t="str">
        <x:f>IF(E764="Pilot now",IF(P764&gt;=84,"P1",IF(P764&gt;=72,"P2","P3")),IF(E764="Expansion discovery",IF(Q764&gt;=88,"D1",IF(Q764&gt;=78,"D2","D3")),IF(E764="Later / requirements","L","Legacy")))</x:f>
        <x:v>D2</x:v>
      </x:c>
      <x:c r="G764" s="14" t="str"/>
      <x:c r="H764" s="14" t="str">
        <x:v>Discovery розширення — 2 тижні</x:v>
      </x:c>
      <x:c r="I764" s="16" t="n">
        <x:v>1</x:v>
      </x:c>
      <x:c r="J764" s="16" t="n">
        <x:v>5</x:v>
      </x:c>
      <x:c r="K764" s="16" t="n">
        <x:v>4</x:v>
      </x:c>
      <x:c r="L764" s="16" t="n">
        <x:v>1</x:v>
      </x:c>
      <x:c r="M764" s="16" t="n">
        <x:v>5</x:v>
      </x:c>
      <x:c r="N764" s="16" t="n">
        <x:v>5</x:v>
      </x:c>
      <x:c r="O764" s="16" t="n">
        <x:v>5</x:v>
      </x:c>
      <x:c r="P764" s="16" t="n">
        <x:f>IF(COUNT(I764:O764)&lt;7,"",I764*8+J764*3+K764*2+L764*2+M764*2+N764*2+O764)</x:f>
        <x:v>58</x:v>
      </x:c>
      <x:c r="Q764" s="16" t="n">
        <x:f>IF(COUNT(J764:O764)&lt;6,"",J764*5+K764*4+M764*4+L764*3+N764*2+O764*2)</x:f>
        <x:v>84</x:v>
      </x:c>
      <x:c r="R764" s="14" t="str">
        <x:v>high</x:v>
      </x:c>
      <x:c r="S764" s="14" t="str">
        <x:v>official_prozorro_award_2025_2026</x:v>
      </x:c>
      <x:c r="T764" s="14" t="str">
        <x:v>official_prozorro_api</x:v>
      </x:c>
      <x:c r="U764" s="14" t="str">
        <x:v>Не контактували</x:v>
      </x:c>
      <x:c r="V764" s="15" t="str">
        <x:v>Workflow-audit outreach по UA-2025-12-17-004604-a; попросити 1 пакет здачі та вимоги проєкту</x:v>
      </x:c>
      <x:c r="W764" s="15" t="str">
        <x:v>Власник / директор; керівник ПТО; відповідальний за договори</x:v>
      </x:c>
      <x:c r="X764" s="15" t="str">
        <x:v>2 підтверджених перемог/договорів у Prozorro на 30 612 грн; 0 проєктів зі строком виконання не раніше 24.08.2026.</x:v>
      </x:c>
      <x:c r="Y764" s="15" t="str">
        <x:v>Послуги з монтажу та пусконалагоджування системи контролю доступу; строк до 2025-12-24. Попросити один знеособлений пакет здачі за цим workflow.</x:v>
      </x:c>
      <x:c r="Z764" s="15" t="str">
        <x:v>https://prozorro.gov.ua/tender/UA-2025-12-17-004604-a</x:v>
      </x:c>
      <x:c r="AA764" s="14" t="str">
        <x:v>39328390</x:v>
      </x:c>
      <x:c r="AB764" s="14" t="str">
        <x:v>2026-08-24</x:v>
      </x:c>
      <x:c r="AC764" s="14" t="str"/>
      <x:c r="AD764" s="20" t="str"/>
      <x:c r="AE764" s="14" t="str"/>
      <x:c r="AF764" s="14" t="n">
        <x:v>30</x:v>
      </x:c>
      <x:c r="AG764" s="14" t="str">
        <x:v>I3</x:v>
      </x:c>
      <x:c r="AH764" s="14" t="n">
        <x:v>2</x:v>
      </x:c>
      <x:c r="AI764" s="14" t="n">
        <x:v>0</x:v>
      </x:c>
      <x:c r="AJ764" s="18" t="n">
        <x:v>30612</x:v>
      </x:c>
      <x:c r="AK764" s="14" t="str">
        <x:v>https://prozorro.gov.ua/tender/UA-2025-12-17-004604-a</x:v>
      </x:c>
      <x:c r="AL764" s="19" t="n">
        <x:v>46008.35794201389</x:v>
      </x:c>
      <x:c r="AM764" s="19" t="n">
        <x:v>46015</x:v>
      </x:c>
      <x:c r="AN764" s="15" t="str">
        <x:v>Безпека / СКУД / CCTV</x:v>
      </x:c>
      <x:c r="AO764" s="15" t="str">
        <x:v>not_found_in_top_search</x:v>
      </x:c>
    </x:row>
    <x:row r="765">
      <x:c r="A765" s="14" t="str">
        <x:v>W3-493</x:v>
      </x:c>
      <x:c r="B765" s="14" t="str">
        <x:v>Prozorro winners — 24.08</x:v>
      </x:c>
      <x:c r="C765" s="14" t="str">
        <x:v>ПП "ЕПТ"</x:v>
      </x:c>
      <x:c r="D765" s="14" t="str">
        <x:v>HVAC / ОВіК</x:v>
      </x:c>
      <x:c r="E765" s="14" t="str">
        <x:v>Pilot now</x:v>
      </x:c>
      <x:c r="F765" s="17" t="str">
        <x:f>IF(E765="Pilot now",IF(P765&gt;=84,"P1",IF(P765&gt;=72,"P2","P3")),IF(E765="Expansion discovery",IF(Q765&gt;=88,"D1",IF(Q765&gt;=78,"D2","D3")),IF(E765="Later / requirements","L","Legacy")))</x:f>
        <x:v>P1</x:v>
      </x:c>
      <x:c r="G765" s="14" t="str"/>
      <x:c r="H765" s="14" t="str">
        <x:v>Пілот зараз — Н.14</x:v>
      </x:c>
      <x:c r="I765" s="16" t="n">
        <x:v>5</x:v>
      </x:c>
      <x:c r="J765" s="16" t="n">
        <x:v>5</x:v>
      </x:c>
      <x:c r="K765" s="16" t="n">
        <x:v>5</x:v>
      </x:c>
      <x:c r="L765" s="16" t="n">
        <x:v>1</x:v>
      </x:c>
      <x:c r="M765" s="16" t="n">
        <x:v>5</x:v>
      </x:c>
      <x:c r="N765" s="16" t="n">
        <x:v>5</x:v>
      </x:c>
      <x:c r="O765" s="16" t="n">
        <x:v>5</x:v>
      </x:c>
      <x:c r="P765" s="16" t="n">
        <x:f>IF(COUNT(I765:O765)&lt;7,"",I765*8+J765*3+K765*2+L765*2+M765*2+N765*2+O765)</x:f>
        <x:v>92</x:v>
      </x:c>
      <x:c r="Q765" s="16" t="n">
        <x:f>IF(COUNT(J765:O765)&lt;6,"",J765*5+K765*4+M765*4+L765*3+N765*2+O765*2)</x:f>
        <x:v>88</x:v>
      </x:c>
      <x:c r="R765" s="14" t="str">
        <x:v>high</x:v>
      </x:c>
      <x:c r="S765" s="14" t="str">
        <x:v>official_prozorro_award_2025_2026</x:v>
      </x:c>
      <x:c r="T765" s="14" t="str">
        <x:v>official_prozorro_api</x:v>
      </x:c>
      <x:c r="U765" s="14" t="str">
        <x:v>Не контактували</x:v>
      </x:c>
      <x:c r="V765" s="15" t="str">
        <x:v>Персоналізований free-pilot outreach по UA-2025-12-17-007470-a; попросити 1 пакет Н.14/Н.15</x:v>
      </x:c>
      <x:c r="W765" s="15" t="str">
        <x:v>Власник / директор; керівник ПТО; відповідальний за договори</x:v>
      </x:c>
      <x:c r="X765" s="15" t="str">
        <x:v>2 підтверджених перемог/договорів у Prozorro на 27 000 грн; 0 проєктів зі строком виконання не раніше 24.08.2026.</x:v>
      </x:c>
      <x:c r="Y765" s="15" t="str">
        <x:v>Монтаж витяжної системи вентиляції; строк до 2025-12-31. Попросити один знеособлений пакет здачі за цим workflow.</x:v>
      </x:c>
      <x:c r="Z765" s="15" t="str">
        <x:v>https://prozorro.gov.ua/tender/UA-2025-12-17-007470-a</x:v>
      </x:c>
      <x:c r="AA765" s="14" t="str">
        <x:v>37259687</x:v>
      </x:c>
      <x:c r="AB765" s="14" t="str">
        <x:v>2026-08-24</x:v>
      </x:c>
      <x:c r="AC765" s="14" t="str"/>
      <x:c r="AD765" s="20" t="str"/>
      <x:c r="AE765" s="14" t="str"/>
      <x:c r="AF765" s="14" t="n">
        <x:v>30</x:v>
      </x:c>
      <x:c r="AG765" s="14" t="str">
        <x:v>I3</x:v>
      </x:c>
      <x:c r="AH765" s="14" t="n">
        <x:v>2</x:v>
      </x:c>
      <x:c r="AI765" s="14" t="n">
        <x:v>0</x:v>
      </x:c>
      <x:c r="AJ765" s="18" t="n">
        <x:v>27000</x:v>
      </x:c>
      <x:c r="AK765" s="14" t="str">
        <x:v>https://prozorro.gov.ua/tender/UA-2025-12-17-007470-a</x:v>
      </x:c>
      <x:c r="AL765" s="19" t="n">
        <x:v>46008.39795467593</x:v>
      </x:c>
      <x:c r="AM765" s="19" t="n">
        <x:v>46022.916666655095</x:v>
      </x:c>
      <x:c r="AN765" s="15" t="str">
        <x:v>HVAC / ОВіК</x:v>
      </x:c>
      <x:c r="AO765" s="15" t="str">
        <x:v>not_found_in_top_search</x:v>
      </x:c>
    </x:row>
    <x:row r="766">
      <x:c r="A766" s="14" t="str">
        <x:v>W3-494</x:v>
      </x:c>
      <x:c r="B766" s="14" t="str">
        <x:v>Prozorro winners — 24.08</x:v>
      </x:c>
      <x:c r="C766" s="14" t="str">
        <x:v>ТОВАРИСТВО З ОБМЕЖЕНОЮ ВІДПОВІДАЛЬНІСТЮ ВИРОБНИЧЕ ПІДПРИЄМСТВО "ЕЛЕКТРОТЕХНІКА"</x:v>
      </x:c>
      <x:c r="D766" s="14" t="str">
        <x:v>Електромонтаж</x:v>
      </x:c>
      <x:c r="E766" s="14" t="str">
        <x:v>Pilot now</x:v>
      </x:c>
      <x:c r="F766" s="17" t="str">
        <x:f>IF(E766="Pilot now",IF(P766&gt;=84,"P1",IF(P766&gt;=72,"P2","P3")),IF(E766="Expansion discovery",IF(Q766&gt;=88,"D1",IF(Q766&gt;=78,"D2","D3")),IF(E766="Later / requirements","L","Legacy")))</x:f>
        <x:v>P1</x:v>
      </x:c>
      <x:c r="G766" s="14" t="str"/>
      <x:c r="H766" s="14" t="str">
        <x:v>Пілот зараз — Н.15</x:v>
      </x:c>
      <x:c r="I766" s="16" t="n">
        <x:v>5</x:v>
      </x:c>
      <x:c r="J766" s="16" t="n">
        <x:v>5</x:v>
      </x:c>
      <x:c r="K766" s="16" t="n">
        <x:v>5</x:v>
      </x:c>
      <x:c r="L766" s="16" t="n">
        <x:v>1</x:v>
      </x:c>
      <x:c r="M766" s="16" t="n">
        <x:v>5</x:v>
      </x:c>
      <x:c r="N766" s="16" t="n">
        <x:v>5</x:v>
      </x:c>
      <x:c r="O766" s="16" t="n">
        <x:v>5</x:v>
      </x:c>
      <x:c r="P766" s="16" t="n">
        <x:f>IF(COUNT(I766:O766)&lt;7,"",I766*8+J766*3+K766*2+L766*2+M766*2+N766*2+O766)</x:f>
        <x:v>92</x:v>
      </x:c>
      <x:c r="Q766" s="16" t="n">
        <x:f>IF(COUNT(J766:O766)&lt;6,"",J766*5+K766*4+M766*4+L766*3+N766*2+O766*2)</x:f>
        <x:v>88</x:v>
      </x:c>
      <x:c r="R766" s="14" t="str">
        <x:v>high</x:v>
      </x:c>
      <x:c r="S766" s="14" t="str">
        <x:v>official_prozorro_award_2025_2026</x:v>
      </x:c>
      <x:c r="T766" s="14" t="str">
        <x:v>official_prozorro_api</x:v>
      </x:c>
      <x:c r="U766" s="14" t="str">
        <x:v>Не контактували</x:v>
      </x:c>
      <x:c r="V766" s="15" t="str">
        <x:v>Персоналізований free-pilot outreach по UA-2025-09-22-000985-a; попросити 1 пакет Н.14/Н.15</x:v>
      </x:c>
      <x:c r="W766" s="15" t="str">
        <x:v>Власник / директор; керівник ПТО; відповідальний за договори</x:v>
      </x:c>
      <x:c r="X766" s="15" t="str">
        <x:v>2 підтверджених перемог/договорів у Prozorro на 16 710 грн; 0 проєктів зі строком виконання не раніше 24.08.2026.</x:v>
      </x:c>
      <x:c r="Y766" s="15" t="str">
        <x:v>Електровимірювальні роботи пов'язані з електробезпекою (вимірювання опору ізоляції проводів та кабелів, повного опору петлі фаза-нуль, перехідних контактів заземлення); строк до 2025-12-31. Попросити один знеособлений пакет здачі за цим workflow.</x:v>
      </x:c>
      <x:c r="Z766" s="15" t="str">
        <x:v>https://prozorro.gov.ua/tender/UA-2025-09-22-000985-a</x:v>
      </x:c>
      <x:c r="AA766" s="14" t="str">
        <x:v>14227397</x:v>
      </x:c>
      <x:c r="AB766" s="14" t="str">
        <x:v>2026-08-24</x:v>
      </x:c>
      <x:c r="AC766" s="14" t="str"/>
      <x:c r="AD766" s="20" t="str"/>
      <x:c r="AE766" s="14" t="str"/>
      <x:c r="AF766" s="14" t="n">
        <x:v>30</x:v>
      </x:c>
      <x:c r="AG766" s="14" t="str">
        <x:v>I3</x:v>
      </x:c>
      <x:c r="AH766" s="14" t="n">
        <x:v>2</x:v>
      </x:c>
      <x:c r="AI766" s="14" t="n">
        <x:v>0</x:v>
      </x:c>
      <x:c r="AJ766" s="18" t="n">
        <x:v>16710</x:v>
      </x:c>
      <x:c r="AK766" s="14" t="str">
        <x:v>https://prozorro.gov.ua/tender/UA-2025-09-22-000985-a</x:v>
      </x:c>
      <x:c r="AL766" s="19" t="n">
        <x:v>45922.27730739583</x:v>
      </x:c>
      <x:c r="AM766" s="19" t="n">
        <x:v>46022</x:v>
      </x:c>
      <x:c r="AN766" s="15" t="str">
        <x:v>Електромонтаж</x:v>
      </x:c>
      <x:c r="AO766" s="15" t="str">
        <x:v>not_found_in_top_search</x:v>
      </x:c>
    </x:row>
    <x:row r="767">
      <x:c r="A767" s="14" t="str">
        <x:v>W3-495</x:v>
      </x:c>
      <x:c r="B767" s="14" t="str">
        <x:v>Prozorro winners — 24.08</x:v>
      </x:c>
      <x:c r="C767" s="14" t="str">
        <x:v>ТОВ "Технолоджі Мувмент"</x:v>
      </x:c>
      <x:c r="D767" s="14" t="str">
        <x:v>Резервне живлення</x:v>
      </x:c>
      <x:c r="E767" s="14" t="str">
        <x:v>Expansion discovery</x:v>
      </x:c>
      <x:c r="F767" s="17" t="str">
        <x:f>IF(E767="Pilot now",IF(P767&gt;=84,"P1",IF(P767&gt;=72,"P2","P3")),IF(E767="Expansion discovery",IF(Q767&gt;=88,"D1",IF(Q767&gt;=78,"D2","D3")),IF(E767="Later / requirements","L","Legacy")))</x:f>
        <x:v>D2</x:v>
      </x:c>
      <x:c r="G767" s="14" t="str"/>
      <x:c r="H767" s="14" t="str">
        <x:v>Discovery розширення — 2 тижні</x:v>
      </x:c>
      <x:c r="I767" s="16" t="n">
        <x:v>1</x:v>
      </x:c>
      <x:c r="J767" s="16" t="n">
        <x:v>5</x:v>
      </x:c>
      <x:c r="K767" s="16" t="n">
        <x:v>4</x:v>
      </x:c>
      <x:c r="L767" s="16" t="n">
        <x:v>1</x:v>
      </x:c>
      <x:c r="M767" s="16" t="n">
        <x:v>5</x:v>
      </x:c>
      <x:c r="N767" s="16" t="n">
        <x:v>5</x:v>
      </x:c>
      <x:c r="O767" s="16" t="n">
        <x:v>5</x:v>
      </x:c>
      <x:c r="P767" s="16" t="n">
        <x:f>IF(COUNT(I767:O767)&lt;7,"",I767*8+J767*3+K767*2+L767*2+M767*2+N767*2+O767)</x:f>
        <x:v>58</x:v>
      </x:c>
      <x:c r="Q767" s="16" t="n">
        <x:f>IF(COUNT(J767:O767)&lt;6,"",J767*5+K767*4+M767*4+L767*3+N767*2+O767*2)</x:f>
        <x:v>84</x:v>
      </x:c>
      <x:c r="R767" s="14" t="str">
        <x:v>high</x:v>
      </x:c>
      <x:c r="S767" s="14" t="str">
        <x:v>official_prozorro_award_2025_2026</x:v>
      </x:c>
      <x:c r="T767" s="14" t="str">
        <x:v>official_prozorro_api</x:v>
      </x:c>
      <x:c r="U767" s="14" t="str">
        <x:v>Не контактували</x:v>
      </x:c>
      <x:c r="V767" s="15" t="str">
        <x:v>Workflow-audit outreach по UA-2025-12-23-018432-a; попросити 1 пакет здачі та вимоги проєкту</x:v>
      </x:c>
      <x:c r="W767" s="15" t="str">
        <x:v>Власник / директор; керівник ПТО; відповідальний за договори</x:v>
      </x:c>
      <x:c r="X767" s="15" t="str">
        <x:v>2 підтверджених перемог/договорів у Prozorro на 15 900 грн; 0 проєктів зі строком виконання не раніше 24.08.2026.</x:v>
      </x:c>
      <x:c r="Y767" s="15" t="str">
        <x:v>Монтаж системи безперебійного живлення; строк до 2025-12-31. Попросити один знеособлений пакет здачі за цим workflow.</x:v>
      </x:c>
      <x:c r="Z767" s="15" t="str">
        <x:v>https://prozorro.gov.ua/tender/UA-2025-12-23-018432-a</x:v>
      </x:c>
      <x:c r="AA767" s="14" t="str">
        <x:v>43961513</x:v>
      </x:c>
      <x:c r="AB767" s="14" t="str">
        <x:v>2026-08-24</x:v>
      </x:c>
      <x:c r="AC767" s="14" t="str"/>
      <x:c r="AD767" s="20" t="str"/>
      <x:c r="AE767" s="14" t="str"/>
      <x:c r="AF767" s="14" t="n">
        <x:v>30</x:v>
      </x:c>
      <x:c r="AG767" s="14" t="str">
        <x:v>I3</x:v>
      </x:c>
      <x:c r="AH767" s="14" t="n">
        <x:v>2</x:v>
      </x:c>
      <x:c r="AI767" s="14" t="n">
        <x:v>0</x:v>
      </x:c>
      <x:c r="AJ767" s="18" t="n">
        <x:v>15900</x:v>
      </x:c>
      <x:c r="AK767" s="14" t="str">
        <x:v>https://prozorro.gov.ua/tender/UA-2025-12-23-018432-a</x:v>
      </x:c>
      <x:c r="AL767" s="19" t="n">
        <x:v>46014.593210416664</x:v>
      </x:c>
      <x:c r="AM767" s="19" t="n">
        <x:v>46022.59162037037</x:v>
      </x:c>
      <x:c r="AN767" s="15" t="str">
        <x:v>Резервне живлення</x:v>
      </x:c>
      <x:c r="AO767" s="15" t="str">
        <x:v>not_found_in_top_search</x:v>
      </x:c>
    </x:row>
    <x:row r="768">
      <x:c r="A768" s="14" t="str">
        <x:v>W3-496</x:v>
      </x:c>
      <x:c r="B768" s="14" t="str">
        <x:v>Prozorro winners — 24.08</x:v>
      </x:c>
      <x:c r="C768" s="14" t="str">
        <x:v>ПЕТРОВ ДМИТРО ОЛЕКСАНДРОВИЧ</x:v>
      </x:c>
      <x:c r="D768" s="14" t="str">
        <x:v>HVAC / ОВіК</x:v>
      </x:c>
      <x:c r="E768" s="14" t="str">
        <x:v>Pilot now</x:v>
      </x:c>
      <x:c r="F768" s="17" t="str">
        <x:f>IF(E768="Pilot now",IF(P768&gt;=84,"P1",IF(P768&gt;=72,"P2","P3")),IF(E768="Expansion discovery",IF(Q768&gt;=88,"D1",IF(Q768&gt;=78,"D2","D3")),IF(E768="Later / requirements","L","Legacy")))</x:f>
        <x:v>P1</x:v>
      </x:c>
      <x:c r="G768" s="14" t="str"/>
      <x:c r="H768" s="14" t="str">
        <x:v>Пілот зараз — Н.14</x:v>
      </x:c>
      <x:c r="I768" s="16" t="n">
        <x:v>5</x:v>
      </x:c>
      <x:c r="J768" s="16" t="n">
        <x:v>5</x:v>
      </x:c>
      <x:c r="K768" s="16" t="n">
        <x:v>5</x:v>
      </x:c>
      <x:c r="L768" s="16" t="n">
        <x:v>1</x:v>
      </x:c>
      <x:c r="M768" s="16" t="n">
        <x:v>5</x:v>
      </x:c>
      <x:c r="N768" s="16" t="n">
        <x:v>3</x:v>
      </x:c>
      <x:c r="O768" s="16" t="n">
        <x:v>5</x:v>
      </x:c>
      <x:c r="P768" s="16" t="n">
        <x:f>IF(COUNT(I768:O768)&lt;7,"",I768*8+J768*3+K768*2+L768*2+M768*2+N768*2+O768)</x:f>
        <x:v>88</x:v>
      </x:c>
      <x:c r="Q768" s="16" t="n">
        <x:f>IF(COUNT(J768:O768)&lt;6,"",J768*5+K768*4+M768*4+L768*3+N768*2+O768*2)</x:f>
        <x:v>84</x:v>
      </x:c>
      <x:c r="R768" s="14" t="str">
        <x:v>high</x:v>
      </x:c>
      <x:c r="S768" s="14" t="str">
        <x:v>official_prozorro_award_2025_2026</x:v>
      </x:c>
      <x:c r="T768" s="14" t="str">
        <x:v>official_prozorro_api</x:v>
      </x:c>
      <x:c r="U768" s="14" t="str">
        <x:v>Не контактували</x:v>
      </x:c>
      <x:c r="V768" s="15" t="str">
        <x:v>Персоналізований free-pilot outreach по UA-2026-03-23-004571-a; попросити 1 пакет Н.14/Н.15</x:v>
      </x:c>
      <x:c r="W768" s="15" t="str">
        <x:v>Власник / виконавець; відповідальний за договір</x:v>
      </x:c>
      <x:c r="X768" s="15" t="str">
        <x:v>1 підтверджених перемог/договорів у Prozorro на 15 623 грн; 0 проєктів зі строком виконання не раніше 24.08.2026.</x:v>
      </x:c>
      <x:c r="Y768" s="15" t="str">
        <x:v>Послуги з монтажу системи вентиляції; строк до 2026-04-30. Попросити один знеособлений пакет здачі за цим workflow.</x:v>
      </x:c>
      <x:c r="Z768" s="15" t="str">
        <x:v>https://prozorro.gov.ua/tender/UA-2026-03-23-004571-a</x:v>
      </x:c>
      <x:c r="AA768" s="14" t="str">
        <x:v>2464303831</x:v>
      </x:c>
      <x:c r="AB768" s="14" t="str">
        <x:v>2026-08-24</x:v>
      </x:c>
      <x:c r="AC768" s="14" t="str"/>
      <x:c r="AD768" s="20" t="str"/>
      <x:c r="AE768" s="14" t="str"/>
      <x:c r="AF768" s="14" t="n">
        <x:v>30</x:v>
      </x:c>
      <x:c r="AG768" s="14" t="str">
        <x:v>I3</x:v>
      </x:c>
      <x:c r="AH768" s="14" t="n">
        <x:v>1</x:v>
      </x:c>
      <x:c r="AI768" s="14" t="n">
        <x:v>0</x:v>
      </x:c>
      <x:c r="AJ768" s="18" t="n">
        <x:v>15622.86</x:v>
      </x:c>
      <x:c r="AK768" s="14" t="str">
        <x:v>https://prozorro.gov.ua/tender/UA-2026-03-23-004571-a</x:v>
      </x:c>
      <x:c r="AL768" s="19" t="n">
        <x:v>46104.40357520834</x:v>
      </x:c>
      <x:c r="AM768" s="19" t="n">
        <x:v>46142</x:v>
      </x:c>
      <x:c r="AN768" s="15" t="str">
        <x:v>HVAC / ОВіК</x:v>
      </x:c>
      <x:c r="AO768" s="15" t="str">
        <x:v>not_found_in_top_search</x:v>
      </x:c>
    </x:row>
    <x:row r="769">
      <x:c r="A769" s="14" t="str">
        <x:v>W3-497</x:v>
      </x:c>
      <x:c r="B769" s="14" t="str">
        <x:v>Prozorro winners — 24.08</x:v>
      </x:c>
      <x:c r="C769" s="14" t="str">
        <x:v>ФОП Богдан Сергій Іванович</x:v>
      </x:c>
      <x:c r="D769" s="14" t="str">
        <x:v>Мости / інфраструктура</x:v>
      </x:c>
      <x:c r="E769" s="14" t="str">
        <x:v>Expansion discovery</x:v>
      </x:c>
      <x:c r="F769" s="17" t="str">
        <x:f>IF(E769="Pilot now",IF(P769&gt;=84,"P1",IF(P769&gt;=72,"P2","P3")),IF(E769="Expansion discovery",IF(Q769&gt;=88,"D1",IF(Q769&gt;=78,"D2","D3")),IF(E769="Later / requirements","L","Legacy")))</x:f>
        <x:v>D2</x:v>
      </x:c>
      <x:c r="G769" s="14" t="str"/>
      <x:c r="H769" s="14" t="str">
        <x:v>Discovery розширення — 2 тижні</x:v>
      </x:c>
      <x:c r="I769" s="16" t="n">
        <x:v>1</x:v>
      </x:c>
      <x:c r="J769" s="16" t="n">
        <x:v>5</x:v>
      </x:c>
      <x:c r="K769" s="16" t="n">
        <x:v>4</x:v>
      </x:c>
      <x:c r="L769" s="16" t="n">
        <x:v>1</x:v>
      </x:c>
      <x:c r="M769" s="16" t="n">
        <x:v>5</x:v>
      </x:c>
      <x:c r="N769" s="16" t="n">
        <x:v>3</x:v>
      </x:c>
      <x:c r="O769" s="16" t="n">
        <x:v>5</x:v>
      </x:c>
      <x:c r="P769" s="16" t="n">
        <x:f>IF(COUNT(I769:O769)&lt;7,"",I769*8+J769*3+K769*2+L769*2+M769*2+N769*2+O769)</x:f>
        <x:v>54</x:v>
      </x:c>
      <x:c r="Q769" s="16" t="n">
        <x:f>IF(COUNT(J769:O769)&lt;6,"",J769*5+K769*4+M769*4+L769*3+N769*2+O769*2)</x:f>
        <x:v>80</x:v>
      </x:c>
      <x:c r="R769" s="14" t="str">
        <x:v>high</x:v>
      </x:c>
      <x:c r="S769" s="14" t="str">
        <x:v>official_prozorro_award_2025_2026</x:v>
      </x:c>
      <x:c r="T769" s="14" t="str">
        <x:v>official_prozorro_api</x:v>
      </x:c>
      <x:c r="U769" s="14" t="str">
        <x:v>Не контактували</x:v>
      </x:c>
      <x:c r="V769" s="15" t="str">
        <x:v>Workflow-audit outreach по UA-2026-02-14-000356-a; попросити 1 пакет здачі та вимоги проєкту</x:v>
      </x:c>
      <x:c r="W769" s="15" t="str">
        <x:v>Власник / виконавець; відповідальний за договір</x:v>
      </x:c>
      <x:c r="X769" s="15" t="str">
        <x:v>1 підтверджених перемог/договорів у Prozorro на 14 040 грн; 0 проєктів зі строком виконання не раніше 24.08.2026.</x:v>
      </x:c>
      <x:c r="Y769" s="15" t="str">
        <x:v>Ремонт моста КАМАЗ; строк до 2026-02-28. Попросити один знеособлений пакет здачі за цим workflow.</x:v>
      </x:c>
      <x:c r="Z769" s="15" t="str">
        <x:v>https://prozorro.gov.ua/tender/UA-2026-02-14-000356-a</x:v>
      </x:c>
      <x:c r="AA769" s="14" t="str">
        <x:v>2726615794</x:v>
      </x:c>
      <x:c r="AB769" s="14" t="str">
        <x:v>2026-08-24</x:v>
      </x:c>
      <x:c r="AC769" s="14" t="str"/>
      <x:c r="AD769" s="20" t="str"/>
      <x:c r="AE769" s="14" t="str"/>
      <x:c r="AF769" s="14" t="n">
        <x:v>30</x:v>
      </x:c>
      <x:c r="AG769" s="14" t="str">
        <x:v>I3</x:v>
      </x:c>
      <x:c r="AH769" s="14" t="n">
        <x:v>1</x:v>
      </x:c>
      <x:c r="AI769" s="14" t="n">
        <x:v>0</x:v>
      </x:c>
      <x:c r="AJ769" s="18" t="n">
        <x:v>14040</x:v>
      </x:c>
      <x:c r="AK769" s="14" t="str">
        <x:v>https://prozorro.gov.ua/tender/UA-2026-02-14-000356-a</x:v>
      </x:c>
      <x:c r="AL769" s="19" t="n">
        <x:v>46067.45584920139</x:v>
      </x:c>
      <x:c r="AM769" s="19" t="n">
        <x:v>46081.45789351852</x:v>
      </x:c>
      <x:c r="AN769" s="15" t="str">
        <x:v>Мости / інфраструктура</x:v>
      </x:c>
      <x:c r="AO769" s="15" t="str">
        <x:v>not_found_in_top_search</x:v>
      </x:c>
    </x:row>
    <x:row r="770">
      <x:c r="A770" s="14" t="str">
        <x:v>W3-498</x:v>
      </x:c>
      <x:c r="B770" s="14" t="str">
        <x:v>Prozorro winners — 24.08</x:v>
      </x:c>
      <x:c r="C770" s="14" t="str">
        <x:v>ФОП Голомоз Микола Федорович</x:v>
      </x:c>
      <x:c r="D770" s="14" t="str">
        <x:v>Сонячна енергетика</x:v>
      </x:c>
      <x:c r="E770" s="14" t="str">
        <x:v>Expansion discovery</x:v>
      </x:c>
      <x:c r="F770" s="17" t="str">
        <x:f>IF(E770="Pilot now",IF(P770&gt;=84,"P1",IF(P770&gt;=72,"P2","P3")),IF(E770="Expansion discovery",IF(Q770&gt;=88,"D1",IF(Q770&gt;=78,"D2","D3")),IF(E770="Later / requirements","L","Legacy")))</x:f>
        <x:v>D2</x:v>
      </x:c>
      <x:c r="G770" s="14" t="str"/>
      <x:c r="H770" s="14" t="str">
        <x:v>Discovery розширення — 2 тижні</x:v>
      </x:c>
      <x:c r="I770" s="16" t="n">
        <x:v>1</x:v>
      </x:c>
      <x:c r="J770" s="16" t="n">
        <x:v>5</x:v>
      </x:c>
      <x:c r="K770" s="16" t="n">
        <x:v>4</x:v>
      </x:c>
      <x:c r="L770" s="16" t="n">
        <x:v>1</x:v>
      </x:c>
      <x:c r="M770" s="16" t="n">
        <x:v>5</x:v>
      </x:c>
      <x:c r="N770" s="16" t="n">
        <x:v>3</x:v>
      </x:c>
      <x:c r="O770" s="16" t="n">
        <x:v>5</x:v>
      </x:c>
      <x:c r="P770" s="16" t="n">
        <x:f>IF(COUNT(I770:O770)&lt;7,"",I770*8+J770*3+K770*2+L770*2+M770*2+N770*2+O770)</x:f>
        <x:v>54</x:v>
      </x:c>
      <x:c r="Q770" s="16" t="n">
        <x:f>IF(COUNT(J770:O770)&lt;6,"",J770*5+K770*4+M770*4+L770*3+N770*2+O770*2)</x:f>
        <x:v>80</x:v>
      </x:c>
      <x:c r="R770" s="14" t="str">
        <x:v>high</x:v>
      </x:c>
      <x:c r="S770" s="14" t="str">
        <x:v>official_prozorro_award_2025_2026</x:v>
      </x:c>
      <x:c r="T770" s="14" t="str">
        <x:v>official_prozorro_api</x:v>
      </x:c>
      <x:c r="U770" s="14" t="str">
        <x:v>Не контактували</x:v>
      </x:c>
      <x:c r="V770" s="15" t="str">
        <x:v>Workflow-audit outreach по UA-2026-03-09-003294-a; попросити 1 пакет здачі та вимоги проєкту</x:v>
      </x:c>
      <x:c r="W770" s="15" t="str">
        <x:v>Власник / виконавець; відповідальний за договір</x:v>
      </x:c>
      <x:c r="X770" s="15" t="str">
        <x:v>1 підтверджених перемог/договорів у Prozorro на 10 000 грн; 0 проєктів зі строком виконання не раніше 24.08.2026.</x:v>
      </x:c>
      <x:c r="Y770" s="15" t="str">
        <x:v>Технічний нагляд на об'єкті "Монтаж сонячної електростанції з накопичувачами енергії (аккумуляторами)"; строк до 2026-05-29. Попросити один знеособлений пакет здачі за цим workflow.</x:v>
      </x:c>
      <x:c r="Z770" s="15" t="str">
        <x:v>https://prozorro.gov.ua/tender/UA-2026-03-09-003294-a</x:v>
      </x:c>
      <x:c r="AA770" s="14" t="str">
        <x:v>2131015451</x:v>
      </x:c>
      <x:c r="AB770" s="14" t="str">
        <x:v>2026-08-24</x:v>
      </x:c>
      <x:c r="AC770" s="14" t="str"/>
      <x:c r="AD770" s="20" t="str"/>
      <x:c r="AE770" s="14" t="str"/>
      <x:c r="AF770" s="14" t="n">
        <x:v>30</x:v>
      </x:c>
      <x:c r="AG770" s="14" t="str">
        <x:v>I3</x:v>
      </x:c>
      <x:c r="AH770" s="14" t="n">
        <x:v>1</x:v>
      </x:c>
      <x:c r="AI770" s="14" t="n">
        <x:v>0</x:v>
      </x:c>
      <x:c r="AJ770" s="18" t="n">
        <x:v>10000</x:v>
      </x:c>
      <x:c r="AK770" s="14" t="str">
        <x:v>https://prozorro.gov.ua/tender/UA-2026-03-09-003294-a</x:v>
      </x:c>
      <x:c r="AL770" s="19" t="n">
        <x:v>46090.37973890046</x:v>
      </x:c>
      <x:c r="AM770" s="19" t="n">
        <x:v>46171</x:v>
      </x:c>
      <x:c r="AN770" s="15" t="str">
        <x:v>Сонячна енергетика</x:v>
      </x:c>
      <x:c r="AO770" s="15" t="str">
        <x:v>not_found_in_top_search</x:v>
      </x:c>
    </x:row>
    <x:row r="771">
      <x:c r="A771" s="14" t="str">
        <x:v>W3-499</x:v>
      </x:c>
      <x:c r="B771" s="14" t="str">
        <x:v>Prozorro winners — 24.08</x:v>
      </x:c>
      <x:c r="C771" s="14" t="str">
        <x:v>ПРИВАТНЕ ПІДПРИЄМСТВО "ПРОМТЕХВОД-Ч"</x:v>
      </x:c>
      <x:c r="D771" s="14" t="str">
        <x:v>ГНБ / безтраншейні роботи</x:v>
      </x:c>
      <x:c r="E771" s="14" t="str">
        <x:v>Expansion discovery</x:v>
      </x:c>
      <x:c r="F771" s="17" t="str">
        <x:f>IF(E771="Pilot now",IF(P771&gt;=84,"P1",IF(P771&gt;=72,"P2","P3")),IF(E771="Expansion discovery",IF(Q771&gt;=88,"D1",IF(Q771&gt;=78,"D2","D3")),IF(E771="Later / requirements","L","Legacy")))</x:f>
        <x:v>D2</x:v>
      </x:c>
      <x:c r="G771" s="14" t="str"/>
      <x:c r="H771" s="14" t="str">
        <x:v>Discovery розширення — 2 тижні</x:v>
      </x:c>
      <x:c r="I771" s="16" t="n">
        <x:v>1</x:v>
      </x:c>
      <x:c r="J771" s="16" t="n">
        <x:v>5</x:v>
      </x:c>
      <x:c r="K771" s="16" t="n">
        <x:v>4</x:v>
      </x:c>
      <x:c r="L771" s="16" t="n">
        <x:v>1</x:v>
      </x:c>
      <x:c r="M771" s="16" t="n">
        <x:v>5</x:v>
      </x:c>
      <x:c r="N771" s="16" t="n">
        <x:v>5</x:v>
      </x:c>
      <x:c r="O771" s="16" t="n">
        <x:v>5</x:v>
      </x:c>
      <x:c r="P771" s="16" t="n">
        <x:f>IF(COUNT(I771:O771)&lt;7,"",I771*8+J771*3+K771*2+L771*2+M771*2+N771*2+O771)</x:f>
        <x:v>58</x:v>
      </x:c>
      <x:c r="Q771" s="16" t="n">
        <x:f>IF(COUNT(J771:O771)&lt;6,"",J771*5+K771*4+M771*4+L771*3+N771*2+O771*2)</x:f>
        <x:v>84</x:v>
      </x:c>
      <x:c r="R771" s="14" t="str">
        <x:v>high</x:v>
      </x:c>
      <x:c r="S771" s="14" t="str">
        <x:v>official_prozorro_award_2025_2026</x:v>
      </x:c>
      <x:c r="T771" s="14" t="str">
        <x:v>official_prozorro_api</x:v>
      </x:c>
      <x:c r="U771" s="14" t="str">
        <x:v>Не контактували</x:v>
      </x:c>
      <x:c r="V771" s="15" t="str">
        <x:v>Workflow-audit outreach по UA-2025-11-26-003686-a; попросити 1 пакет здачі та вимоги проєкту</x:v>
      </x:c>
      <x:c r="W771" s="15" t="str">
        <x:v>Власник / директор; керівник ПТО; відповідальний за договори</x:v>
      </x:c>
      <x:c r="X771" s="15" t="str">
        <x:v>2 підтверджених перемог/договорів у Prozorro на 8 816 грн; 0 проєктів зі строком виконання не раніше 24.08.2026.</x:v>
      </x:c>
      <x:c r="Y771" s="15" t="str">
        <x:v>Виконання кошторисної документації об'єкту: 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 строк до 2025-12-31. Попросити один знеособлений пакет здачі за цим workflow.</x:v>
      </x:c>
      <x:c r="Z771" s="15" t="str">
        <x:v>https://prozorro.gov.ua/tender/UA-2025-11-26-003686-a</x:v>
      </x:c>
      <x:c r="AA771" s="14" t="str">
        <x:v>35263361</x:v>
      </x:c>
      <x:c r="AB771" s="14" t="str">
        <x:v>2026-08-24</x:v>
      </x:c>
      <x:c r="AC771" s="14" t="str"/>
      <x:c r="AD771" s="20" t="str"/>
      <x:c r="AE771" s="14" t="str"/>
      <x:c r="AF771" s="14" t="n">
        <x:v>30</x:v>
      </x:c>
      <x:c r="AG771" s="14" t="str">
        <x:v>I3</x:v>
      </x:c>
      <x:c r="AH771" s="14" t="n">
        <x:v>2</x:v>
      </x:c>
      <x:c r="AI771" s="14" t="n">
        <x:v>0</x:v>
      </x:c>
      <x:c r="AJ771" s="18" t="n">
        <x:v>8816.4</x:v>
      </x:c>
      <x:c r="AK771" s="14" t="str">
        <x:v>https://prozorro.gov.ua/tender/UA-2025-11-26-003686-a</x:v>
      </x:c>
      <x:c r="AL771" s="19" t="n">
        <x:v>45987.3591599537</x:v>
      </x:c>
      <x:c r="AM771" s="19" t="n">
        <x:v>46022</x:v>
      </x:c>
      <x:c r="AN771" s="15" t="str">
        <x:v>ГНБ / безтраншейні роботи</x:v>
      </x:c>
      <x:c r="AO771" s="15" t="str">
        <x:v>not_found_in_top_search</x:v>
      </x:c>
    </x:row>
    <x:row r="772">
      <x:c r="A772" s="14" t="str">
        <x:v>W3-500</x:v>
      </x:c>
      <x:c r="B772" s="14" t="str">
        <x:v>Prozorro winners — 24.08</x:v>
      </x:c>
      <x:c r="C772" s="14" t="str">
        <x:v>ТОВАРИСТВО З ОБМЕЖЕНОЮ ВІДПОВІДАЛЬНІСТЮ "ВІНАКВАБУД"</x:v>
      </x:c>
      <x:c r="D772" s="14" t="str">
        <x:v>ГНБ / безтраншейні роботи</x:v>
      </x:c>
      <x:c r="E772" s="14" t="str">
        <x:v>Expansion discovery</x:v>
      </x:c>
      <x:c r="F772" s="17" t="str">
        <x:f>IF(E772="Pilot now",IF(P772&gt;=84,"P1",IF(P772&gt;=72,"P2","P3")),IF(E772="Expansion discovery",IF(Q772&gt;=88,"D1",IF(Q772&gt;=78,"D2","D3")),IF(E772="Later / requirements","L","Legacy")))</x:f>
        <x:v>D2</x:v>
      </x:c>
      <x:c r="G772" s="14" t="str"/>
      <x:c r="H772" s="14" t="str">
        <x:v>Discovery розширення — 2 тижні</x:v>
      </x:c>
      <x:c r="I772" s="16" t="n">
        <x:v>1</x:v>
      </x:c>
      <x:c r="J772" s="16" t="n">
        <x:v>5</x:v>
      </x:c>
      <x:c r="K772" s="16" t="n">
        <x:v>4</x:v>
      </x:c>
      <x:c r="L772" s="16" t="n">
        <x:v>2</x:v>
      </x:c>
      <x:c r="M772" s="16" t="n">
        <x:v>5</x:v>
      </x:c>
      <x:c r="N772" s="16" t="n">
        <x:v>5</x:v>
      </x:c>
      <x:c r="O772" s="16" t="n">
        <x:v>5</x:v>
      </x:c>
      <x:c r="P772" s="16" t="n">
        <x:f>IF(COUNT(I772:O772)&lt;7,"",I772*8+J772*3+K772*2+L772*2+M772*2+N772*2+O772)</x:f>
        <x:v>60</x:v>
      </x:c>
      <x:c r="Q772" s="16" t="n">
        <x:f>IF(COUNT(J772:O772)&lt;6,"",J772*5+K772*4+M772*4+L772*3+N772*2+O772*2)</x:f>
        <x:v>87</x:v>
      </x:c>
      <x:c r="R772" s="14" t="str">
        <x:v>high</x:v>
      </x:c>
      <x:c r="S772" s="14" t="str">
        <x:v>official_prozorro_award_2025_2026</x:v>
      </x:c>
      <x:c r="T772" s="14" t="str">
        <x:v>official_prozorro_api</x:v>
      </x:c>
      <x:c r="U772" s="14" t="str">
        <x:v>Не контактували</x:v>
      </x:c>
      <x:c r="V772" s="15" t="str">
        <x:v>Workflow-audit outreach по UA-2025-04-24-010542-a; попросити 1 пакет здачі та вимоги проєкту</x:v>
      </x:c>
      <x:c r="W772" s="15" t="str">
        <x:v>Власник / директор; керівник ПТО; відповідальний за договори</x:v>
      </x:c>
      <x:c r="X772" s="15" t="str">
        <x:v>1 підтверджених перемог/договорів у Prozorro на 398 442 грн; 0 проєктів зі строком виконання не раніше 24.08.2026.</x:v>
      </x:c>
      <x:c r="Y772" s="15" t="str">
        <x:v>Влаштування футляру методом горизонтально направленого буріння по вул. Р. Скалецького, в рамках проекту "Реконструкція системи теплозабезпечення мікрорайонів по вул. Пирогова, вул. Матроса Кішки, по вул.Князів Коріатовичів" в м. Вінниця."; строк до 2025-12-31. Попросити один знеособлений пакет здачі за цим workflow.</x:v>
      </x:c>
      <x:c r="Z772" s="15" t="str">
        <x:v>https://prozorro.gov.ua/tender/UA-2025-04-24-010542-a</x:v>
      </x:c>
      <x:c r="AA772" s="14" t="str">
        <x:v>43076612</x:v>
      </x:c>
      <x:c r="AB772" s="14" t="str">
        <x:v>2026-08-24</x:v>
      </x:c>
      <x:c r="AC772" s="14" t="str"/>
      <x:c r="AD772" s="20" t="str"/>
      <x:c r="AE772" s="14" t="str"/>
      <x:c r="AF772" s="14" t="n">
        <x:v>29</x:v>
      </x:c>
      <x:c r="AG772" s="14" t="str">
        <x:v>I3</x:v>
      </x:c>
      <x:c r="AH772" s="14" t="n">
        <x:v>1</x:v>
      </x:c>
      <x:c r="AI772" s="14" t="n">
        <x:v>0</x:v>
      </x:c>
      <x:c r="AJ772" s="18" t="n">
        <x:v>398441.92</x:v>
      </x:c>
      <x:c r="AK772" s="14" t="str">
        <x:v>https://prozorro.gov.ua/tender/UA-2025-04-24-010542-a</x:v>
      </x:c>
      <x:c r="AL772" s="19" t="n">
        <x:v>45771.539392847226</x:v>
      </x:c>
      <x:c r="AM772" s="19" t="n">
        <x:v>46022</x:v>
      </x:c>
      <x:c r="AN772" s="15" t="str">
        <x:v>ГНБ / безтраншейні роботи</x:v>
      </x:c>
      <x:c r="AO772" s="15" t="str">
        <x:v>not_found_in_top_search</x:v>
      </x:c>
    </x:row>
    <x:row r="773">
      <x:c r="A773" s="14" t="str">
        <x:v>W3-501</x:v>
      </x:c>
      <x:c r="B773" s="14" t="str">
        <x:v>Prozorro winners — 24.08</x:v>
      </x:c>
      <x:c r="C773" s="14" t="str">
        <x:v>ТОВ "Тім Білд"</x:v>
      </x:c>
      <x:c r="D773" s="14" t="str">
        <x:v>Технологічні трубопроводи</x:v>
      </x:c>
      <x:c r="E773" s="14" t="str">
        <x:v>Expansion discovery</x:v>
      </x:c>
      <x:c r="F773" s="17" t="str">
        <x:f>IF(E773="Pilot now",IF(P773&gt;=84,"P1",IF(P773&gt;=72,"P2","P3")),IF(E773="Expansion discovery",IF(Q773&gt;=88,"D1",IF(Q773&gt;=78,"D2","D3")),IF(E773="Later / requirements","L","Legacy")))</x:f>
        <x:v>D2</x:v>
      </x:c>
      <x:c r="G773" s="14" t="str"/>
      <x:c r="H773" s="14" t="str">
        <x:v>Discovery розширення — 2 тижні</x:v>
      </x:c>
      <x:c r="I773" s="16" t="n">
        <x:v>1</x:v>
      </x:c>
      <x:c r="J773" s="16" t="n">
        <x:v>5</x:v>
      </x:c>
      <x:c r="K773" s="16" t="n">
        <x:v>4</x:v>
      </x:c>
      <x:c r="L773" s="16" t="n">
        <x:v>2</x:v>
      </x:c>
      <x:c r="M773" s="16" t="n">
        <x:v>5</x:v>
      </x:c>
      <x:c r="N773" s="16" t="n">
        <x:v>5</x:v>
      </x:c>
      <x:c r="O773" s="16" t="n">
        <x:v>5</x:v>
      </x:c>
      <x:c r="P773" s="16" t="n">
        <x:f>IF(COUNT(I773:O773)&lt;7,"",I773*8+J773*3+K773*2+L773*2+M773*2+N773*2+O773)</x:f>
        <x:v>60</x:v>
      </x:c>
      <x:c r="Q773" s="16" t="n">
        <x:f>IF(COUNT(J773:O773)&lt;6,"",J773*5+K773*4+M773*4+L773*3+N773*2+O773*2)</x:f>
        <x:v>87</x:v>
      </x:c>
      <x:c r="R773" s="14" t="str">
        <x:v>high</x:v>
      </x:c>
      <x:c r="S773" s="14" t="str">
        <x:v>official_prozorro_award_2025_2026</x:v>
      </x:c>
      <x:c r="T773" s="14" t="str">
        <x:v>official_prozorro_api</x:v>
      </x:c>
      <x:c r="U773" s="14" t="str">
        <x:v>Не контактували</x:v>
      </x:c>
      <x:c r="V773" s="15" t="str">
        <x:v>Workflow-audit outreach по UA-2025-06-06-006281-a; попросити 1 пакет здачі та вимоги проєкту</x:v>
      </x:c>
      <x:c r="W773" s="15" t="str">
        <x:v>Власник / директор; керівник ПТО; відповідальний за договори</x:v>
      </x:c>
      <x:c r="X773" s="15" t="str">
        <x:v>1 підтверджених перемог/договорів у Prozorro на 332 142 грн; 0 проєктів зі строком виконання не раніше 24.08.2026.</x:v>
      </x:c>
      <x:c r="Y773" s="15" t="str">
        <x:v>Поточний ремонт з облаштування шахт доступу до резервуарів, монтаж ущільнень, монтаж технологічних трубопроводів подачі та зливу палива, виготовлення та монтаж вентиляції, проведення дефектоскопії та градуювання; строк до 2025-11-30. Попросити один знеособлений пакет здачі за цим workflow.</x:v>
      </x:c>
      <x:c r="Z773" s="15" t="str">
        <x:v>https://prozorro.gov.ua/tender/UA-2025-06-06-006281-a</x:v>
      </x:c>
      <x:c r="AA773" s="14" t="str">
        <x:v>41105693</x:v>
      </x:c>
      <x:c r="AB773" s="14" t="str">
        <x:v>2026-08-24</x:v>
      </x:c>
      <x:c r="AC773" s="14" t="str"/>
      <x:c r="AD773" s="20" t="str"/>
      <x:c r="AE773" s="14" t="str"/>
      <x:c r="AF773" s="14" t="n">
        <x:v>29</x:v>
      </x:c>
      <x:c r="AG773" s="14" t="str">
        <x:v>I3</x:v>
      </x:c>
      <x:c r="AH773" s="14" t="n">
        <x:v>1</x:v>
      </x:c>
      <x:c r="AI773" s="14" t="n">
        <x:v>0</x:v>
      </x:c>
      <x:c r="AJ773" s="18" t="n">
        <x:v>332142</x:v>
      </x:c>
      <x:c r="AK773" s="14" t="str">
        <x:v>https://prozorro.gov.ua/tender/UA-2025-06-06-006281-a</x:v>
      </x:c>
      <x:c r="AL773" s="19" t="n">
        <x:v>45814.41394949074</x:v>
      </x:c>
      <x:c r="AM773" s="19" t="n">
        <x:v>45991</x:v>
      </x:c>
      <x:c r="AN773" s="15" t="str">
        <x:v>Технологічні трубопроводи</x:v>
      </x:c>
      <x:c r="AO773" s="15" t="str">
        <x:v>not_found_in_top_search</x:v>
      </x:c>
    </x:row>
    <x:row r="774">
      <x:c r="A774" s="14" t="str">
        <x:v>W3-502</x:v>
      </x:c>
      <x:c r="B774" s="14" t="str">
        <x:v>Prozorro winners — 24.08</x:v>
      </x:c>
      <x:c r="C774" s="14" t="str">
        <x:v>ТОВАРИСТВО З ОБМЕЖЕНОЮ ВІДПОВІДАЛЬНІСТЮ "СТТ-АЛЬФА"</x:v>
      </x:c>
      <x:c r="D774" s="14" t="str">
        <x:v>ВОЛЗ / телеком</x:v>
      </x:c>
      <x:c r="E774" s="14" t="str">
        <x:v>Expansion discovery</x:v>
      </x:c>
      <x:c r="F774" s="17" t="str">
        <x:f>IF(E774="Pilot now",IF(P774&gt;=84,"P1",IF(P774&gt;=72,"P2","P3")),IF(E774="Expansion discovery",IF(Q774&gt;=88,"D1",IF(Q774&gt;=78,"D2","D3")),IF(E774="Later / requirements","L","Legacy")))</x:f>
        <x:v>D2</x:v>
      </x:c>
      <x:c r="G774" s="14" t="str"/>
      <x:c r="H774" s="14" t="str">
        <x:v>Discovery розширення — 2 тижні</x:v>
      </x:c>
      <x:c r="I774" s="16" t="n">
        <x:v>1</x:v>
      </x:c>
      <x:c r="J774" s="16" t="n">
        <x:v>5</x:v>
      </x:c>
      <x:c r="K774" s="16" t="n">
        <x:v>4</x:v>
      </x:c>
      <x:c r="L774" s="16" t="n">
        <x:v>2</x:v>
      </x:c>
      <x:c r="M774" s="16" t="n">
        <x:v>5</x:v>
      </x:c>
      <x:c r="N774" s="16" t="n">
        <x:v>5</x:v>
      </x:c>
      <x:c r="O774" s="16" t="n">
        <x:v>5</x:v>
      </x:c>
      <x:c r="P774" s="16" t="n">
        <x:f>IF(COUNT(I774:O774)&lt;7,"",I774*8+J774*3+K774*2+L774*2+M774*2+N774*2+O774)</x:f>
        <x:v>60</x:v>
      </x:c>
      <x:c r="Q774" s="16" t="n">
        <x:f>IF(COUNT(J774:O774)&lt;6,"",J774*5+K774*4+M774*4+L774*3+N774*2+O774*2)</x:f>
        <x:v>87</x:v>
      </x:c>
      <x:c r="R774" s="14" t="str">
        <x:v>high</x:v>
      </x:c>
      <x:c r="S774" s="14" t="str">
        <x:v>official_prozorro_award_2025_2026</x:v>
      </x:c>
      <x:c r="T774" s="14" t="str">
        <x:v>official_prozorro_api</x:v>
      </x:c>
      <x:c r="U774" s="14" t="str">
        <x:v>Не контактували</x:v>
      </x:c>
      <x:c r="V774" s="15" t="str">
        <x:v>Workflow-audit outreach по UA-2025-01-01-001875-a; попросити 1 пакет здачі та вимоги проєкту</x:v>
      </x:c>
      <x:c r="W774" s="15" t="str">
        <x:v>Власник / директор; керівник ПТО; відповідальний за договори</x:v>
      </x:c>
      <x:c r="X774" s="15" t="str">
        <x:v>1 підтверджених перемог/договорів у Prozorro на 240 000 грн; 0 проєктів зі строком виконання не раніше 24.08.2026.</x:v>
      </x:c>
      <x:c r="Y774" s="15" t="str">
        <x:v>Роботи  по будівництву волоконно-оптичної ліній зв’язку для ПрАТ «Закарпаттяобленерго»: «ВОЛЗ Ужгородська філія – Укртелеком»; строк до 2025-11-30. Попросити один знеособлений пакет здачі за цим workflow.</x:v>
      </x:c>
      <x:c r="Z774" s="15" t="str">
        <x:v>https://prozorro.gov.ua/tender/UA-2025-01-01-001875-a</x:v>
      </x:c>
      <x:c r="AA774" s="14" t="str">
        <x:v>37013937</x:v>
      </x:c>
      <x:c r="AB774" s="14" t="str">
        <x:v>2026-08-24</x:v>
      </x:c>
      <x:c r="AC774" s="14" t="str"/>
      <x:c r="AD774" s="20" t="str"/>
      <x:c r="AE774" s="14" t="str"/>
      <x:c r="AF774" s="14" t="n">
        <x:v>29</x:v>
      </x:c>
      <x:c r="AG774" s="14" t="str">
        <x:v>I3</x:v>
      </x:c>
      <x:c r="AH774" s="14" t="n">
        <x:v>1</x:v>
      </x:c>
      <x:c r="AI774" s="14" t="n">
        <x:v>0</x:v>
      </x:c>
      <x:c r="AJ774" s="18" t="n">
        <x:v>240000</x:v>
      </x:c>
      <x:c r="AK774" s="14" t="str">
        <x:v>https://prozorro.gov.ua/tender/UA-2025-01-01-001875-a</x:v>
      </x:c>
      <x:c r="AL774" s="19" t="n">
        <x:v>45679.27607966435</x:v>
      </x:c>
      <x:c r="AM774" s="19" t="n">
        <x:v>45991</x:v>
      </x:c>
      <x:c r="AN774" s="15" t="str">
        <x:v>ВОЛЗ / телеком</x:v>
      </x:c>
      <x:c r="AO774" s="15" t="str">
        <x:v>not_found_in_top_search</x:v>
      </x:c>
    </x:row>
    <x:row r="775">
      <x:c r="A775" s="14" t="str">
        <x:v>W3-503</x:v>
      </x:c>
      <x:c r="B775" s="14" t="str">
        <x:v>Prozorro winners — 24.08</x:v>
      </x:c>
      <x:c r="C775" s="14" t="str">
        <x:v>Товариство з обмеженою відповідальністю "Елітар"</x:v>
      </x:c>
      <x:c r="D775" s="14" t="str">
        <x:v>ГНБ / безтраншейні роботи</x:v>
      </x:c>
      <x:c r="E775" s="14" t="str">
        <x:v>Expansion discovery</x:v>
      </x:c>
      <x:c r="F775" s="17" t="str">
        <x:f>IF(E775="Pilot now",IF(P775&gt;=84,"P1",IF(P775&gt;=72,"P2","P3")),IF(E775="Expansion discovery",IF(Q775&gt;=88,"D1",IF(Q775&gt;=78,"D2","D3")),IF(E775="Later / requirements","L","Legacy")))</x:f>
        <x:v>D2</x:v>
      </x:c>
      <x:c r="G775" s="14" t="str"/>
      <x:c r="H775" s="14" t="str">
        <x:v>Discovery розширення — 2 тижні</x:v>
      </x:c>
      <x:c r="I775" s="16" t="n">
        <x:v>1</x:v>
      </x:c>
      <x:c r="J775" s="16" t="n">
        <x:v>5</x:v>
      </x:c>
      <x:c r="K775" s="16" t="n">
        <x:v>4</x:v>
      </x:c>
      <x:c r="L775" s="16" t="n">
        <x:v>2</x:v>
      </x:c>
      <x:c r="M775" s="16" t="n">
        <x:v>5</x:v>
      </x:c>
      <x:c r="N775" s="16" t="n">
        <x:v>5</x:v>
      </x:c>
      <x:c r="O775" s="16" t="n">
        <x:v>5</x:v>
      </x:c>
      <x:c r="P775" s="16" t="n">
        <x:f>IF(COUNT(I775:O775)&lt;7,"",I775*8+J775*3+K775*2+L775*2+M775*2+N775*2+O775)</x:f>
        <x:v>60</x:v>
      </x:c>
      <x:c r="Q775" s="16" t="n">
        <x:f>IF(COUNT(J775:O775)&lt;6,"",J775*5+K775*4+M775*4+L775*3+N775*2+O775*2)</x:f>
        <x:v>87</x:v>
      </x:c>
      <x:c r="R775" s="14" t="str">
        <x:v>high</x:v>
      </x:c>
      <x:c r="S775" s="14" t="str">
        <x:v>official_prozorro_award_2025_2026</x:v>
      </x:c>
      <x:c r="T775" s="14" t="str">
        <x:v>official_prozorro_api</x:v>
      </x:c>
      <x:c r="U775" s="14" t="str">
        <x:v>Не контактували</x:v>
      </x:c>
      <x:c r="V775" s="15" t="str">
        <x:v>Workflow-audit outreach по UA-2025-01-24-004278-a; попросити 1 пакет здачі та вимоги проєкту</x:v>
      </x:c>
      <x:c r="W775" s="15" t="str">
        <x:v>Власник / директор; керівник ПТО; відповідальний за договори</x:v>
      </x:c>
      <x:c r="X775" s="15" t="str">
        <x:v>1 підтверджених перемог/договорів у Prozorro на 168 130 грн; 0 проєктів зі строком виконання не раніше 24.08.2026.</x:v>
      </x:c>
      <x:c r="Y775" s="15" t="str">
        <x:v>Роботи з прокладання водопровідної мережі Д-200 мм методом горизонтально-направленого буріння через частину дороги.; строк до 2025-02-20. Попросити один знеособлений пакет здачі за цим workflow.</x:v>
      </x:c>
      <x:c r="Z775" s="15" t="str">
        <x:v>https://prozorro.gov.ua/tender/UA-2025-01-24-004278-a</x:v>
      </x:c>
      <x:c r="AA775" s="14" t="str">
        <x:v>32549968</x:v>
      </x:c>
      <x:c r="AB775" s="14" t="str">
        <x:v>2026-08-24</x:v>
      </x:c>
      <x:c r="AC775" s="14" t="str"/>
      <x:c r="AD775" s="20" t="str"/>
      <x:c r="AE775" s="14" t="str"/>
      <x:c r="AF775" s="14" t="n">
        <x:v>29</x:v>
      </x:c>
      <x:c r="AG775" s="14" t="str">
        <x:v>I3</x:v>
      </x:c>
      <x:c r="AH775" s="14" t="n">
        <x:v>1</x:v>
      </x:c>
      <x:c r="AI775" s="14" t="n">
        <x:v>0</x:v>
      </x:c>
      <x:c r="AJ775" s="18" t="n">
        <x:v>168129.6</x:v>
      </x:c>
      <x:c r="AK775" s="14" t="str">
        <x:v>https://prozorro.gov.ua/tender/UA-2025-01-24-004278-a</x:v>
      </x:c>
      <x:c r="AL775" s="19" t="n">
        <x:v>45681.37303905092</x:v>
      </x:c>
      <x:c r="AM775" s="19" t="n">
        <x:v>45708</x:v>
      </x:c>
      <x:c r="AN775" s="15" t="str">
        <x:v>ГНБ / безтраншейні роботи</x:v>
      </x:c>
      <x:c r="AO775" s="15" t="str">
        <x:v>not_found_in_top_search</x:v>
      </x:c>
    </x:row>
    <x:row r="776">
      <x:c r="A776" s="14" t="str">
        <x:v>W3-504</x:v>
      </x:c>
      <x:c r="B776" s="14" t="str">
        <x:v>Prozorro winners — 24.08</x:v>
      </x:c>
      <x:c r="C776" s="14" t="str">
        <x:v>ТОВ "КЛІМАТ-ЕКСПЕРТ"</x:v>
      </x:c>
      <x:c r="D776" s="14" t="str">
        <x:v>Промисловий холод</x:v>
      </x:c>
      <x:c r="E776" s="14" t="str">
        <x:v>Expansion discovery</x:v>
      </x:c>
      <x:c r="F776" s="17" t="str">
        <x:f>IF(E776="Pilot now",IF(P776&gt;=84,"P1",IF(P776&gt;=72,"P2","P3")),IF(E776="Expansion discovery",IF(Q776&gt;=88,"D1",IF(Q776&gt;=78,"D2","D3")),IF(E776="Later / requirements","L","Legacy")))</x:f>
        <x:v>D2</x:v>
      </x:c>
      <x:c r="G776" s="14" t="str"/>
      <x:c r="H776" s="14" t="str">
        <x:v>Discovery розширення — 2 тижні</x:v>
      </x:c>
      <x:c r="I776" s="16" t="n">
        <x:v>1</x:v>
      </x:c>
      <x:c r="J776" s="16" t="n">
        <x:v>5</x:v>
      </x:c>
      <x:c r="K776" s="16" t="n">
        <x:v>4</x:v>
      </x:c>
      <x:c r="L776" s="16" t="n">
        <x:v>2</x:v>
      </x:c>
      <x:c r="M776" s="16" t="n">
        <x:v>5</x:v>
      </x:c>
      <x:c r="N776" s="16" t="n">
        <x:v>5</x:v>
      </x:c>
      <x:c r="O776" s="16" t="n">
        <x:v>5</x:v>
      </x:c>
      <x:c r="P776" s="16" t="n">
        <x:f>IF(COUNT(I776:O776)&lt;7,"",I776*8+J776*3+K776*2+L776*2+M776*2+N776*2+O776)</x:f>
        <x:v>60</x:v>
      </x:c>
      <x:c r="Q776" s="16" t="n">
        <x:f>IF(COUNT(J776:O776)&lt;6,"",J776*5+K776*4+M776*4+L776*3+N776*2+O776*2)</x:f>
        <x:v>87</x:v>
      </x:c>
      <x:c r="R776" s="14" t="str">
        <x:v>high</x:v>
      </x:c>
      <x:c r="S776" s="14" t="str">
        <x:v>official_prozorro_award_2025_2026</x:v>
      </x:c>
      <x:c r="T776" s="14" t="str">
        <x:v>official_prozorro_api</x:v>
      </x:c>
      <x:c r="U776" s="14" t="str">
        <x:v>Не контактували</x:v>
      </x:c>
      <x:c r="V776" s="15" t="str">
        <x:v>Workflow-audit outreach по UA-2025-11-28-009910-a; попросити 1 пакет здачі та вимоги проєкту</x:v>
      </x:c>
      <x:c r="W776" s="15" t="str">
        <x:v>Власник / директор; керівник ПТО; відповідальний за договори</x:v>
      </x:c>
      <x:c r="X776" s="15" t="str">
        <x:v>1 підтверджених перемог/договорів у Prozorro на 129 999 грн; 0 проєктів зі строком виконання не раніше 24.08.2026.</x:v>
      </x:c>
      <x:c r="Y776" s="15" t="str">
        <x:v>Кондиціонери спліт-системи з монтажем (ДК 021:2015 код 42510000-4 Теплообмінники, кондиціонери повітря, холодильне обладнання та фільтрувальні пристрої); строк до 2025-12-29. Попросити один знеособлений пакет здачі за цим workflow.</x:v>
      </x:c>
      <x:c r="Z776" s="15" t="str">
        <x:v>https://prozorro.gov.ua/tender/UA-2025-11-28-009910-a</x:v>
      </x:c>
      <x:c r="AA776" s="14" t="str">
        <x:v>43105056</x:v>
      </x:c>
      <x:c r="AB776" s="14" t="str">
        <x:v>2026-08-24</x:v>
      </x:c>
      <x:c r="AC776" s="14" t="str"/>
      <x:c r="AD776" s="20" t="str"/>
      <x:c r="AE776" s="14" t="str"/>
      <x:c r="AF776" s="14" t="n">
        <x:v>29</x:v>
      </x:c>
      <x:c r="AG776" s="14" t="str">
        <x:v>I3</x:v>
      </x:c>
      <x:c r="AH776" s="14" t="n">
        <x:v>1</x:v>
      </x:c>
      <x:c r="AI776" s="14" t="n">
        <x:v>0</x:v>
      </x:c>
      <x:c r="AJ776" s="18" t="n">
        <x:v>129999</x:v>
      </x:c>
      <x:c r="AK776" s="14" t="str">
        <x:v>https://prozorro.gov.ua/tender/UA-2025-11-28-009910-a</x:v>
      </x:c>
      <x:c r="AL776" s="19" t="n">
        <x:v>46000.588347997684</x:v>
      </x:c>
      <x:c r="AM776" s="19" t="n">
        <x:v>46020</x:v>
      </x:c>
      <x:c r="AN776" s="15" t="str">
        <x:v>Промисловий холод</x:v>
      </x:c>
      <x:c r="AO776" s="15" t="str">
        <x:v>not_found_in_top_search</x:v>
      </x:c>
    </x:row>
    <x:row r="777">
      <x:c r="A777" s="14" t="str">
        <x:v>W3-505</x:v>
      </x:c>
      <x:c r="B777" s="14" t="str">
        <x:v>Prozorro winners — 24.08</x:v>
      </x:c>
      <x:c r="C777" s="14" t="str">
        <x:v>ІЩУК ІГОР ІВАНОВИЧ</x:v>
      </x:c>
      <x:c r="D777" s="14" t="str">
        <x:v>HVAC / ОВіК</x:v>
      </x:c>
      <x:c r="E777" s="14" t="str">
        <x:v>Pilot now</x:v>
      </x:c>
      <x:c r="F777" s="17" t="str">
        <x:f>IF(E777="Pilot now",IF(P777&gt;=84,"P1",IF(P777&gt;=72,"P2","P3")),IF(E777="Expansion discovery",IF(Q777&gt;=88,"D1",IF(Q777&gt;=78,"D2","D3")),IF(E777="Later / requirements","L","Legacy")))</x:f>
        <x:v>P1</x:v>
      </x:c>
      <x:c r="G777" s="14" t="str"/>
      <x:c r="H777" s="14" t="str">
        <x:v>Пілот зараз — Н.14</x:v>
      </x:c>
      <x:c r="I777" s="16" t="n">
        <x:v>5</x:v>
      </x:c>
      <x:c r="J777" s="16" t="n">
        <x:v>5</x:v>
      </x:c>
      <x:c r="K777" s="16" t="n">
        <x:v>5</x:v>
      </x:c>
      <x:c r="L777" s="16" t="n">
        <x:v>1</x:v>
      </x:c>
      <x:c r="M777" s="16" t="n">
        <x:v>5</x:v>
      </x:c>
      <x:c r="N777" s="16" t="n">
        <x:v>3</x:v>
      </x:c>
      <x:c r="O777" s="16" t="n">
        <x:v>5</x:v>
      </x:c>
      <x:c r="P777" s="16" t="n">
        <x:f>IF(COUNT(I777:O777)&lt;7,"",I777*8+J777*3+K777*2+L777*2+M777*2+N777*2+O777)</x:f>
        <x:v>88</x:v>
      </x:c>
      <x:c r="Q777" s="16" t="n">
        <x:f>IF(COUNT(J777:O777)&lt;6,"",J777*5+K777*4+M777*4+L777*3+N777*2+O777*2)</x:f>
        <x:v>84</x:v>
      </x:c>
      <x:c r="R777" s="14" t="str">
        <x:v>high</x:v>
      </x:c>
      <x:c r="S777" s="14" t="str">
        <x:v>official_prozorro_award_2025_2026</x:v>
      </x:c>
      <x:c r="T777" s="14" t="str">
        <x:v>official_prozorro_api</x:v>
      </x:c>
      <x:c r="U777" s="14" t="str">
        <x:v>Не контактували</x:v>
      </x:c>
      <x:c r="V777" s="15" t="str">
        <x:v>Персоналізований free-pilot outreach по UA-2025-12-18-017182-a; попросити 1 пакет Н.14/Н.15</x:v>
      </x:c>
      <x:c r="W777" s="15" t="str">
        <x:v>Власник / виконавець; відповідальний за договір</x:v>
      </x:c>
      <x:c r="X777" s="15" t="str">
        <x:v>2 підтверджених перемог/договорів у Prozorro на 20 450 грн; 0 проєктів зі строком виконання не раніше 24.08.2026.</x:v>
      </x:c>
      <x:c r="Y777" s="15" t="str">
        <x:v>Послуги з монтажу системи опалення за адресою: м.Тернопіль, вул.Р.Купчинського,14; строк до 2025-12-31. Попросити один знеособлений пакет здачі за цим workflow.</x:v>
      </x:c>
      <x:c r="Z777" s="15" t="str">
        <x:v>https://prozorro.gov.ua/tender/UA-2025-12-18-017182-a</x:v>
      </x:c>
      <x:c r="AA777" s="14" t="str">
        <x:v>2598101832</x:v>
      </x:c>
      <x:c r="AB777" s="14" t="str">
        <x:v>2026-08-24</x:v>
      </x:c>
      <x:c r="AC777" s="14" t="str"/>
      <x:c r="AD777" s="20" t="str"/>
      <x:c r="AE777" s="14" t="str"/>
      <x:c r="AF777" s="14" t="n">
        <x:v>27</x:v>
      </x:c>
      <x:c r="AG777" s="14" t="str">
        <x:v>I3</x:v>
      </x:c>
      <x:c r="AH777" s="14" t="n">
        <x:v>2</x:v>
      </x:c>
      <x:c r="AI777" s="14" t="n">
        <x:v>0</x:v>
      </x:c>
      <x:c r="AJ777" s="18" t="n">
        <x:v>20450</x:v>
      </x:c>
      <x:c r="AK777" s="14" t="str">
        <x:v>https://prozorro.gov.ua/tender/UA-2025-12-18-017182-a</x:v>
      </x:c>
      <x:c r="AL777" s="19" t="n">
        <x:v>46009.55050619213</x:v>
      </x:c>
      <x:c r="AM777" s="19" t="n">
        <x:v>46022.916666655095</x:v>
      </x:c>
      <x:c r="AN777" s="15" t="str">
        <x:v>HVAC / ОВіК</x:v>
      </x:c>
      <x:c r="AO777" s="15" t="str">
        <x:v>not_found_in_top_search</x:v>
      </x:c>
    </x:row>
    <x:row r="778">
      <x:c r="A778" s="14" t="str">
        <x:v>W3-506</x:v>
      </x:c>
      <x:c r="B778" s="14" t="str">
        <x:v>Prozorro winners — 24.08</x:v>
      </x:c>
      <x:c r="C778" s="14" t="str">
        <x:v>ОЛЕКСІЄНКО ВОЛОДИМИР ВАЛЕНТИНОВИЧ</x:v>
      </x:c>
      <x:c r="D778" s="14" t="str">
        <x:v>Електромонтаж</x:v>
      </x:c>
      <x:c r="E778" s="14" t="str">
        <x:v>Pilot now</x:v>
      </x:c>
      <x:c r="F778" s="17" t="str">
        <x:f>IF(E778="Pilot now",IF(P778&gt;=84,"P1",IF(P778&gt;=72,"P2","P3")),IF(E778="Expansion discovery",IF(Q778&gt;=88,"D1",IF(Q778&gt;=78,"D2","D3")),IF(E778="Later / requirements","L","Legacy")))</x:f>
        <x:v>P1</x:v>
      </x:c>
      <x:c r="G778" s="14" t="str"/>
      <x:c r="H778" s="14" t="str">
        <x:v>Пілот зараз — Н.15</x:v>
      </x:c>
      <x:c r="I778" s="16" t="n">
        <x:v>5</x:v>
      </x:c>
      <x:c r="J778" s="16" t="n">
        <x:v>5</x:v>
      </x:c>
      <x:c r="K778" s="16" t="n">
        <x:v>5</x:v>
      </x:c>
      <x:c r="L778" s="16" t="n">
        <x:v>1</x:v>
      </x:c>
      <x:c r="M778" s="16" t="n">
        <x:v>5</x:v>
      </x:c>
      <x:c r="N778" s="16" t="n">
        <x:v>3</x:v>
      </x:c>
      <x:c r="O778" s="16" t="n">
        <x:v>5</x:v>
      </x:c>
      <x:c r="P778" s="16" t="n">
        <x:f>IF(COUNT(I778:O778)&lt;7,"",I778*8+J778*3+K778*2+L778*2+M778*2+N778*2+O778)</x:f>
        <x:v>88</x:v>
      </x:c>
      <x:c r="Q778" s="16" t="n">
        <x:f>IF(COUNT(J778:O778)&lt;6,"",J778*5+K778*4+M778*4+L778*3+N778*2+O778*2)</x:f>
        <x:v>84</x:v>
      </x:c>
      <x:c r="R778" s="14" t="str">
        <x:v>high</x:v>
      </x:c>
      <x:c r="S778" s="14" t="str">
        <x:v>official_prozorro_award_2025_2026</x:v>
      </x:c>
      <x:c r="T778" s="14" t="str">
        <x:v>official_prozorro_api</x:v>
      </x:c>
      <x:c r="U778" s="14" t="str">
        <x:v>Не контактували</x:v>
      </x:c>
      <x:c r="V778" s="15" t="str">
        <x:v>Персоналізований free-pilot outreach по UA-2025-11-21-005492-a; попросити 1 пакет Н.14/Н.15</x:v>
      </x:c>
      <x:c r="W778" s="15" t="str">
        <x:v>Власник / виконавець; відповідальний за договір</x:v>
      </x:c>
      <x:c r="X778" s="15" t="str">
        <x:v>2 підтверджених перемог/договорів у Prozorro на 16 000 грн; 0 проєктів зі строком виконання не раніше 24.08.2026.</x:v>
      </x:c>
      <x:c r="Y778" s="15" t="str">
        <x:v>Електровимірювальні послуги з вимірювання заземлення, петлі "фаза-нуль" та ізоляції електромагістралей в приміщеннях Омельницький культурно-спортивний комплекс "Дивограй" с. Омельник вул. Центральна 67, Рокитненський сільський будинок культури (с. П'ятихатки), вул. Центральна, 1; Демидівський сільський клуб с. Демидівка, вул. Тараса Шевченка, 3; Запсільський сільський клуб с. Запсілля, вул. Центральна,100.; строк до 2025-12-31. Попросити один знеособлений пакет здачі за цим workflow.</x:v>
      </x:c>
      <x:c r="Z778" s="15" t="str">
        <x:v>https://prozorro.gov.ua/tender/UA-2025-11-21-005492-a</x:v>
      </x:c>
      <x:c r="AA778" s="14" t="str">
        <x:v>2455604611</x:v>
      </x:c>
      <x:c r="AB778" s="14" t="str">
        <x:v>2026-08-24</x:v>
      </x:c>
      <x:c r="AC778" s="14" t="str"/>
      <x:c r="AD778" s="20" t="str"/>
      <x:c r="AE778" s="14" t="str"/>
      <x:c r="AF778" s="14" t="n">
        <x:v>27</x:v>
      </x:c>
      <x:c r="AG778" s="14" t="str">
        <x:v>I3</x:v>
      </x:c>
      <x:c r="AH778" s="14" t="n">
        <x:v>2</x:v>
      </x:c>
      <x:c r="AI778" s="14" t="n">
        <x:v>0</x:v>
      </x:c>
      <x:c r="AJ778" s="18" t="n">
        <x:v>16000</x:v>
      </x:c>
      <x:c r="AK778" s="14" t="str">
        <x:v>https://prozorro.gov.ua/tender/UA-2025-11-21-005492-a</x:v>
      </x:c>
      <x:c r="AL778" s="19" t="n">
        <x:v>45982.397251319446</x:v>
      </x:c>
      <x:c r="AM778" s="19" t="n">
        <x:v>46022</x:v>
      </x:c>
      <x:c r="AN778" s="15" t="str">
        <x:v>Електромонтаж</x:v>
      </x:c>
      <x:c r="AO778" s="15" t="str">
        <x:v>not_found_in_top_search</x:v>
      </x:c>
    </x:row>
    <x:row r="779">
      <x:c r="A779" s="14" t="str">
        <x:v>W3-507</x:v>
      </x:c>
      <x:c r="B779" s="14" t="str">
        <x:v>Prozorro winners — 24.08</x:v>
      </x:c>
      <x:c r="C779" s="14" t="str">
        <x:v>ВАЩИШИН ВОЛОДИМИР МИХАЙЛОВИЧ</x:v>
      </x:c>
      <x:c r="D779" s="14" t="str">
        <x:v>ГНБ / безтраншейні роботи</x:v>
      </x:c>
      <x:c r="E779" s="14" t="str">
        <x:v>Expansion discovery</x:v>
      </x:c>
      <x:c r="F779" s="17" t="str">
        <x:f>IF(E779="Pilot now",IF(P779&gt;=84,"P1",IF(P779&gt;=72,"P2","P3")),IF(E779="Expansion discovery",IF(Q779&gt;=88,"D1",IF(Q779&gt;=78,"D2","D3")),IF(E779="Later / requirements","L","Legacy")))</x:f>
        <x:v>D2</x:v>
      </x:c>
      <x:c r="G779" s="14" t="str"/>
      <x:c r="H779" s="14" t="str">
        <x:v>Discovery розширення — 2 тижні</x:v>
      </x:c>
      <x:c r="I779" s="16" t="n">
        <x:v>1</x:v>
      </x:c>
      <x:c r="J779" s="16" t="n">
        <x:v>5</x:v>
      </x:c>
      <x:c r="K779" s="16" t="n">
        <x:v>4</x:v>
      </x:c>
      <x:c r="L779" s="16" t="n">
        <x:v>1</x:v>
      </x:c>
      <x:c r="M779" s="16" t="n">
        <x:v>5</x:v>
      </x:c>
      <x:c r="N779" s="16" t="n">
        <x:v>3</x:v>
      </x:c>
      <x:c r="O779" s="16" t="n">
        <x:v>5</x:v>
      </x:c>
      <x:c r="P779" s="16" t="n">
        <x:f>IF(COUNT(I779:O779)&lt;7,"",I779*8+J779*3+K779*2+L779*2+M779*2+N779*2+O779)</x:f>
        <x:v>54</x:v>
      </x:c>
      <x:c r="Q779" s="16" t="n">
        <x:f>IF(COUNT(J779:O779)&lt;6,"",J779*5+K779*4+M779*4+L779*3+N779*2+O779*2)</x:f>
        <x:v>80</x:v>
      </x:c>
      <x:c r="R779" s="14" t="str">
        <x:v>high</x:v>
      </x:c>
      <x:c r="S779" s="14" t="str">
        <x:v>official_prozorro_award_2025_2026</x:v>
      </x:c>
      <x:c r="T779" s="14" t="str">
        <x:v>official_prozorro_api</x:v>
      </x:c>
      <x:c r="U779" s="14" t="str">
        <x:v>Не контактували</x:v>
      </x:c>
      <x:c r="V779" s="15" t="str">
        <x:v>Workflow-audit outreach по UA-2025-11-26-006748-a; попросити 1 пакет здачі та вимоги проєкту</x:v>
      </x:c>
      <x:c r="W779" s="15" t="str">
        <x:v>Власник / виконавець; відповідальний за договір</x:v>
      </x:c>
      <x:c r="X779" s="15" t="str">
        <x:v>2 підтверджених перемог/договорів у Prozorro на 11 601 грн; 0 проєктів зі строком виконання не раніше 24.08.2026.</x:v>
      </x:c>
      <x:c r="Y779" s="15" t="str">
        <x:v>Технічний нагляд за виконанням робіт при будівництві об'єкта: 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 строк до 2025-12-31. Попросити один знеособлений пакет здачі за цим workflow.</x:v>
      </x:c>
      <x:c r="Z779" s="15" t="str">
        <x:v>https://prozorro.gov.ua/tender/UA-2025-11-26-006748-a</x:v>
      </x:c>
      <x:c r="AA779" s="14" t="str">
        <x:v>2254112355</x:v>
      </x:c>
      <x:c r="AB779" s="14" t="str">
        <x:v>2026-08-24</x:v>
      </x:c>
      <x:c r="AC779" s="14" t="str"/>
      <x:c r="AD779" s="20" t="str"/>
      <x:c r="AE779" s="14" t="str"/>
      <x:c r="AF779" s="14" t="n">
        <x:v>27</x:v>
      </x:c>
      <x:c r="AG779" s="14" t="str">
        <x:v>I3</x:v>
      </x:c>
      <x:c r="AH779" s="14" t="n">
        <x:v>2</x:v>
      </x:c>
      <x:c r="AI779" s="14" t="n">
        <x:v>0</x:v>
      </x:c>
      <x:c r="AJ779" s="18" t="n">
        <x:v>11601.05</x:v>
      </x:c>
      <x:c r="AK779" s="14" t="str">
        <x:v>https://prozorro.gov.ua/tender/UA-2025-11-26-006748-a</x:v>
      </x:c>
      <x:c r="AL779" s="19" t="n">
        <x:v>45987.4106021412</x:v>
      </x:c>
      <x:c r="AM779" s="19" t="n">
        <x:v>46022</x:v>
      </x:c>
      <x:c r="AN779" s="15" t="str">
        <x:v>ГНБ / безтраншейні роботи</x:v>
      </x:c>
      <x:c r="AO779" s="15" t="str">
        <x:v>not_found_in_top_search</x:v>
      </x:c>
    </x:row>
    <x:row r="780">
      <x:c r="A780" s="14" t="str">
        <x:v>W3-508</x:v>
      </x:c>
      <x:c r="B780" s="14" t="str">
        <x:v>Prozorro winners — 24.08</x:v>
      </x:c>
      <x:c r="C780" s="14" t="str">
        <x:v>ПОГИБА АНДРІЙ ВОЛОДИМИРОВИЧ</x:v>
      </x:c>
      <x:c r="D780" s="14" t="str">
        <x:v>Газопостачання / котельні</x:v>
      </x:c>
      <x:c r="E780" s="14" t="str">
        <x:v>Expansion discovery</x:v>
      </x:c>
      <x:c r="F780" s="17" t="str">
        <x:f>IF(E780="Pilot now",IF(P780&gt;=84,"P1",IF(P780&gt;=72,"P2","P3")),IF(E780="Expansion discovery",IF(Q780&gt;=88,"D1",IF(Q780&gt;=78,"D2","D3")),IF(E780="Later / requirements","L","Legacy")))</x:f>
        <x:v>D2</x:v>
      </x:c>
      <x:c r="G780" s="14" t="str"/>
      <x:c r="H780" s="14" t="str">
        <x:v>Discovery розширення — 2 тижні</x:v>
      </x:c>
      <x:c r="I780" s="16" t="n">
        <x:v>1</x:v>
      </x:c>
      <x:c r="J780" s="16" t="n">
        <x:v>5</x:v>
      </x:c>
      <x:c r="K780" s="16" t="n">
        <x:v>4</x:v>
      </x:c>
      <x:c r="L780" s="16" t="n">
        <x:v>2</x:v>
      </x:c>
      <x:c r="M780" s="16" t="n">
        <x:v>5</x:v>
      </x:c>
      <x:c r="N780" s="16" t="n">
        <x:v>3</x:v>
      </x:c>
      <x:c r="O780" s="16" t="n">
        <x:v>5</x:v>
      </x:c>
      <x:c r="P780" s="16" t="n">
        <x:f>IF(COUNT(I780:O780)&lt;7,"",I780*8+J780*3+K780*2+L780*2+M780*2+N780*2+O780)</x:f>
        <x:v>56</x:v>
      </x:c>
      <x:c r="Q780" s="16" t="n">
        <x:f>IF(COUNT(J780:O780)&lt;6,"",J780*5+K780*4+M780*4+L780*3+N780*2+O780*2)</x:f>
        <x:v>83</x:v>
      </x:c>
      <x:c r="R780" s="14" t="str">
        <x:v>high</x:v>
      </x:c>
      <x:c r="S780" s="14" t="str">
        <x:v>official_prozorro_award_2025_2026</x:v>
      </x:c>
      <x:c r="T780" s="14" t="str">
        <x:v>official_prozorro_api</x:v>
      </x:c>
      <x:c r="U780" s="14" t="str">
        <x:v>Не контактували</x:v>
      </x:c>
      <x:c r="V780" s="15" t="str">
        <x:v>Workflow-audit outreach по UA-2025-11-24-002038-a; попросити 1 пакет здачі та вимоги проєкту</x:v>
      </x:c>
      <x:c r="W780" s="15" t="str">
        <x:v>Власник / виконавець; відповідальний за договір</x:v>
      </x:c>
      <x:c r="X780" s="15" t="str">
        <x:v>1 підтверджених перемог/договорів у Prozorro на 169 988 грн; 0 проєктів зі строком виконання не раніше 24.08.2026.</x:v>
      </x:c>
      <x:c r="Y780" s="15" t="str">
        <x:v>Послуги по демонтажу та монтажу системи димоходу котельні; строк до 2025-12-31. Попросити один знеособлений пакет здачі за цим workflow.</x:v>
      </x:c>
      <x:c r="Z780" s="15" t="str">
        <x:v>https://prozorro.gov.ua/tender/UA-2025-11-24-002038-a</x:v>
      </x:c>
      <x:c r="AA780" s="14" t="str">
        <x:v>2874505737</x:v>
      </x:c>
      <x:c r="AB780" s="14" t="str">
        <x:v>2026-08-24</x:v>
      </x:c>
      <x:c r="AC780" s="14" t="str"/>
      <x:c r="AD780" s="20" t="str"/>
      <x:c r="AE780" s="14" t="str"/>
      <x:c r="AF780" s="14" t="n">
        <x:v>26</x:v>
      </x:c>
      <x:c r="AG780" s="14" t="str">
        <x:v>I3</x:v>
      </x:c>
      <x:c r="AH780" s="14" t="n">
        <x:v>1</x:v>
      </x:c>
      <x:c r="AI780" s="14" t="n">
        <x:v>0</x:v>
      </x:c>
      <x:c r="AJ780" s="18" t="n">
        <x:v>169987.72</x:v>
      </x:c>
      <x:c r="AK780" s="14" t="str">
        <x:v>https://prozorro.gov.ua/tender/UA-2025-11-24-002038-a</x:v>
      </x:c>
      <x:c r="AL780" s="19" t="n">
        <x:v>45985.33302763889</x:v>
      </x:c>
      <x:c r="AM780" s="19" t="n">
        <x:v>46022</x:v>
      </x:c>
      <x:c r="AN780" s="15" t="str">
        <x:v>Газопостачання / котельні</x:v>
      </x:c>
      <x:c r="AO780" s="15" t="str">
        <x:v>not_found_in_top_search</x:v>
      </x:c>
    </x:row>
    <x:row r="781">
      <x:c r="A781" s="14" t="str">
        <x:v>W3-509</x:v>
      </x:c>
      <x:c r="B781" s="14" t="str">
        <x:v>Prozorro winners — 24.08</x:v>
      </x:c>
      <x:c r="C781" s="14" t="str">
        <x:v>ТОВ " ХОЛОД-МАРКЕТ"</x:v>
      </x:c>
      <x:c r="D781" s="14" t="str">
        <x:v>Промисловий холод</x:v>
      </x:c>
      <x:c r="E781" s="14" t="str">
        <x:v>Expansion discovery</x:v>
      </x:c>
      <x:c r="F781" s="17" t="str">
        <x:f>IF(E781="Pilot now",IF(P781&gt;=84,"P1",IF(P781&gt;=72,"P2","P3")),IF(E781="Expansion discovery",IF(Q781&gt;=88,"D1",IF(Q781&gt;=78,"D2","D3")),IF(E781="Later / requirements","L","Legacy")))</x:f>
        <x:v>D2</x:v>
      </x:c>
      <x:c r="G781" s="14" t="str"/>
      <x:c r="H781" s="14" t="str">
        <x:v>Discovery розширення — 2 тижні</x:v>
      </x:c>
      <x:c r="I781" s="16" t="n">
        <x:v>1</x:v>
      </x:c>
      <x:c r="J781" s="16" t="n">
        <x:v>5</x:v>
      </x:c>
      <x:c r="K781" s="16" t="n">
        <x:v>4</x:v>
      </x:c>
      <x:c r="L781" s="16" t="n">
        <x:v>1</x:v>
      </x:c>
      <x:c r="M781" s="16" t="n">
        <x:v>5</x:v>
      </x:c>
      <x:c r="N781" s="16" t="n">
        <x:v>5</x:v>
      </x:c>
      <x:c r="O781" s="16" t="n">
        <x:v>5</x:v>
      </x:c>
      <x:c r="P781" s="16" t="n">
        <x:f>IF(COUNT(I781:O781)&lt;7,"",I781*8+J781*3+K781*2+L781*2+M781*2+N781*2+O781)</x:f>
        <x:v>58</x:v>
      </x:c>
      <x:c r="Q781" s="16" t="n">
        <x:f>IF(COUNT(J781:O781)&lt;6,"",J781*5+K781*4+M781*4+L781*3+N781*2+O781*2)</x:f>
        <x:v>84</x:v>
      </x:c>
      <x:c r="R781" s="14" t="str">
        <x:v>high</x:v>
      </x:c>
      <x:c r="S781" s="14" t="str">
        <x:v>official_prozorro_award_2025_2026</x:v>
      </x:c>
      <x:c r="T781" s="14" t="str">
        <x:v>official_prozorro_api</x:v>
      </x:c>
      <x:c r="U781" s="14" t="str">
        <x:v>Не контактували</x:v>
      </x:c>
      <x:c r="V781" s="15" t="str">
        <x:v>Workflow-audit outreach по UA-2025-08-06-010195-a; попросити 1 пакет здачі та вимоги проєкту</x:v>
      </x:c>
      <x:c r="W781" s="15" t="str">
        <x:v>Власник / директор; керівник ПТО; відповідальний за договори</x:v>
      </x:c>
      <x:c r="X781" s="15" t="str">
        <x:v>1 підтверджених перемог/договорів у Prozorro на 96 000 грн; 0 проєктів зі строком виконання не раніше 24.08.2026.</x:v>
      </x:c>
      <x:c r="Y781" s="15" t="str">
        <x:v>Послуги з монтажу/демонтажу холодильного обладнання; строк до 2025-12-31. Попросити один знеособлений пакет здачі за цим workflow.</x:v>
      </x:c>
      <x:c r="Z781" s="15" t="str">
        <x:v>https://prozorro.gov.ua/tender/UA-2025-08-06-010195-a</x:v>
      </x:c>
      <x:c r="AA781" s="14" t="str">
        <x:v>35064513</x:v>
      </x:c>
      <x:c r="AB781" s="14" t="str">
        <x:v>2026-08-24</x:v>
      </x:c>
      <x:c r="AC781" s="14" t="str"/>
      <x:c r="AD781" s="20" t="str"/>
      <x:c r="AE781" s="14" t="str"/>
      <x:c r="AF781" s="14" t="n">
        <x:v>25</x:v>
      </x:c>
      <x:c r="AG781" s="14" t="str">
        <x:v>I3</x:v>
      </x:c>
      <x:c r="AH781" s="14" t="n">
        <x:v>1</x:v>
      </x:c>
      <x:c r="AI781" s="14" t="n">
        <x:v>0</x:v>
      </x:c>
      <x:c r="AJ781" s="18" t="n">
        <x:v>96000</x:v>
      </x:c>
      <x:c r="AK781" s="14" t="str">
        <x:v>https://prozorro.gov.ua/tender/UA-2025-08-06-010195-a</x:v>
      </x:c>
      <x:c r="AL781" s="19" t="n">
        <x:v>45875.55539864583</x:v>
      </x:c>
      <x:c r="AM781" s="19" t="n">
        <x:v>46022.59888888889</x:v>
      </x:c>
      <x:c r="AN781" s="15" t="str">
        <x:v>Промисловий холод</x:v>
      </x:c>
      <x:c r="AO781" s="15" t="str">
        <x:v>not_found_in_top_search</x:v>
      </x:c>
    </x:row>
    <x:row r="782">
      <x:c r="A782" s="14" t="str">
        <x:v>W3-510</x:v>
      </x:c>
      <x:c r="B782" s="14" t="str">
        <x:v>Prozorro winners — 24.08</x:v>
      </x:c>
      <x:c r="C782" s="14" t="str">
        <x:v>Товариство з обмеженою відповідальністю "Інженерно-виробнича фірма "РІВАС"</x:v>
      </x:c>
      <x:c r="D782" s="14" t="str">
        <x:v>ВОЛЗ / телеком</x:v>
      </x:c>
      <x:c r="E782" s="14" t="str">
        <x:v>Expansion discovery</x:v>
      </x:c>
      <x:c r="F782" s="17" t="str">
        <x:f>IF(E782="Pilot now",IF(P782&gt;=84,"P1",IF(P782&gt;=72,"P2","P3")),IF(E782="Expansion discovery",IF(Q782&gt;=88,"D1",IF(Q782&gt;=78,"D2","D3")),IF(E782="Later / requirements","L","Legacy")))</x:f>
        <x:v>D2</x:v>
      </x:c>
      <x:c r="G782" s="14" t="str"/>
      <x:c r="H782" s="14" t="str">
        <x:v>Discovery розширення — 2 тижні</x:v>
      </x:c>
      <x:c r="I782" s="16" t="n">
        <x:v>1</x:v>
      </x:c>
      <x:c r="J782" s="16" t="n">
        <x:v>5</x:v>
      </x:c>
      <x:c r="K782" s="16" t="n">
        <x:v>4</x:v>
      </x:c>
      <x:c r="L782" s="16" t="n">
        <x:v>1</x:v>
      </x:c>
      <x:c r="M782" s="16" t="n">
        <x:v>5</x:v>
      </x:c>
      <x:c r="N782" s="16" t="n">
        <x:v>5</x:v>
      </x:c>
      <x:c r="O782" s="16" t="n">
        <x:v>5</x:v>
      </x:c>
      <x:c r="P782" s="16" t="n">
        <x:f>IF(COUNT(I782:O782)&lt;7,"",I782*8+J782*3+K782*2+L782*2+M782*2+N782*2+O782)</x:f>
        <x:v>58</x:v>
      </x:c>
      <x:c r="Q782" s="16" t="n">
        <x:f>IF(COUNT(J782:O782)&lt;6,"",J782*5+K782*4+M782*4+L782*3+N782*2+O782*2)</x:f>
        <x:v>84</x:v>
      </x:c>
      <x:c r="R782" s="14" t="str">
        <x:v>high</x:v>
      </x:c>
      <x:c r="S782" s="14" t="str">
        <x:v>official_prozorro_award_2025_2026</x:v>
      </x:c>
      <x:c r="T782" s="14" t="str">
        <x:v>official_prozorro_api</x:v>
      </x:c>
      <x:c r="U782" s="14" t="str">
        <x:v>Не контактували</x:v>
      </x:c>
      <x:c r="V782" s="15" t="str">
        <x:v>Workflow-audit outreach по UA-2025-02-04-011367-a; попросити 1 пакет здачі та вимоги проєкту</x:v>
      </x:c>
      <x:c r="W782" s="15" t="str">
        <x:v>Власник / директор; керівник ПТО; відповідальний за договори</x:v>
      </x:c>
      <x:c r="X782" s="15" t="str">
        <x:v>1 підтверджених перемог/договорів у Prozorro на 82 902 грн; 0 проєктів зі строком виконання не раніше 24.08.2026.</x:v>
      </x:c>
      <x:c r="Y782" s="15" t="str">
        <x:v>Роботи з нового будівництва сегменту ВОЛЗ від пров. Донбасівський, 17 до вул. Новий Побут, 12; строк до 2025-03-31. Попросити один знеособлений пакет здачі за цим workflow.</x:v>
      </x:c>
      <x:c r="Z782" s="15" t="str">
        <x:v>https://prozorro.gov.ua/tender/UA-2025-02-04-011367-a</x:v>
      </x:c>
      <x:c r="AA782" s="14" t="str">
        <x:v>21227104</x:v>
      </x:c>
      <x:c r="AB782" s="14" t="str">
        <x:v>2026-08-24</x:v>
      </x:c>
      <x:c r="AC782" s="14" t="str"/>
      <x:c r="AD782" s="20" t="str"/>
      <x:c r="AE782" s="14" t="str"/>
      <x:c r="AF782" s="14" t="n">
        <x:v>25</x:v>
      </x:c>
      <x:c r="AG782" s="14" t="str">
        <x:v>I3</x:v>
      </x:c>
      <x:c r="AH782" s="14" t="n">
        <x:v>1</x:v>
      </x:c>
      <x:c r="AI782" s="14" t="n">
        <x:v>0</x:v>
      </x:c>
      <x:c r="AJ782" s="18" t="n">
        <x:v>82902.16</x:v>
      </x:c>
      <x:c r="AK782" s="14" t="str">
        <x:v>https://prozorro.gov.ua/tender/UA-2025-02-04-011367-a</x:v>
      </x:c>
      <x:c r="AL782" s="19" t="n">
        <x:v>45692.53341179398</x:v>
      </x:c>
      <x:c r="AM782" s="19" t="n">
        <x:v>45747</x:v>
      </x:c>
      <x:c r="AN782" s="15" t="str">
        <x:v>ВОЛЗ / телеком</x:v>
      </x:c>
      <x:c r="AO782" s="15" t="str">
        <x:v>not_found_in_top_search</x:v>
      </x:c>
    </x:row>
    <x:row r="783">
      <x:c r="A783" s="14" t="str">
        <x:v>W3-511</x:v>
      </x:c>
      <x:c r="B783" s="14" t="str">
        <x:v>Prozorro winners — 24.08</x:v>
      </x:c>
      <x:c r="C783" s="14" t="str">
        <x:v>ТОВАРИСТВО З ОБМЕЖЕНОЮ ВІДПОВІДАЛЬНІСТЮ "ВИРОБНИЧО-СЕРВІСНА КОМПАНІЯ МЕДТЕХОКСІГЕН"</x:v>
      </x:c>
      <x:c r="D783" s="14" t="str">
        <x:v>Медичні гази</x:v>
      </x:c>
      <x:c r="E783" s="14" t="str">
        <x:v>Expansion discovery</x:v>
      </x:c>
      <x:c r="F783" s="17" t="str">
        <x:f>IF(E783="Pilot now",IF(P783&gt;=84,"P1",IF(P783&gt;=72,"P2","P3")),IF(E783="Expansion discovery",IF(Q783&gt;=88,"D1",IF(Q783&gt;=78,"D2","D3")),IF(E783="Later / requirements","L","Legacy")))</x:f>
        <x:v>D2</x:v>
      </x:c>
      <x:c r="G783" s="14" t="str"/>
      <x:c r="H783" s="14" t="str">
        <x:v>Discovery розширення — 2 тижні</x:v>
      </x:c>
      <x:c r="I783" s="16" t="n">
        <x:v>1</x:v>
      </x:c>
      <x:c r="J783" s="16" t="n">
        <x:v>5</x:v>
      </x:c>
      <x:c r="K783" s="16" t="n">
        <x:v>4</x:v>
      </x:c>
      <x:c r="L783" s="16" t="n">
        <x:v>1</x:v>
      </x:c>
      <x:c r="M783" s="16" t="n">
        <x:v>5</x:v>
      </x:c>
      <x:c r="N783" s="16" t="n">
        <x:v>5</x:v>
      </x:c>
      <x:c r="O783" s="16" t="n">
        <x:v>5</x:v>
      </x:c>
      <x:c r="P783" s="16" t="n">
        <x:f>IF(COUNT(I783:O783)&lt;7,"",I783*8+J783*3+K783*2+L783*2+M783*2+N783*2+O783)</x:f>
        <x:v>58</x:v>
      </x:c>
      <x:c r="Q783" s="16" t="n">
        <x:f>IF(COUNT(J783:O783)&lt;6,"",J783*5+K783*4+M783*4+L783*3+N783*2+O783*2)</x:f>
        <x:v>84</x:v>
      </x:c>
      <x:c r="R783" s="14" t="str">
        <x:v>high</x:v>
      </x:c>
      <x:c r="S783" s="14" t="str">
        <x:v>official_prozorro_award_2025_2026</x:v>
      </x:c>
      <x:c r="T783" s="14" t="str">
        <x:v>official_prozorro_api</x:v>
      </x:c>
      <x:c r="U783" s="14" t="str">
        <x:v>Не контактували</x:v>
      </x:c>
      <x:c r="V783" s="15" t="str">
        <x:v>Workflow-audit outreach по UA-2025-11-03-008134-a; попросити 1 пакет здачі та вимоги проєкту</x:v>
      </x:c>
      <x:c r="W783" s="15" t="str">
        <x:v>Власник / директор; керівник ПТО; відповідальний за договори</x:v>
      </x:c>
      <x:c r="X783" s="15" t="str">
        <x:v>1 підтверджених перемог/договорів у Prozorro на 66 290 грн; 0 проєктів зі строком виконання не раніше 24.08.2026.</x:v>
      </x:c>
      <x:c r="Y783" s="15" t="str">
        <x:v>Монтаж системи постачання медичних газів, облаштування додаткових кисневих точок на 1 поверсі головного корпусу (приймально-діагностичного відділення); строк до 2025-11-14. Попросити один знеособлений пакет здачі за цим workflow.</x:v>
      </x:c>
      <x:c r="Z783" s="15" t="str">
        <x:v>https://prozorro.gov.ua/tender/UA-2025-11-03-008134-a</x:v>
      </x:c>
      <x:c r="AA783" s="14" t="str">
        <x:v>44470933</x:v>
      </x:c>
      <x:c r="AB783" s="14" t="str">
        <x:v>2026-08-24</x:v>
      </x:c>
      <x:c r="AC783" s="14" t="str"/>
      <x:c r="AD783" s="20" t="str"/>
      <x:c r="AE783" s="14" t="str"/>
      <x:c r="AF783" s="14" t="n">
        <x:v>25</x:v>
      </x:c>
      <x:c r="AG783" s="14" t="str">
        <x:v>I3</x:v>
      </x:c>
      <x:c r="AH783" s="14" t="n">
        <x:v>1</x:v>
      </x:c>
      <x:c r="AI783" s="14" t="n">
        <x:v>0</x:v>
      </x:c>
      <x:c r="AJ783" s="18" t="n">
        <x:v>66290.16</x:v>
      </x:c>
      <x:c r="AK783" s="14" t="str">
        <x:v>https://prozorro.gov.ua/tender/UA-2025-11-03-008134-a</x:v>
      </x:c>
      <x:c r="AL783" s="19" t="n">
        <x:v>45964.505085324075</x:v>
      </x:c>
      <x:c r="AM783" s="19" t="n">
        <x:v>45975</x:v>
      </x:c>
      <x:c r="AN783" s="15" t="str">
        <x:v>Медичні гази</x:v>
      </x:c>
      <x:c r="AO783" s="15" t="str">
        <x:v>not_found_in_top_search</x:v>
      </x:c>
    </x:row>
    <x:row r="784">
      <x:c r="A784" s="14" t="str">
        <x:v>W3-512</x:v>
      </x:c>
      <x:c r="B784" s="14" t="str">
        <x:v>Prozorro winners — 24.08</x:v>
      </x:c>
      <x:c r="C784" s="14" t="str">
        <x:v>ТОВАРИСТВО З ОБМЕЖЕНОЮ ВІДПОВІДАЛЬНІСТЮ "ІНВЕСТИЦІЙНО-БУДІВЕЛЬНА ФІРМА "ЄВРОБУДСЕРВІС"</x:v>
      </x:c>
      <x:c r="D784" s="14" t="str">
        <x:v>Електромонтаж</x:v>
      </x:c>
      <x:c r="E784" s="14" t="str">
        <x:v>Pilot now</x:v>
      </x:c>
      <x:c r="F784" s="17" t="str">
        <x:f>IF(E784="Pilot now",IF(P784&gt;=84,"P1",IF(P784&gt;=72,"P2","P3")),IF(E784="Expansion discovery",IF(Q784&gt;=88,"D1",IF(Q784&gt;=78,"D2","D3")),IF(E784="Later / requirements","L","Legacy")))</x:f>
        <x:v>P1</x:v>
      </x:c>
      <x:c r="G784" s="14" t="str"/>
      <x:c r="H784" s="14" t="str">
        <x:v>Пілот зараз — Н.15</x:v>
      </x:c>
      <x:c r="I784" s="16" t="n">
        <x:v>5</x:v>
      </x:c>
      <x:c r="J784" s="16" t="n">
        <x:v>5</x:v>
      </x:c>
      <x:c r="K784" s="16" t="n">
        <x:v>5</x:v>
      </x:c>
      <x:c r="L784" s="16" t="n">
        <x:v>1</x:v>
      </x:c>
      <x:c r="M784" s="16" t="n">
        <x:v>5</x:v>
      </x:c>
      <x:c r="N784" s="16" t="n">
        <x:v>5</x:v>
      </x:c>
      <x:c r="O784" s="16" t="n">
        <x:v>5</x:v>
      </x:c>
      <x:c r="P784" s="16" t="n">
        <x:f>IF(COUNT(I784:O784)&lt;7,"",I784*8+J784*3+K784*2+L784*2+M784*2+N784*2+O784)</x:f>
        <x:v>92</x:v>
      </x:c>
      <x:c r="Q784" s="16" t="n">
        <x:f>IF(COUNT(J784:O784)&lt;6,"",J784*5+K784*4+M784*4+L784*3+N784*2+O784*2)</x:f>
        <x:v>88</x:v>
      </x:c>
      <x:c r="R784" s="14" t="str">
        <x:v>high</x:v>
      </x:c>
      <x:c r="S784" s="14" t="str">
        <x:v>official_prozorro_award_2025_2026</x:v>
      </x:c>
      <x:c r="T784" s="14" t="str">
        <x:v>official_prozorro_api</x:v>
      </x:c>
      <x:c r="U784" s="14" t="str">
        <x:v>Не контактували</x:v>
      </x:c>
      <x:c r="V784" s="15" t="str">
        <x:v>Персоналізований free-pilot outreach по UA-2025-10-20-008856-a; попросити 1 пакет Н.14/Н.15</x:v>
      </x:c>
      <x:c r="W784" s="15" t="str">
        <x:v>Власник / директор; керівник ПТО; відповідальний за договори</x:v>
      </x:c>
      <x:c r="X784" s="15" t="str">
        <x:v>1 підтверджених перемог/договорів у Prozorro на 64 145 грн; 0 проєктів зі строком виконання не раніше 24.08.2026.</x:v>
      </x:c>
      <x:c r="Y784" s="15" t="str">
        <x:v>Послуги з демонтажу та монтажу шаф керування вуличним освітленням (без під"єднання до електричних мереж) у м. Трускавець; строк до 2025-11-30. Попросити один знеособлений пакет здачі за цим workflow.</x:v>
      </x:c>
      <x:c r="Z784" s="15" t="str">
        <x:v>https://prozorro.gov.ua/tender/UA-2025-10-20-008856-a</x:v>
      </x:c>
      <x:c r="AA784" s="14" t="str">
        <x:v>34744813</x:v>
      </x:c>
      <x:c r="AB784" s="14" t="str">
        <x:v>2026-08-24</x:v>
      </x:c>
      <x:c r="AC784" s="14" t="str"/>
      <x:c r="AD784" s="20" t="str"/>
      <x:c r="AE784" s="14" t="str"/>
      <x:c r="AF784" s="14" t="n">
        <x:v>25</x:v>
      </x:c>
      <x:c r="AG784" s="14" t="str">
        <x:v>I3</x:v>
      </x:c>
      <x:c r="AH784" s="14" t="n">
        <x:v>1</x:v>
      </x:c>
      <x:c r="AI784" s="14" t="n">
        <x:v>0</x:v>
      </x:c>
      <x:c r="AJ784" s="18" t="n">
        <x:v>64144.65</x:v>
      </x:c>
      <x:c r="AK784" s="14" t="str">
        <x:v>https://prozorro.gov.ua/tender/UA-2025-10-20-008856-a</x:v>
      </x:c>
      <x:c r="AL784" s="19" t="n">
        <x:v>45950.46692756945</x:v>
      </x:c>
      <x:c r="AM784" s="19" t="n">
        <x:v>45991</x:v>
      </x:c>
      <x:c r="AN784" s="15" t="str">
        <x:v>Електромонтаж</x:v>
      </x:c>
      <x:c r="AO784" s="15" t="str">
        <x:v>not_found_in_top_search</x:v>
      </x:c>
    </x:row>
    <x:row r="785">
      <x:c r="A785" s="14" t="str">
        <x:v>W3-513</x:v>
      </x:c>
      <x:c r="B785" s="14" t="str">
        <x:v>Prozorro winners — 24.08</x:v>
      </x:c>
      <x:c r="C785" s="14" t="str">
        <x:v>ПРИВАТНЕ ПІДПРИЄМСТВО "ПРОФДЕЗІНФЕКЦІЯ КОНТАКТ"</x:v>
      </x:c>
      <x:c r="D785" s="14" t="str">
        <x:v>Внутрішні сантехнічні системи</x:v>
      </x:c>
      <x:c r="E785" s="14" t="str">
        <x:v>Pilot now</x:v>
      </x:c>
      <x:c r="F785" s="17" t="str">
        <x:f>IF(E785="Pilot now",IF(P785&gt;=84,"P1",IF(P785&gt;=72,"P2","P3")),IF(E785="Expansion discovery",IF(Q785&gt;=88,"D1",IF(Q785&gt;=78,"D2","D3")),IF(E785="Later / requirements","L","Legacy")))</x:f>
        <x:v>P1</x:v>
      </x:c>
      <x:c r="G785" s="14" t="str"/>
      <x:c r="H785" s="14" t="str">
        <x:v>Пілот зараз — Н.14</x:v>
      </x:c>
      <x:c r="I785" s="16" t="n">
        <x:v>5</x:v>
      </x:c>
      <x:c r="J785" s="16" t="n">
        <x:v>5</x:v>
      </x:c>
      <x:c r="K785" s="16" t="n">
        <x:v>5</x:v>
      </x:c>
      <x:c r="L785" s="16" t="n">
        <x:v>1</x:v>
      </x:c>
      <x:c r="M785" s="16" t="n">
        <x:v>5</x:v>
      </x:c>
      <x:c r="N785" s="16" t="n">
        <x:v>5</x:v>
      </x:c>
      <x:c r="O785" s="16" t="n">
        <x:v>5</x:v>
      </x:c>
      <x:c r="P785" s="16" t="n">
        <x:f>IF(COUNT(I785:O785)&lt;7,"",I785*8+J785*3+K785*2+L785*2+M785*2+N785*2+O785)</x:f>
        <x:v>92</x:v>
      </x:c>
      <x:c r="Q785" s="16" t="n">
        <x:f>IF(COUNT(J785:O785)&lt;6,"",J785*5+K785*4+M785*4+L785*3+N785*2+O785*2)</x:f>
        <x:v>88</x:v>
      </x:c>
      <x:c r="R785" s="14" t="str">
        <x:v>high</x:v>
      </x:c>
      <x:c r="S785" s="14" t="str">
        <x:v>official_prozorro_award_2025_2026</x:v>
      </x:c>
      <x:c r="T785" s="14" t="str">
        <x:v>official_prozorro_api</x:v>
      </x:c>
      <x:c r="U785" s="14" t="str">
        <x:v>Не контактували</x:v>
      </x:c>
      <x:c r="V785" s="15" t="str">
        <x:v>Персоналізований free-pilot outreach по UA-2025-07-21-001538-a; попросити 1 пакет Н.14/Н.15</x:v>
      </x:c>
      <x:c r="W785" s="15" t="str">
        <x:v>Власник / директор; керівник ПТО; відповідальний за договори</x:v>
      </x:c>
      <x:c r="X785" s="15" t="str">
        <x:v>1 підтверджених перемог/договорів у Prozorro на 63 000 грн; 0 проєктів зі строком виконання не раніше 24.08.2026.</x:v>
      </x:c>
      <x:c r="Y785" s="15" t="str">
        <x:v>Послуги з утримання в належному стані внутрішніх мереж водопостачання та водовідведення (демонтаж унітазів зі змивними бачками --4 комплекти, установлення унітазів з безпосередньо приєднаним бачком - 4 комплекти та повязані з цим заміна труб ХВП, ГВП та каналізації в санвузлах на 1 та 2 поверсі адміністративної будівлі, прочищення внутрішньої каналізаційної мережі, заміна труб столяків води, заміна стояка каналізації); строк до 2025-12-31. Попросити один знеособлений пакет здачі за цим workflow.</x:v>
      </x:c>
      <x:c r="Z785" s="15" t="str">
        <x:v>https://prozorro.gov.ua/tender/UA-2025-07-21-001538-a</x:v>
      </x:c>
      <x:c r="AA785" s="14" t="str">
        <x:v>39516090</x:v>
      </x:c>
      <x:c r="AB785" s="14" t="str">
        <x:v>2026-08-24</x:v>
      </x:c>
      <x:c r="AC785" s="14" t="str"/>
      <x:c r="AD785" s="20" t="str"/>
      <x:c r="AE785" s="14" t="str"/>
      <x:c r="AF785" s="14" t="n">
        <x:v>25</x:v>
      </x:c>
      <x:c r="AG785" s="14" t="str">
        <x:v>I3</x:v>
      </x:c>
      <x:c r="AH785" s="14" t="n">
        <x:v>1</x:v>
      </x:c>
      <x:c r="AI785" s="14" t="n">
        <x:v>0</x:v>
      </x:c>
      <x:c r="AJ785" s="18" t="n">
        <x:v>63000</x:v>
      </x:c>
      <x:c r="AK785" s="14" t="str">
        <x:v>https://prozorro.gov.ua/tender/UA-2025-07-21-001538-a</x:v>
      </x:c>
      <x:c r="AL785" s="19" t="n">
        <x:v>45859.34798907407</x:v>
      </x:c>
      <x:c r="AM785" s="19" t="n">
        <x:v>46022</x:v>
      </x:c>
      <x:c r="AN785" s="15" t="str">
        <x:v>Внутрішні сантехнічні системи</x:v>
      </x:c>
      <x:c r="AO785" s="15" t="str">
        <x:v>not_found_in_top_search</x:v>
      </x:c>
    </x:row>
    <x:row r="786">
      <x:c r="A786" s="14" t="str">
        <x:v>W3-514</x:v>
      </x:c>
      <x:c r="B786" s="14" t="str">
        <x:v>Prozorro winners — 24.08</x:v>
      </x:c>
      <x:c r="C786" s="14" t="str">
        <x:v>ТОВАРИСТВО З ОБМЕЖЕНОЮ ВІДПОВІДАЛЬНІСТЮ "АЙР ТЕХНОЛОДЖІ СИСТЕМС КЛІМАТ"</x:v>
      </x:c>
      <x:c r="D786" s="14" t="str">
        <x:v>HVAC / ОВіК</x:v>
      </x:c>
      <x:c r="E786" s="14" t="str">
        <x:v>Pilot now</x:v>
      </x:c>
      <x:c r="F786" s="17" t="str">
        <x:f>IF(E786="Pilot now",IF(P786&gt;=84,"P1",IF(P786&gt;=72,"P2","P3")),IF(E786="Expansion discovery",IF(Q786&gt;=88,"D1",IF(Q786&gt;=78,"D2","D3")),IF(E786="Later / requirements","L","Legacy")))</x:f>
        <x:v>P1</x:v>
      </x:c>
      <x:c r="G786" s="14" t="str"/>
      <x:c r="H786" s="14" t="str">
        <x:v>Пілот зараз — Н.14</x:v>
      </x:c>
      <x:c r="I786" s="16" t="n">
        <x:v>5</x:v>
      </x:c>
      <x:c r="J786" s="16" t="n">
        <x:v>5</x:v>
      </x:c>
      <x:c r="K786" s="16" t="n">
        <x:v>5</x:v>
      </x:c>
      <x:c r="L786" s="16" t="n">
        <x:v>1</x:v>
      </x:c>
      <x:c r="M786" s="16" t="n">
        <x:v>5</x:v>
      </x:c>
      <x:c r="N786" s="16" t="n">
        <x:v>5</x:v>
      </x:c>
      <x:c r="O786" s="16" t="n">
        <x:v>5</x:v>
      </x:c>
      <x:c r="P786" s="16" t="n">
        <x:f>IF(COUNT(I786:O786)&lt;7,"",I786*8+J786*3+K786*2+L786*2+M786*2+N786*2+O786)</x:f>
        <x:v>92</x:v>
      </x:c>
      <x:c r="Q786" s="16" t="n">
        <x:f>IF(COUNT(J786:O786)&lt;6,"",J786*5+K786*4+M786*4+L786*3+N786*2+O786*2)</x:f>
        <x:v>88</x:v>
      </x:c>
      <x:c r="R786" s="14" t="str">
        <x:v>high</x:v>
      </x:c>
      <x:c r="S786" s="14" t="str">
        <x:v>official_prozorro_award_2025_2026</x:v>
      </x:c>
      <x:c r="T786" s="14" t="str">
        <x:v>official_prozorro_api</x:v>
      </x:c>
      <x:c r="U786" s="14" t="str">
        <x:v>Не контактували</x:v>
      </x:c>
      <x:c r="V786" s="15" t="str">
        <x:v>Персоналізований free-pilot outreach по UA-2025-12-01-005105-a; попросити 1 пакет Н.14/Н.15</x:v>
      </x:c>
      <x:c r="W786" s="15" t="str">
        <x:v>Власник / директор; керівник ПТО; відповідальний за договори</x:v>
      </x:c>
      <x:c r="X786" s="15" t="str">
        <x:v>1 підтверджених перемог/договорів у Prozorro на 62 286 грн; 0 проєктів зі строком виконання не раніше 24.08.2026.</x:v>
      </x:c>
      <x:c r="Y786" s="15" t="str">
        <x:v>Виконання робіт з монтажу системи вентиляції; строк до 2025-12-31. Попросити один знеособлений пакет здачі за цим workflow.</x:v>
      </x:c>
      <x:c r="Z786" s="15" t="str">
        <x:v>https://prozorro.gov.ua/tender/UA-2025-12-01-005105-a</x:v>
      </x:c>
      <x:c r="AA786" s="14" t="str">
        <x:v>44678370</x:v>
      </x:c>
      <x:c r="AB786" s="14" t="str">
        <x:v>2026-08-24</x:v>
      </x:c>
      <x:c r="AC786" s="14" t="str"/>
      <x:c r="AD786" s="20" t="str"/>
      <x:c r="AE786" s="14" t="str"/>
      <x:c r="AF786" s="14" t="n">
        <x:v>25</x:v>
      </x:c>
      <x:c r="AG786" s="14" t="str">
        <x:v>I3</x:v>
      </x:c>
      <x:c r="AH786" s="14" t="n">
        <x:v>1</x:v>
      </x:c>
      <x:c r="AI786" s="14" t="n">
        <x:v>0</x:v>
      </x:c>
      <x:c r="AJ786" s="18" t="n">
        <x:v>62286.3</x:v>
      </x:c>
      <x:c r="AK786" s="14" t="str">
        <x:v>https://prozorro.gov.ua/tender/UA-2025-12-01-005105-a</x:v>
      </x:c>
      <x:c r="AL786" s="19" t="n">
        <x:v>45992.40095383102</x:v>
      </x:c>
      <x:c r="AM786" s="19" t="n">
        <x:v>46022</x:v>
      </x:c>
      <x:c r="AN786" s="15" t="str">
        <x:v>HVAC / ОВіК</x:v>
      </x:c>
      <x:c r="AO786" s="15" t="str">
        <x:v>not_found_in_top_search</x:v>
      </x:c>
    </x:row>
    <x:row r="787">
      <x:c r="A787" s="14" t="str">
        <x:v>W3-515</x:v>
      </x:c>
      <x:c r="B787" s="14" t="str">
        <x:v>Prozorro winners — 24.08</x:v>
      </x:c>
      <x:c r="C787" s="14" t="str">
        <x:v>КОМУНАЛЬНИЙ ЗАКЛАД "РЕГІОНАЛЬНИЙ ІНФОРМАЦІЙНО - КОМП'ЮТЕРНИЙ ЦЕНТР" РІВНЕНСЬКОЇ ОБЛАСНОЇ РАДИ</x:v>
      </x:c>
      <x:c r="D787" s="14" t="str">
        <x:v>Електромонтаж</x:v>
      </x:c>
      <x:c r="E787" s="14" t="str">
        <x:v>Pilot now</x:v>
      </x:c>
      <x:c r="F787" s="17" t="str">
        <x:f>IF(E787="Pilot now",IF(P787&gt;=84,"P1",IF(P787&gt;=72,"P2","P3")),IF(E787="Expansion discovery",IF(Q787&gt;=88,"D1",IF(Q787&gt;=78,"D2","D3")),IF(E787="Later / requirements","L","Legacy")))</x:f>
        <x:v>P1</x:v>
      </x:c>
      <x:c r="G787" s="14" t="str"/>
      <x:c r="H787" s="14" t="str">
        <x:v>Пілот зараз — Н.15</x:v>
      </x:c>
      <x:c r="I787" s="16" t="n">
        <x:v>5</x:v>
      </x:c>
      <x:c r="J787" s="16" t="n">
        <x:v>5</x:v>
      </x:c>
      <x:c r="K787" s="16" t="n">
        <x:v>5</x:v>
      </x:c>
      <x:c r="L787" s="16" t="n">
        <x:v>1</x:v>
      </x:c>
      <x:c r="M787" s="16" t="n">
        <x:v>5</x:v>
      </x:c>
      <x:c r="N787" s="16" t="n">
        <x:v>5</x:v>
      </x:c>
      <x:c r="O787" s="16" t="n">
        <x:v>5</x:v>
      </x:c>
      <x:c r="P787" s="16" t="n">
        <x:f>IF(COUNT(I787:O787)&lt;7,"",I787*8+J787*3+K787*2+L787*2+M787*2+N787*2+O787)</x:f>
        <x:v>92</x:v>
      </x:c>
      <x:c r="Q787" s="16" t="n">
        <x:f>IF(COUNT(J787:O787)&lt;6,"",J787*5+K787*4+M787*4+L787*3+N787*2+O787*2)</x:f>
        <x:v>88</x:v>
      </x:c>
      <x:c r="R787" s="14" t="str">
        <x:v>high</x:v>
      </x:c>
      <x:c r="S787" s="14" t="str">
        <x:v>official_prozorro_award_2025_2026</x:v>
      </x:c>
      <x:c r="T787" s="14" t="str">
        <x:v>official_prozorro_api</x:v>
      </x:c>
      <x:c r="U787" s="14" t="str">
        <x:v>Не контактували</x:v>
      </x:c>
      <x:c r="V787" s="15" t="str">
        <x:v>Персоналізований free-pilot outreach по UA-2025-12-19-007239-a; попросити 1 пакет Н.14/Н.15</x:v>
      </x:c>
      <x:c r="W787" s="15" t="str">
        <x:v>Власник / директор; керівник ПТО; відповідальний за договори</x:v>
      </x:c>
      <x:c r="X787" s="15" t="str">
        <x:v>1 підтверджених перемог/договорів у Prozorro на 60 000 грн; 0 проєктів зі строком виконання не раніше 24.08.2026.</x:v>
      </x:c>
      <x:c r="Y787" s="15" t="str">
        <x:v>Послуги з монтажу та налаштування електричного обладнання для побудови бездротової  Wi-Fi мережі за адресою: м. Рівне, вулиця Словацького, 10; строк до 2025-12-31. Попросити один знеособлений пакет здачі за цим workflow.</x:v>
      </x:c>
      <x:c r="Z787" s="15" t="str">
        <x:v>https://prozorro.gov.ua/tender/UA-2025-12-19-007239-a</x:v>
      </x:c>
      <x:c r="AA787" s="14" t="str">
        <x:v>25797844</x:v>
      </x:c>
      <x:c r="AB787" s="14" t="str">
        <x:v>2026-08-24</x:v>
      </x:c>
      <x:c r="AC787" s="14" t="str"/>
      <x:c r="AD787" s="20" t="str"/>
      <x:c r="AE787" s="14" t="str"/>
      <x:c r="AF787" s="14" t="n">
        <x:v>25</x:v>
      </x:c>
      <x:c r="AG787" s="14" t="str">
        <x:v>I3</x:v>
      </x:c>
      <x:c r="AH787" s="14" t="n">
        <x:v>1</x:v>
      </x:c>
      <x:c r="AI787" s="14" t="n">
        <x:v>0</x:v>
      </x:c>
      <x:c r="AJ787" s="18" t="n">
        <x:v>60000</x:v>
      </x:c>
      <x:c r="AK787" s="14" t="str">
        <x:v>https://prozorro.gov.ua/tender/UA-2025-12-19-007239-a</x:v>
      </x:c>
      <x:c r="AL787" s="19" t="n">
        <x:v>46010.39300108796</x:v>
      </x:c>
      <x:c r="AM787" s="19" t="n">
        <x:v>46022.39304398148</x:v>
      </x:c>
      <x:c r="AN787" s="15" t="str">
        <x:v>Електромонтаж</x:v>
      </x:c>
      <x:c r="AO787" s="15" t="str">
        <x:v>not_found_in_top_search</x:v>
      </x:c>
    </x:row>
    <x:row r="788">
      <x:c r="A788" s="14" t="str">
        <x:v>W3-516</x:v>
      </x:c>
      <x:c r="B788" s="14" t="str">
        <x:v>Prozorro winners — 24.08</x:v>
      </x:c>
      <x:c r="C788" s="14" t="str">
        <x:v>ПП "Профіт - ресурс"</x:v>
      </x:c>
      <x:c r="D788" s="14" t="str">
        <x:v>Електромонтаж</x:v>
      </x:c>
      <x:c r="E788" s="14" t="str">
        <x:v>Pilot now</x:v>
      </x:c>
      <x:c r="F788" s="17" t="str">
        <x:f>IF(E788="Pilot now",IF(P788&gt;=84,"P1",IF(P788&gt;=72,"P2","P3")),IF(E788="Expansion discovery",IF(Q788&gt;=88,"D1",IF(Q788&gt;=78,"D2","D3")),IF(E788="Later / requirements","L","Legacy")))</x:f>
        <x:v>P1</x:v>
      </x:c>
      <x:c r="G788" s="14" t="str"/>
      <x:c r="H788" s="14" t="str">
        <x:v>Пілот зараз — Н.15</x:v>
      </x:c>
      <x:c r="I788" s="16" t="n">
        <x:v>5</x:v>
      </x:c>
      <x:c r="J788" s="16" t="n">
        <x:v>5</x:v>
      </x:c>
      <x:c r="K788" s="16" t="n">
        <x:v>5</x:v>
      </x:c>
      <x:c r="L788" s="16" t="n">
        <x:v>1</x:v>
      </x:c>
      <x:c r="M788" s="16" t="n">
        <x:v>5</x:v>
      </x:c>
      <x:c r="N788" s="16" t="n">
        <x:v>5</x:v>
      </x:c>
      <x:c r="O788" s="16" t="n">
        <x:v>5</x:v>
      </x:c>
      <x:c r="P788" s="16" t="n">
        <x:f>IF(COUNT(I788:O788)&lt;7,"",I788*8+J788*3+K788*2+L788*2+M788*2+N788*2+O788)</x:f>
        <x:v>92</x:v>
      </x:c>
      <x:c r="Q788" s="16" t="n">
        <x:f>IF(COUNT(J788:O788)&lt;6,"",J788*5+K788*4+M788*4+L788*3+N788*2+O788*2)</x:f>
        <x:v>88</x:v>
      </x:c>
      <x:c r="R788" s="14" t="str">
        <x:v>high</x:v>
      </x:c>
      <x:c r="S788" s="14" t="str">
        <x:v>official_prozorro_award_2025_2026</x:v>
      </x:c>
      <x:c r="T788" s="14" t="str">
        <x:v>official_prozorro_api</x:v>
      </x:c>
      <x:c r="U788" s="14" t="str">
        <x:v>Не контактували</x:v>
      </x:c>
      <x:c r="V788" s="15" t="str">
        <x:v>Персоналізований free-pilot outreach по UA-2025-12-02-013511-a; попросити 1 пакет Н.14/Н.15</x:v>
      </x:c>
      <x:c r="W788" s="15" t="str">
        <x:v>Власник / директор; керівник ПТО; відповідальний за договори</x:v>
      </x:c>
      <x:c r="X788" s="15" t="str">
        <x:v>1 підтверджених перемог/договорів у Prozorro на 46 000 грн; 0 проєктів зі строком виконання не раніше 24.08.2026.</x:v>
      </x:c>
      <x:c r="Y788" s="15" t="str">
        <x:v>Послуги з улаштування (монтаж) електричних мереж (ДК 021:2015: 45310000-3 - Електромонтажні роботи).; строк до 2025-12-31. Попросити один знеособлений пакет здачі за цим workflow.</x:v>
      </x:c>
      <x:c r="Z788" s="15" t="str">
        <x:v>https://prozorro.gov.ua/tender/UA-2025-12-02-013511-a</x:v>
      </x:c>
      <x:c r="AA788" s="14" t="str">
        <x:v>32021016</x:v>
      </x:c>
      <x:c r="AB788" s="14" t="str">
        <x:v>2026-08-24</x:v>
      </x:c>
      <x:c r="AC788" s="14" t="str"/>
      <x:c r="AD788" s="20" t="str"/>
      <x:c r="AE788" s="14" t="str"/>
      <x:c r="AF788" s="14" t="n">
        <x:v>25</x:v>
      </x:c>
      <x:c r="AG788" s="14" t="str">
        <x:v>I3</x:v>
      </x:c>
      <x:c r="AH788" s="14" t="n">
        <x:v>1</x:v>
      </x:c>
      <x:c r="AI788" s="14" t="n">
        <x:v>0</x:v>
      </x:c>
      <x:c r="AJ788" s="18" t="n">
        <x:v>46000</x:v>
      </x:c>
      <x:c r="AK788" s="14" t="str">
        <x:v>https://prozorro.gov.ua/tender/UA-2025-12-02-013511-a</x:v>
      </x:c>
      <x:c r="AL788" s="19" t="n">
        <x:v>45993.54686398148</x:v>
      </x:c>
      <x:c r="AM788" s="19" t="n">
        <x:v>46022.916666655095</x:v>
      </x:c>
      <x:c r="AN788" s="15" t="str">
        <x:v>Електромонтаж</x:v>
      </x:c>
      <x:c r="AO788" s="15" t="str">
        <x:v>not_found_in_top_search</x:v>
      </x:c>
    </x:row>
    <x:row r="789">
      <x:c r="A789" s="14" t="str">
        <x:v>W3-517</x:v>
      </x:c>
      <x:c r="B789" s="14" t="str">
        <x:v>Prozorro winners — 24.08</x:v>
      </x:c>
      <x:c r="C789" s="14" t="str">
        <x:v>ТОВАРИСТВО З ОБМЕЖЕНОЮ ВІДПОВІДАЛЬНІСТЮ "ЄВРОКОМФОРТ-ІФ"</x:v>
      </x:c>
      <x:c r="D789" s="14" t="str">
        <x:v>HVAC / ОВіК</x:v>
      </x:c>
      <x:c r="E789" s="14" t="str">
        <x:v>Pilot now</x:v>
      </x:c>
      <x:c r="F789" s="17" t="str">
        <x:f>IF(E789="Pilot now",IF(P789&gt;=84,"P1",IF(P789&gt;=72,"P2","P3")),IF(E789="Expansion discovery",IF(Q789&gt;=88,"D1",IF(Q789&gt;=78,"D2","D3")),IF(E789="Later / requirements","L","Legacy")))</x:f>
        <x:v>P1</x:v>
      </x:c>
      <x:c r="G789" s="14" t="str"/>
      <x:c r="H789" s="14" t="str">
        <x:v>Пілот зараз — Н.14</x:v>
      </x:c>
      <x:c r="I789" s="16" t="n">
        <x:v>5</x:v>
      </x:c>
      <x:c r="J789" s="16" t="n">
        <x:v>5</x:v>
      </x:c>
      <x:c r="K789" s="16" t="n">
        <x:v>5</x:v>
      </x:c>
      <x:c r="L789" s="16" t="n">
        <x:v>1</x:v>
      </x:c>
      <x:c r="M789" s="16" t="n">
        <x:v>5</x:v>
      </x:c>
      <x:c r="N789" s="16" t="n">
        <x:v>5</x:v>
      </x:c>
      <x:c r="O789" s="16" t="n">
        <x:v>5</x:v>
      </x:c>
      <x:c r="P789" s="16" t="n">
        <x:f>IF(COUNT(I789:O789)&lt;7,"",I789*8+J789*3+K789*2+L789*2+M789*2+N789*2+O789)</x:f>
        <x:v>92</x:v>
      </x:c>
      <x:c r="Q789" s="16" t="n">
        <x:f>IF(COUNT(J789:O789)&lt;6,"",J789*5+K789*4+M789*4+L789*3+N789*2+O789*2)</x:f>
        <x:v>88</x:v>
      </x:c>
      <x:c r="R789" s="14" t="str">
        <x:v>high</x:v>
      </x:c>
      <x:c r="S789" s="14" t="str">
        <x:v>official_prozorro_award_2025_2026</x:v>
      </x:c>
      <x:c r="T789" s="14" t="str">
        <x:v>official_prozorro_api</x:v>
      </x:c>
      <x:c r="U789" s="14" t="str">
        <x:v>Не контактували</x:v>
      </x:c>
      <x:c r="V789" s="15" t="str">
        <x:v>Персоналізований free-pilot outreach по UA-2025-12-18-011206-a; попросити 1 пакет Н.14/Н.15</x:v>
      </x:c>
      <x:c r="W789" s="15" t="str">
        <x:v>Власник / директор; керівник ПТО; відповідальний за договори</x:v>
      </x:c>
      <x:c r="X789" s="15" t="str">
        <x:v>1 підтверджених перемог/договорів у Prozorro на 45 000 грн; 0 проєктів зі строком виконання не раніше 24.08.2026.</x:v>
      </x:c>
      <x:c r="Y789" s="15" t="str">
        <x:v>Послуги з монтажу системи вентиляції в Росільнянському ліцеї.; строк до 2025-12-31. Попросити один знеособлений пакет здачі за цим workflow.</x:v>
      </x:c>
      <x:c r="Z789" s="15" t="str">
        <x:v>https://prozorro.gov.ua/tender/UA-2025-12-18-011206-a</x:v>
      </x:c>
      <x:c r="AA789" s="14" t="str">
        <x:v>37409865</x:v>
      </x:c>
      <x:c r="AB789" s="14" t="str">
        <x:v>2026-08-24</x:v>
      </x:c>
      <x:c r="AC789" s="14" t="str"/>
      <x:c r="AD789" s="20" t="str"/>
      <x:c r="AE789" s="14" t="str"/>
      <x:c r="AF789" s="14" t="n">
        <x:v>25</x:v>
      </x:c>
      <x:c r="AG789" s="14" t="str">
        <x:v>I3</x:v>
      </x:c>
      <x:c r="AH789" s="14" t="n">
        <x:v>1</x:v>
      </x:c>
      <x:c r="AI789" s="14" t="n">
        <x:v>0</x:v>
      </x:c>
      <x:c r="AJ789" s="18" t="n">
        <x:v>45000</x:v>
      </x:c>
      <x:c r="AK789" s="14" t="str">
        <x:v>https://prozorro.gov.ua/tender/UA-2025-12-18-011206-a</x:v>
      </x:c>
      <x:c r="AL789" s="19" t="n">
        <x:v>46009.456794791666</x:v>
      </x:c>
      <x:c r="AM789" s="19" t="n">
        <x:v>46022.916666655095</x:v>
      </x:c>
      <x:c r="AN789" s="15" t="str">
        <x:v>HVAC / ОВіК</x:v>
      </x:c>
      <x:c r="AO789" s="15" t="str">
        <x:v>not_found_in_top_search</x:v>
      </x:c>
    </x:row>
    <x:row r="790">
      <x:c r="A790" s="14" t="str">
        <x:v>W3-518</x:v>
      </x:c>
      <x:c r="B790" s="14" t="str">
        <x:v>Prozorro winners — 24.08</x:v>
      </x:c>
      <x:c r="C790" s="14" t="str">
        <x:v>ТОВ "Екопайпсистемс"</x:v>
      </x:c>
      <x:c r="D790" s="14" t="str">
        <x:v>ГНБ / безтраншейні роботи</x:v>
      </x:c>
      <x:c r="E790" s="14" t="str">
        <x:v>Expansion discovery</x:v>
      </x:c>
      <x:c r="F790" s="17" t="str">
        <x:f>IF(E790="Pilot now",IF(P790&gt;=84,"P1",IF(P790&gt;=72,"P2","P3")),IF(E790="Expansion discovery",IF(Q790&gt;=88,"D1",IF(Q790&gt;=78,"D2","D3")),IF(E790="Later / requirements","L","Legacy")))</x:f>
        <x:v>D2</x:v>
      </x:c>
      <x:c r="G790" s="14" t="str"/>
      <x:c r="H790" s="14" t="str">
        <x:v>Discovery розширення — 2 тижні</x:v>
      </x:c>
      <x:c r="I790" s="16" t="n">
        <x:v>1</x:v>
      </x:c>
      <x:c r="J790" s="16" t="n">
        <x:v>5</x:v>
      </x:c>
      <x:c r="K790" s="16" t="n">
        <x:v>4</x:v>
      </x:c>
      <x:c r="L790" s="16" t="n">
        <x:v>1</x:v>
      </x:c>
      <x:c r="M790" s="16" t="n">
        <x:v>5</x:v>
      </x:c>
      <x:c r="N790" s="16" t="n">
        <x:v>5</x:v>
      </x:c>
      <x:c r="O790" s="16" t="n">
        <x:v>5</x:v>
      </x:c>
      <x:c r="P790" s="16" t="n">
        <x:f>IF(COUNT(I790:O790)&lt;7,"",I790*8+J790*3+K790*2+L790*2+M790*2+N790*2+O790)</x:f>
        <x:v>58</x:v>
      </x:c>
      <x:c r="Q790" s="16" t="n">
        <x:f>IF(COUNT(J790:O790)&lt;6,"",J790*5+K790*4+M790*4+L790*3+N790*2+O790*2)</x:f>
        <x:v>84</x:v>
      </x:c>
      <x:c r="R790" s="14" t="str">
        <x:v>high</x:v>
      </x:c>
      <x:c r="S790" s="14" t="str">
        <x:v>official_prozorro_award_2025_2026</x:v>
      </x:c>
      <x:c r="T790" s="14" t="str">
        <x:v>official_prozorro_api</x:v>
      </x:c>
      <x:c r="U790" s="14" t="str">
        <x:v>Не контактували</x:v>
      </x:c>
      <x:c r="V790" s="15" t="str">
        <x:v>Workflow-audit outreach по UA-2025-06-11-012030-a; попросити 1 пакет здачі та вимоги проєкту</x:v>
      </x:c>
      <x:c r="W790" s="15" t="str">
        <x:v>Власник / директор; керівник ПТО; відповідальний за договори</x:v>
      </x:c>
      <x:c r="X790" s="15" t="str">
        <x:v>1 підтверджених перемог/договорів у Prozorro на 43 200 грн; 0 проєктів зі строком виконання не раніше 24.08.2026.</x:v>
      </x:c>
      <x:c r="Y790" s="15" t="str">
        <x:v>Послуги з горизонтально направленого буріння; строк до 2025-07-31. Попросити один знеособлений пакет здачі за цим workflow.</x:v>
      </x:c>
      <x:c r="Z790" s="15" t="str">
        <x:v>https://prozorro.gov.ua/tender/UA-2025-06-11-012030-a</x:v>
      </x:c>
      <x:c r="AA790" s="14" t="str">
        <x:v>44981347</x:v>
      </x:c>
      <x:c r="AB790" s="14" t="str">
        <x:v>2026-08-24</x:v>
      </x:c>
      <x:c r="AC790" s="14" t="str"/>
      <x:c r="AD790" s="20" t="str"/>
      <x:c r="AE790" s="14" t="str"/>
      <x:c r="AF790" s="14" t="n">
        <x:v>25</x:v>
      </x:c>
      <x:c r="AG790" s="14" t="str">
        <x:v>I3</x:v>
      </x:c>
      <x:c r="AH790" s="14" t="n">
        <x:v>1</x:v>
      </x:c>
      <x:c r="AI790" s="14" t="n">
        <x:v>0</x:v>
      </x:c>
      <x:c r="AJ790" s="18" t="n">
        <x:v>43200</x:v>
      </x:c>
      <x:c r="AK790" s="14" t="str">
        <x:v>https://prozorro.gov.ua/tender/UA-2025-06-11-012030-a</x:v>
      </x:c>
      <x:c r="AL790" s="19" t="n">
        <x:v>45819.56320146991</x:v>
      </x:c>
      <x:c r="AM790" s="19" t="n">
        <x:v>45869</x:v>
      </x:c>
      <x:c r="AN790" s="15" t="str">
        <x:v>ГНБ / безтраншейні роботи</x:v>
      </x:c>
      <x:c r="AO790" s="15" t="str">
        <x:v>not_found_in_top_search</x:v>
      </x:c>
    </x:row>
    <x:row r="791">
      <x:c r="A791" s="14" t="str">
        <x:v>W3-519</x:v>
      </x:c>
      <x:c r="B791" s="14" t="str">
        <x:v>Prozorro winners — 24.08</x:v>
      </x:c>
      <x:c r="C791" s="14" t="str">
        <x:v>ТОВ "Компанія Техноклімат"</x:v>
      </x:c>
      <x:c r="D791" s="14" t="str">
        <x:v>HVAC / ОВіК</x:v>
      </x:c>
      <x:c r="E791" s="14" t="str">
        <x:v>Pilot now</x:v>
      </x:c>
      <x:c r="F791" s="17" t="str">
        <x:f>IF(E791="Pilot now",IF(P791&gt;=84,"P1",IF(P791&gt;=72,"P2","P3")),IF(E791="Expansion discovery",IF(Q791&gt;=88,"D1",IF(Q791&gt;=78,"D2","D3")),IF(E791="Later / requirements","L","Legacy")))</x:f>
        <x:v>P1</x:v>
      </x:c>
      <x:c r="G791" s="14" t="str"/>
      <x:c r="H791" s="14" t="str">
        <x:v>Пілот зараз — Н.14</x:v>
      </x:c>
      <x:c r="I791" s="16" t="n">
        <x:v>5</x:v>
      </x:c>
      <x:c r="J791" s="16" t="n">
        <x:v>5</x:v>
      </x:c>
      <x:c r="K791" s="16" t="n">
        <x:v>5</x:v>
      </x:c>
      <x:c r="L791" s="16" t="n">
        <x:v>1</x:v>
      </x:c>
      <x:c r="M791" s="16" t="n">
        <x:v>5</x:v>
      </x:c>
      <x:c r="N791" s="16" t="n">
        <x:v>5</x:v>
      </x:c>
      <x:c r="O791" s="16" t="n">
        <x:v>5</x:v>
      </x:c>
      <x:c r="P791" s="16" t="n">
        <x:f>IF(COUNT(I791:O791)&lt;7,"",I791*8+J791*3+K791*2+L791*2+M791*2+N791*2+O791)</x:f>
        <x:v>92</x:v>
      </x:c>
      <x:c r="Q791" s="16" t="n">
        <x:f>IF(COUNT(J791:O791)&lt;6,"",J791*5+K791*4+M791*4+L791*3+N791*2+O791*2)</x:f>
        <x:v>88</x:v>
      </x:c>
      <x:c r="R791" s="14" t="str">
        <x:v>high</x:v>
      </x:c>
      <x:c r="S791" s="14" t="str">
        <x:v>official_prozorro_award_2025_2026</x:v>
      </x:c>
      <x:c r="T791" s="14" t="str">
        <x:v>official_prozorro_api</x:v>
      </x:c>
      <x:c r="U791" s="14" t="str">
        <x:v>Не контактували</x:v>
      </x:c>
      <x:c r="V791" s="15" t="str">
        <x:v>Персоналізований free-pilot outreach по UA-2025-12-02-014509-a; попросити 1 пакет Н.14/Н.15</x:v>
      </x:c>
      <x:c r="W791" s="15" t="str">
        <x:v>Власник / директор; керівник ПТО; відповідальний за договори</x:v>
      </x:c>
      <x:c r="X791" s="15" t="str">
        <x:v>1 підтверджених перемог/договорів у Prozorro на 41 621 грн; 0 проєктів зі строком виконання не раніше 24.08.2026.</x:v>
      </x:c>
      <x:c r="Y791" s="15" t="str">
        <x:v>Монтаж системи вентиляції; строк до 2025-12-26. Попросити один знеособлений пакет здачі за цим workflow.</x:v>
      </x:c>
      <x:c r="Z791" s="15" t="str">
        <x:v>https://prozorro.gov.ua/tender/UA-2025-12-02-014509-a</x:v>
      </x:c>
      <x:c r="AA791" s="14" t="str">
        <x:v>36941776</x:v>
      </x:c>
      <x:c r="AB791" s="14" t="str">
        <x:v>2026-08-24</x:v>
      </x:c>
      <x:c r="AC791" s="14" t="str"/>
      <x:c r="AD791" s="20" t="str"/>
      <x:c r="AE791" s="14" t="str"/>
      <x:c r="AF791" s="14" t="n">
        <x:v>25</x:v>
      </x:c>
      <x:c r="AG791" s="14" t="str">
        <x:v>I3</x:v>
      </x:c>
      <x:c r="AH791" s="14" t="n">
        <x:v>1</x:v>
      </x:c>
      <x:c r="AI791" s="14" t="n">
        <x:v>0</x:v>
      </x:c>
      <x:c r="AJ791" s="18" t="n">
        <x:v>41620.98</x:v>
      </x:c>
      <x:c r="AK791" s="14" t="str">
        <x:v>https://prozorro.gov.ua/tender/UA-2025-12-02-014509-a</x:v>
      </x:c>
      <x:c r="AL791" s="19" t="n">
        <x:v>45993.56170215278</x:v>
      </x:c>
      <x:c r="AM791" s="19" t="n">
        <x:v>46017</x:v>
      </x:c>
      <x:c r="AN791" s="15" t="str">
        <x:v>HVAC / ОВіК</x:v>
      </x:c>
      <x:c r="AO791" s="15" t="str">
        <x:v>not_found_in_top_search</x:v>
      </x:c>
    </x:row>
    <x:row r="792">
      <x:c r="A792" s="14" t="str">
        <x:v>W3-520</x:v>
      </x:c>
      <x:c r="B792" s="14" t="str">
        <x:v>Prozorro winners — 24.08</x:v>
      </x:c>
      <x:c r="C792" s="14" t="str">
        <x:v>ТОВАРИСТВО З ОБМЕЖЕНОЮ ВІДПОВІДАЛЬНІСТЮ "ЄВРОМЕРЕЖА"</x:v>
      </x:c>
      <x:c r="D792" s="14" t="str">
        <x:v>Електромонтаж</x:v>
      </x:c>
      <x:c r="E792" s="14" t="str">
        <x:v>Pilot now</x:v>
      </x:c>
      <x:c r="F792" s="17" t="str">
        <x:f>IF(E792="Pilot now",IF(P792&gt;=84,"P1",IF(P792&gt;=72,"P2","P3")),IF(E792="Expansion discovery",IF(Q792&gt;=88,"D1",IF(Q792&gt;=78,"D2","D3")),IF(E792="Later / requirements","L","Legacy")))</x:f>
        <x:v>P1</x:v>
      </x:c>
      <x:c r="G792" s="14" t="str"/>
      <x:c r="H792" s="14" t="str">
        <x:v>Пілот зараз — Н.15</x:v>
      </x:c>
      <x:c r="I792" s="16" t="n">
        <x:v>5</x:v>
      </x:c>
      <x:c r="J792" s="16" t="n">
        <x:v>5</x:v>
      </x:c>
      <x:c r="K792" s="16" t="n">
        <x:v>5</x:v>
      </x:c>
      <x:c r="L792" s="16" t="n">
        <x:v>1</x:v>
      </x:c>
      <x:c r="M792" s="16" t="n">
        <x:v>5</x:v>
      </x:c>
      <x:c r="N792" s="16" t="n">
        <x:v>5</x:v>
      </x:c>
      <x:c r="O792" s="16" t="n">
        <x:v>5</x:v>
      </x:c>
      <x:c r="P792" s="16" t="n">
        <x:f>IF(COUNT(I792:O792)&lt;7,"",I792*8+J792*3+K792*2+L792*2+M792*2+N792*2+O792)</x:f>
        <x:v>92</x:v>
      </x:c>
      <x:c r="Q792" s="16" t="n">
        <x:f>IF(COUNT(J792:O792)&lt;6,"",J792*5+K792*4+M792*4+L792*3+N792*2+O792*2)</x:f>
        <x:v>88</x:v>
      </x:c>
      <x:c r="R792" s="14" t="str">
        <x:v>high</x:v>
      </x:c>
      <x:c r="S792" s="14" t="str">
        <x:v>official_prozorro_award_2025_2026</x:v>
      </x:c>
      <x:c r="T792" s="14" t="str">
        <x:v>official_prozorro_api</x:v>
      </x:c>
      <x:c r="U792" s="14" t="str">
        <x:v>Не контактували</x:v>
      </x:c>
      <x:c r="V792" s="15" t="str">
        <x:v>Персоналізований free-pilot outreach по UA-2025-12-05-003275-a; попросити 1 пакет Н.14/Н.15</x:v>
      </x:c>
      <x:c r="W792" s="15" t="str">
        <x:v>Власник / директор; керівник ПТО; відповідальний за договори</x:v>
      </x:c>
      <x:c r="X792" s="15" t="str">
        <x:v>1 підтверджених перемог/договорів у Prozorro на 40 725 грн; 0 проєктів зі строком виконання не раніше 24.08.2026.</x:v>
      </x:c>
      <x:c r="Y792" s="15" t="str">
        <x:v>Послуги з проведення перевірки опору заземлення, стану ізоляції, повного опору петлі фаза-нуль, випробування електроінструменту, складання акту прихованої проводки за підвісною стелею будівлі НКЦПФР м. Київ, вул. Кнізів Острозьких, 8, корпус 30; строк до 2025-12-18. Попросити один знеособлений пакет здачі за цим workflow.</x:v>
      </x:c>
      <x:c r="Z792" s="15" t="str">
        <x:v>https://prozorro.gov.ua/tender/UA-2025-12-05-003275-a</x:v>
      </x:c>
      <x:c r="AA792" s="14" t="str">
        <x:v>45074837</x:v>
      </x:c>
      <x:c r="AB792" s="14" t="str">
        <x:v>2026-08-24</x:v>
      </x:c>
      <x:c r="AC792" s="14" t="str"/>
      <x:c r="AD792" s="20" t="str"/>
      <x:c r="AE792" s="14" t="str"/>
      <x:c r="AF792" s="14" t="n">
        <x:v>25</x:v>
      </x:c>
      <x:c r="AG792" s="14" t="str">
        <x:v>I3</x:v>
      </x:c>
      <x:c r="AH792" s="14" t="n">
        <x:v>1</x:v>
      </x:c>
      <x:c r="AI792" s="14" t="n">
        <x:v>0</x:v>
      </x:c>
      <x:c r="AJ792" s="18" t="n">
        <x:v>40725</x:v>
      </x:c>
      <x:c r="AK792" s="14" t="str">
        <x:v>https://prozorro.gov.ua/tender/UA-2025-12-05-003275-a</x:v>
      </x:c>
      <x:c r="AL792" s="19" t="n">
        <x:v>45996.344294814815</x:v>
      </x:c>
      <x:c r="AM792" s="19" t="n">
        <x:v>46009</x:v>
      </x:c>
      <x:c r="AN792" s="15" t="str">
        <x:v>Електромонтаж</x:v>
      </x:c>
      <x:c r="AO792" s="15" t="str">
        <x:v>not_found_in_top_search</x:v>
      </x:c>
    </x:row>
    <x:row r="793">
      <x:c r="A793" s="14" t="str">
        <x:v>W3-521</x:v>
      </x:c>
      <x:c r="B793" s="14" t="str">
        <x:v>Prozorro winners — 24.08</x:v>
      </x:c>
      <x:c r="C793" s="14" t="str">
        <x:v>АТ "Тернопільобленерго"Підволочиський РЕМ</x:v>
      </x:c>
      <x:c r="D793" s="14" t="str">
        <x:v>Електромонтаж</x:v>
      </x:c>
      <x:c r="E793" s="14" t="str">
        <x:v>Pilot now</x:v>
      </x:c>
      <x:c r="F793" s="17" t="str">
        <x:f>IF(E793="Pilot now",IF(P793&gt;=84,"P1",IF(P793&gt;=72,"P2","P3")),IF(E793="Expansion discovery",IF(Q793&gt;=88,"D1",IF(Q793&gt;=78,"D2","D3")),IF(E793="Later / requirements","L","Legacy")))</x:f>
        <x:v>P1</x:v>
      </x:c>
      <x:c r="G793" s="14" t="str"/>
      <x:c r="H793" s="14" t="str">
        <x:v>Пілот зараз — Н.15</x:v>
      </x:c>
      <x:c r="I793" s="16" t="n">
        <x:v>5</x:v>
      </x:c>
      <x:c r="J793" s="16" t="n">
        <x:v>5</x:v>
      </x:c>
      <x:c r="K793" s="16" t="n">
        <x:v>5</x:v>
      </x:c>
      <x:c r="L793" s="16" t="n">
        <x:v>1</x:v>
      </x:c>
      <x:c r="M793" s="16" t="n">
        <x:v>5</x:v>
      </x:c>
      <x:c r="N793" s="16" t="n">
        <x:v>5</x:v>
      </x:c>
      <x:c r="O793" s="16" t="n">
        <x:v>5</x:v>
      </x:c>
      <x:c r="P793" s="16" t="n">
        <x:f>IF(COUNT(I793:O793)&lt;7,"",I793*8+J793*3+K793*2+L793*2+M793*2+N793*2+O793)</x:f>
        <x:v>92</x:v>
      </x:c>
      <x:c r="Q793" s="16" t="n">
        <x:f>IF(COUNT(J793:O793)&lt;6,"",J793*5+K793*4+M793*4+L793*3+N793*2+O793*2)</x:f>
        <x:v>88</x:v>
      </x:c>
      <x:c r="R793" s="14" t="str">
        <x:v>high</x:v>
      </x:c>
      <x:c r="S793" s="14" t="str">
        <x:v>official_prozorro_award_2025_2026</x:v>
      </x:c>
      <x:c r="T793" s="14" t="str">
        <x:v>official_prozorro_api</x:v>
      </x:c>
      <x:c r="U793" s="14" t="str">
        <x:v>Не контактували</x:v>
      </x:c>
      <x:c r="V793" s="15" t="str">
        <x:v>Персоналізований free-pilot outreach по UA-2025-12-10-011455-a; попросити 1 пакет Н.14/Н.15</x:v>
      </x:c>
      <x:c r="W793" s="15" t="str">
        <x:v>Власник / директор; керівник ПТО; відповідальний за договори</x:v>
      </x:c>
      <x:c r="X793" s="15" t="str">
        <x:v>1 підтверджених перемог/договорів у Prozorro на 36 729 грн; 0 проєктів зі строком виконання не раніше 24.08.2026.</x:v>
      </x:c>
      <x:c r="Y793" s="15" t="str">
        <x:v>Послуги з монтажу електричних мереж у приміщенні за адресою: Тернопільська обл., Тернопільський р-н., с. Підволочиськ, вул. Залізнична 1; строк до 2025-12-31. Попросити один знеособлений пакет здачі за цим workflow.</x:v>
      </x:c>
      <x:c r="Z793" s="15" t="str">
        <x:v>https://prozorro.gov.ua/tender/UA-2025-12-10-011455-a</x:v>
      </x:c>
      <x:c r="AA793" s="14" t="str">
        <x:v>21165171</x:v>
      </x:c>
      <x:c r="AB793" s="14" t="str">
        <x:v>2026-08-24</x:v>
      </x:c>
      <x:c r="AC793" s="14" t="str"/>
      <x:c r="AD793" s="20" t="str"/>
      <x:c r="AE793" s="14" t="str"/>
      <x:c r="AF793" s="14" t="n">
        <x:v>25</x:v>
      </x:c>
      <x:c r="AG793" s="14" t="str">
        <x:v>I3</x:v>
      </x:c>
      <x:c r="AH793" s="14" t="n">
        <x:v>1</x:v>
      </x:c>
      <x:c r="AI793" s="14" t="n">
        <x:v>0</x:v>
      </x:c>
      <x:c r="AJ793" s="18" t="n">
        <x:v>36729.24</x:v>
      </x:c>
      <x:c r="AK793" s="14" t="str">
        <x:v>https://prozorro.gov.ua/tender/UA-2025-12-10-011455-a</x:v>
      </x:c>
      <x:c r="AL793" s="19" t="n">
        <x:v>46001.49003201389</x:v>
      </x:c>
      <x:c r="AM793" s="19" t="n">
        <x:v>46022.490578703706</x:v>
      </x:c>
      <x:c r="AN793" s="15" t="str">
        <x:v>Електромонтаж</x:v>
      </x:c>
      <x:c r="AO793" s="15" t="str">
        <x:v>not_found_in_top_search</x:v>
      </x:c>
    </x:row>
    <x:row r="794">
      <x:c r="A794" s="14" t="str">
        <x:v>W3-522</x:v>
      </x:c>
      <x:c r="B794" s="14" t="str">
        <x:v>Prozorro winners — 24.08</x:v>
      </x:c>
      <x:c r="C794" s="14" t="str">
        <x:v>ТОВ ФОРМАТОР_ЕНЕРГО"</x:v>
      </x:c>
      <x:c r="D794" s="14" t="str">
        <x:v>Електромонтаж</x:v>
      </x:c>
      <x:c r="E794" s="14" t="str">
        <x:v>Pilot now</x:v>
      </x:c>
      <x:c r="F794" s="17" t="str">
        <x:f>IF(E794="Pilot now",IF(P794&gt;=84,"P1",IF(P794&gt;=72,"P2","P3")),IF(E794="Expansion discovery",IF(Q794&gt;=88,"D1",IF(Q794&gt;=78,"D2","D3")),IF(E794="Later / requirements","L","Legacy")))</x:f>
        <x:v>P1</x:v>
      </x:c>
      <x:c r="G794" s="14" t="str"/>
      <x:c r="H794" s="14" t="str">
        <x:v>Пілот зараз — Н.15</x:v>
      </x:c>
      <x:c r="I794" s="16" t="n">
        <x:v>5</x:v>
      </x:c>
      <x:c r="J794" s="16" t="n">
        <x:v>5</x:v>
      </x:c>
      <x:c r="K794" s="16" t="n">
        <x:v>5</x:v>
      </x:c>
      <x:c r="L794" s="16" t="n">
        <x:v>1</x:v>
      </x:c>
      <x:c r="M794" s="16" t="n">
        <x:v>5</x:v>
      </x:c>
      <x:c r="N794" s="16" t="n">
        <x:v>5</x:v>
      </x:c>
      <x:c r="O794" s="16" t="n">
        <x:v>5</x:v>
      </x:c>
      <x:c r="P794" s="16" t="n">
        <x:f>IF(COUNT(I794:O794)&lt;7,"",I794*8+J794*3+K794*2+L794*2+M794*2+N794*2+O794)</x:f>
        <x:v>92</x:v>
      </x:c>
      <x:c r="Q794" s="16" t="n">
        <x:f>IF(COUNT(J794:O794)&lt;6,"",J794*5+K794*4+M794*4+L794*3+N794*2+O794*2)</x:f>
        <x:v>88</x:v>
      </x:c>
      <x:c r="R794" s="14" t="str">
        <x:v>high</x:v>
      </x:c>
      <x:c r="S794" s="14" t="str">
        <x:v>official_prozorro_award_2025_2026</x:v>
      </x:c>
      <x:c r="T794" s="14" t="str">
        <x:v>official_prozorro_api</x:v>
      </x:c>
      <x:c r="U794" s="14" t="str">
        <x:v>Не контактували</x:v>
      </x:c>
      <x:c r="V794" s="15" t="str">
        <x:v>Персоналізований free-pilot outreach по UA-2025-04-25-004627-a; попросити 1 пакет Н.14/Н.15</x:v>
      </x:c>
      <x:c r="W794" s="15" t="str">
        <x:v>Власник / директор; керівник ПТО; відповідальний за договори</x:v>
      </x:c>
      <x:c r="X794" s="15" t="str">
        <x:v>1 підтверджених перемог/договорів у Prozorro на 36 110 грн; 0 проєктів зі строком виконання не раніше 24.08.2026.</x:v>
      </x:c>
      <x:c r="Y794" s="15" t="str">
        <x:v>Послуги по електровимірювальним роботам та ремонту контуру заземлення; строк до 2025-12-31. Попросити один знеособлений пакет здачі за цим workflow.</x:v>
      </x:c>
      <x:c r="Z794" s="15" t="str">
        <x:v>https://prozorro.gov.ua/tender/UA-2025-04-25-004627-a</x:v>
      </x:c>
      <x:c r="AA794" s="14" t="str">
        <x:v>41991944</x:v>
      </x:c>
      <x:c r="AB794" s="14" t="str">
        <x:v>2026-08-24</x:v>
      </x:c>
      <x:c r="AC794" s="14" t="str"/>
      <x:c r="AD794" s="20" t="str"/>
      <x:c r="AE794" s="14" t="str"/>
      <x:c r="AF794" s="14" t="n">
        <x:v>25</x:v>
      </x:c>
      <x:c r="AG794" s="14" t="str">
        <x:v>I3</x:v>
      </x:c>
      <x:c r="AH794" s="14" t="n">
        <x:v>1</x:v>
      </x:c>
      <x:c r="AI794" s="14" t="n">
        <x:v>0</x:v>
      </x:c>
      <x:c r="AJ794" s="18" t="n">
        <x:v>36110</x:v>
      </x:c>
      <x:c r="AK794" s="14" t="str">
        <x:v>https://prozorro.gov.ua/tender/UA-2025-04-25-004627-a</x:v>
      </x:c>
      <x:c r="AL794" s="19" t="n">
        <x:v>45772.36460800926</x:v>
      </x:c>
      <x:c r="AM794" s="19" t="n">
        <x:v>46022.916666655095</x:v>
      </x:c>
      <x:c r="AN794" s="15" t="str">
        <x:v>Електромонтаж</x:v>
      </x:c>
      <x:c r="AO794" s="15" t="str">
        <x:v>not_found_in_top_search</x:v>
      </x:c>
    </x:row>
    <x:row r="795">
      <x:c r="A795" s="14" t="str">
        <x:v>W3-523</x:v>
      </x:c>
      <x:c r="B795" s="14" t="str">
        <x:v>Prozorro winners — 24.08</x:v>
      </x:c>
      <x:c r="C795" s="14" t="str">
        <x:v>ТОВАРИСТВО З ОБМЕЖЕНОЮ ВІДПОВІДАЛЬНІСТЮ "МЕДГАЗ"</x:v>
      </x:c>
      <x:c r="D795" s="14" t="str">
        <x:v>Медичні гази</x:v>
      </x:c>
      <x:c r="E795" s="14" t="str">
        <x:v>Expansion discovery</x:v>
      </x:c>
      <x:c r="F795" s="17" t="str">
        <x:f>IF(E795="Pilot now",IF(P795&gt;=84,"P1",IF(P795&gt;=72,"P2","P3")),IF(E795="Expansion discovery",IF(Q795&gt;=88,"D1",IF(Q795&gt;=78,"D2","D3")),IF(E795="Later / requirements","L","Legacy")))</x:f>
        <x:v>D2</x:v>
      </x:c>
      <x:c r="G795" s="14" t="str"/>
      <x:c r="H795" s="14" t="str">
        <x:v>Discovery розширення — 2 тижні</x:v>
      </x:c>
      <x:c r="I795" s="16" t="n">
        <x:v>1</x:v>
      </x:c>
      <x:c r="J795" s="16" t="n">
        <x:v>5</x:v>
      </x:c>
      <x:c r="K795" s="16" t="n">
        <x:v>4</x:v>
      </x:c>
      <x:c r="L795" s="16" t="n">
        <x:v>1</x:v>
      </x:c>
      <x:c r="M795" s="16" t="n">
        <x:v>5</x:v>
      </x:c>
      <x:c r="N795" s="16" t="n">
        <x:v>5</x:v>
      </x:c>
      <x:c r="O795" s="16" t="n">
        <x:v>5</x:v>
      </x:c>
      <x:c r="P795" s="16" t="n">
        <x:f>IF(COUNT(I795:O795)&lt;7,"",I795*8+J795*3+K795*2+L795*2+M795*2+N795*2+O795)</x:f>
        <x:v>58</x:v>
      </x:c>
      <x:c r="Q795" s="16" t="n">
        <x:f>IF(COUNT(J795:O795)&lt;6,"",J795*5+K795*4+M795*4+L795*3+N795*2+O795*2)</x:f>
        <x:v>84</x:v>
      </x:c>
      <x:c r="R795" s="14" t="str">
        <x:v>high</x:v>
      </x:c>
      <x:c r="S795" s="14" t="str">
        <x:v>official_prozorro_award_2025_2026</x:v>
      </x:c>
      <x:c r="T795" s="14" t="str">
        <x:v>official_prozorro_api</x:v>
      </x:c>
      <x:c r="U795" s="14" t="str">
        <x:v>Не контактували</x:v>
      </x:c>
      <x:c r="V795" s="15" t="str">
        <x:v>Workflow-audit outreach по UA-2025-08-27-009000-a; попросити 1 пакет здачі та вимоги проєкту</x:v>
      </x:c>
      <x:c r="W795" s="15" t="str">
        <x:v>Власник / директор; керівник ПТО; відповідальний за договори</x:v>
      </x:c>
      <x:c r="X795" s="15" t="str">
        <x:v>1 підтверджених перемог/договорів у Prozorro на 22 008 грн; 0 проєктів зі строком виконання не раніше 24.08.2026.</x:v>
      </x:c>
      <x:c r="Y795" s="15" t="str">
        <x:v>Послуги зі встановлення медичного обладнання (послуги з монтажу обладнання  системи лікувальних газів ОКНП "Чернівецький обласний клінічний кардіологічний центр", а саме: монтаж Розетки корпусної газової кисневої - DIN - припаювальної у кількості 10 штук; строк до 2025-12-31. Попросити один знеособлений пакет здачі за цим workflow.</x:v>
      </x:c>
      <x:c r="Z795" s="15" t="str">
        <x:v>https://prozorro.gov.ua/tender/UA-2025-08-27-009000-a</x:v>
      </x:c>
      <x:c r="AA795" s="14" t="str">
        <x:v>40519037</x:v>
      </x:c>
      <x:c r="AB795" s="14" t="str">
        <x:v>2026-08-24</x:v>
      </x:c>
      <x:c r="AC795" s="14" t="str"/>
      <x:c r="AD795" s="20" t="str"/>
      <x:c r="AE795" s="14" t="str"/>
      <x:c r="AF795" s="14" t="n">
        <x:v>25</x:v>
      </x:c>
      <x:c r="AG795" s="14" t="str">
        <x:v>I3</x:v>
      </x:c>
      <x:c r="AH795" s="14" t="n">
        <x:v>1</x:v>
      </x:c>
      <x:c r="AI795" s="14" t="n">
        <x:v>0</x:v>
      </x:c>
      <x:c r="AJ795" s="18" t="n">
        <x:v>22008</x:v>
      </x:c>
      <x:c r="AK795" s="14" t="str">
        <x:v>https://prozorro.gov.ua/tender/UA-2025-08-27-009000-a</x:v>
      </x:c>
      <x:c r="AL795" s="19" t="n">
        <x:v>45896.545817893515</x:v>
      </x:c>
      <x:c r="AM795" s="19" t="n">
        <x:v>46022</x:v>
      </x:c>
      <x:c r="AN795" s="15" t="str">
        <x:v>Медичні гази</x:v>
      </x:c>
      <x:c r="AO795" s="15" t="str">
        <x:v>not_found_in_top_search</x:v>
      </x:c>
    </x:row>
    <x:row r="796">
      <x:c r="A796" s="14" t="str">
        <x:v>W3-524</x:v>
      </x:c>
      <x:c r="B796" s="14" t="str">
        <x:v>Prozorro winners — 24.08</x:v>
      </x:c>
      <x:c r="C796" s="14" t="str">
        <x:v>ТОВ "УКРБУДТЕХНАГЛЯД-ЧЕРНІГІВ"</x:v>
      </x:c>
      <x:c r="D796" s="14" t="str">
        <x:v>Внутрішні сантехнічні системи</x:v>
      </x:c>
      <x:c r="E796" s="14" t="str">
        <x:v>Pilot now</x:v>
      </x:c>
      <x:c r="F796" s="17" t="str">
        <x:f>IF(E796="Pilot now",IF(P796&gt;=84,"P1",IF(P796&gt;=72,"P2","P3")),IF(E796="Expansion discovery",IF(Q796&gt;=88,"D1",IF(Q796&gt;=78,"D2","D3")),IF(E796="Later / requirements","L","Legacy")))</x:f>
        <x:v>P1</x:v>
      </x:c>
      <x:c r="G796" s="14" t="str"/>
      <x:c r="H796" s="14" t="str">
        <x:v>Пілот зараз — Н.14</x:v>
      </x:c>
      <x:c r="I796" s="16" t="n">
        <x:v>5</x:v>
      </x:c>
      <x:c r="J796" s="16" t="n">
        <x:v>5</x:v>
      </x:c>
      <x:c r="K796" s="16" t="n">
        <x:v>5</x:v>
      </x:c>
      <x:c r="L796" s="16" t="n">
        <x:v>1</x:v>
      </x:c>
      <x:c r="M796" s="16" t="n">
        <x:v>5</x:v>
      </x:c>
      <x:c r="N796" s="16" t="n">
        <x:v>5</x:v>
      </x:c>
      <x:c r="O796" s="16" t="n">
        <x:v>5</x:v>
      </x:c>
      <x:c r="P796" s="16" t="n">
        <x:f>IF(COUNT(I796:O796)&lt;7,"",I796*8+J796*3+K796*2+L796*2+M796*2+N796*2+O796)</x:f>
        <x:v>92</x:v>
      </x:c>
      <x:c r="Q796" s="16" t="n">
        <x:f>IF(COUNT(J796:O796)&lt;6,"",J796*5+K796*4+M796*4+L796*3+N796*2+O796*2)</x:f>
        <x:v>88</x:v>
      </x:c>
      <x:c r="R796" s="14" t="str">
        <x:v>high</x:v>
      </x:c>
      <x:c r="S796" s="14" t="str">
        <x:v>official_prozorro_award_2025_2026</x:v>
      </x:c>
      <x:c r="T796" s="14" t="str">
        <x:v>official_prozorro_api</x:v>
      </x:c>
      <x:c r="U796" s="14" t="str">
        <x:v>Не контактували</x:v>
      </x:c>
      <x:c r="V796" s="15" t="str">
        <x:v>Персоналізований free-pilot outreach по UA-2025-12-03-015536-a; попросити 1 пакет Н.14/Н.15</x:v>
      </x:c>
      <x:c r="W796" s="15" t="str">
        <x:v>Власник / директор; керівник ПТО; відповідальний за договори</x:v>
      </x:c>
      <x:c r="X796" s="15" t="str">
        <x:v>1 підтверджених перемог/договорів у Prozorro на 19 900 грн; 0 проєктів зі строком виконання не раніше 24.08.2026.</x:v>
      </x:c>
      <x:c r="Y796" s="15" t="str">
        <x:v>Послуги з демонтажу сантехнічних приладів та трубопроводів водопостачання і каналізації душових кімнат в найпростішому укритті (ДК 021:2015  	 45330000-9 - Водопровідні та санітарно-технічні роботи); строк до 2025-12-31. Попросити один знеособлений пакет здачі за цим workflow.</x:v>
      </x:c>
      <x:c r="Z796" s="15" t="str">
        <x:v>https://prozorro.gov.ua/tender/UA-2025-12-03-015536-a</x:v>
      </x:c>
      <x:c r="AA796" s="14" t="str">
        <x:v>37632903</x:v>
      </x:c>
      <x:c r="AB796" s="14" t="str">
        <x:v>2026-08-24</x:v>
      </x:c>
      <x:c r="AC796" s="14" t="str"/>
      <x:c r="AD796" s="20" t="str"/>
      <x:c r="AE796" s="14" t="str"/>
      <x:c r="AF796" s="14" t="n">
        <x:v>25</x:v>
      </x:c>
      <x:c r="AG796" s="14" t="str">
        <x:v>I3</x:v>
      </x:c>
      <x:c r="AH796" s="14" t="n">
        <x:v>1</x:v>
      </x:c>
      <x:c r="AI796" s="14" t="n">
        <x:v>0</x:v>
      </x:c>
      <x:c r="AJ796" s="18" t="n">
        <x:v>19900</x:v>
      </x:c>
      <x:c r="AK796" s="14" t="str">
        <x:v>https://prozorro.gov.ua/tender/UA-2025-12-03-015536-a</x:v>
      </x:c>
      <x:c r="AL796" s="19" t="n">
        <x:v>45994.558611863424</x:v>
      </x:c>
      <x:c r="AM796" s="19" t="n">
        <x:v>46022.559849537036</x:v>
      </x:c>
      <x:c r="AN796" s="15" t="str">
        <x:v>Внутрішні сантехнічні системи</x:v>
      </x:c>
      <x:c r="AO796" s="15" t="str">
        <x:v>not_found_in_top_search</x:v>
      </x:c>
    </x:row>
    <x:row r="797">
      <x:c r="A797" s="14" t="str">
        <x:v>W3-525</x:v>
      </x:c>
      <x:c r="B797" s="14" t="str">
        <x:v>Prozorro winners — 24.08</x:v>
      </x:c>
      <x:c r="C797" s="14" t="str">
        <x:v>ТОВАРИСТВО З ОБМЕЖЕНОЮ ВІДПОВІДАЛЬНІСТЮ "ПРОДТОВАРИ-Т"</x:v>
      </x:c>
      <x:c r="D797" s="14" t="str">
        <x:v>Електромонтаж</x:v>
      </x:c>
      <x:c r="E797" s="14" t="str">
        <x:v>Pilot now</x:v>
      </x:c>
      <x:c r="F797" s="17" t="str">
        <x:f>IF(E797="Pilot now",IF(P797&gt;=84,"P1",IF(P797&gt;=72,"P2","P3")),IF(E797="Expansion discovery",IF(Q797&gt;=88,"D1",IF(Q797&gt;=78,"D2","D3")),IF(E797="Later / requirements","L","Legacy")))</x:f>
        <x:v>P1</x:v>
      </x:c>
      <x:c r="G797" s="14" t="str"/>
      <x:c r="H797" s="14" t="str">
        <x:v>Пілот зараз — Н.15</x:v>
      </x:c>
      <x:c r="I797" s="16" t="n">
        <x:v>5</x:v>
      </x:c>
      <x:c r="J797" s="16" t="n">
        <x:v>5</x:v>
      </x:c>
      <x:c r="K797" s="16" t="n">
        <x:v>5</x:v>
      </x:c>
      <x:c r="L797" s="16" t="n">
        <x:v>1</x:v>
      </x:c>
      <x:c r="M797" s="16" t="n">
        <x:v>5</x:v>
      </x:c>
      <x:c r="N797" s="16" t="n">
        <x:v>5</x:v>
      </x:c>
      <x:c r="O797" s="16" t="n">
        <x:v>5</x:v>
      </x:c>
      <x:c r="P797" s="16" t="n">
        <x:f>IF(COUNT(I797:O797)&lt;7,"",I797*8+J797*3+K797*2+L797*2+M797*2+N797*2+O797)</x:f>
        <x:v>92</x:v>
      </x:c>
      <x:c r="Q797" s="16" t="n">
        <x:f>IF(COUNT(J797:O797)&lt;6,"",J797*5+K797*4+M797*4+L797*3+N797*2+O797*2)</x:f>
        <x:v>88</x:v>
      </x:c>
      <x:c r="R797" s="14" t="str">
        <x:v>high</x:v>
      </x:c>
      <x:c r="S797" s="14" t="str">
        <x:v>official_prozorro_award_2025_2026</x:v>
      </x:c>
      <x:c r="T797" s="14" t="str">
        <x:v>official_prozorro_api</x:v>
      </x:c>
      <x:c r="U797" s="14" t="str">
        <x:v>Не контактували</x:v>
      </x:c>
      <x:c r="V797" s="15" t="str">
        <x:v>Персоналізований free-pilot outreach по UA-2025-07-04-004123-a; попросити 1 пакет Н.14/Н.15</x:v>
      </x:c>
      <x:c r="W797" s="15" t="str">
        <x:v>Власник / директор; керівник ПТО; відповідальний за договори</x:v>
      </x:c>
      <x:c r="X797" s="15" t="str">
        <x:v>1 підтверджених перемог/договорів у Prozorro на 18 500 грн; 0 проєктів зі строком виконання не раніше 24.08.2026.</x:v>
      </x:c>
      <x:c r="Y797" s="15" t="str">
        <x:v>Електровимірювальні роботи; строк до 2025-12-31. Попросити один знеособлений пакет здачі за цим workflow.</x:v>
      </x:c>
      <x:c r="Z797" s="15" t="str">
        <x:v>https://prozorro.gov.ua/tender/UA-2025-07-04-004123-a</x:v>
      </x:c>
      <x:c r="AA797" s="14" t="str">
        <x:v>34402940</x:v>
      </x:c>
      <x:c r="AB797" s="14" t="str">
        <x:v>2026-08-24</x:v>
      </x:c>
      <x:c r="AC797" s="14" t="str"/>
      <x:c r="AD797" s="20" t="str"/>
      <x:c r="AE797" s="14" t="str"/>
      <x:c r="AF797" s="14" t="n">
        <x:v>25</x:v>
      </x:c>
      <x:c r="AG797" s="14" t="str">
        <x:v>I3</x:v>
      </x:c>
      <x:c r="AH797" s="14" t="n">
        <x:v>1</x:v>
      </x:c>
      <x:c r="AI797" s="14" t="n">
        <x:v>0</x:v>
      </x:c>
      <x:c r="AJ797" s="18" t="n">
        <x:v>18500</x:v>
      </x:c>
      <x:c r="AK797" s="14" t="str">
        <x:v>https://prozorro.gov.ua/tender/UA-2025-07-04-004123-a</x:v>
      </x:c>
      <x:c r="AL797" s="19" t="n">
        <x:v>45842.36780934028</x:v>
      </x:c>
      <x:c r="AM797" s="19" t="n">
        <x:v>46022</x:v>
      </x:c>
      <x:c r="AN797" s="15" t="str">
        <x:v>Електромонтаж</x:v>
      </x:c>
      <x:c r="AO797" s="15" t="str">
        <x:v>not_found_in_top_search</x:v>
      </x:c>
    </x:row>
    <x:row r="798">
      <x:c r="A798" s="14" t="str">
        <x:v>W3-526</x:v>
      </x:c>
      <x:c r="B798" s="14" t="str">
        <x:v>Prozorro winners — 24.08</x:v>
      </x:c>
      <x:c r="C798" s="14" t="str">
        <x:v>ТОВАРИСТВО З ОБМЕЖЕНОЮ ВІДПОВІДАЛЬНІСТЮ "Е-ВИМІРЮВАННЯ"</x:v>
      </x:c>
      <x:c r="D798" s="14" t="str">
        <x:v>Електромонтаж</x:v>
      </x:c>
      <x:c r="E798" s="14" t="str">
        <x:v>Pilot now</x:v>
      </x:c>
      <x:c r="F798" s="17" t="str">
        <x:f>IF(E798="Pilot now",IF(P798&gt;=84,"P1",IF(P798&gt;=72,"P2","P3")),IF(E798="Expansion discovery",IF(Q798&gt;=88,"D1",IF(Q798&gt;=78,"D2","D3")),IF(E798="Later / requirements","L","Legacy")))</x:f>
        <x:v>P1</x:v>
      </x:c>
      <x:c r="G798" s="14" t="str"/>
      <x:c r="H798" s="14" t="str">
        <x:v>Пілот зараз — Н.15</x:v>
      </x:c>
      <x:c r="I798" s="16" t="n">
        <x:v>5</x:v>
      </x:c>
      <x:c r="J798" s="16" t="n">
        <x:v>5</x:v>
      </x:c>
      <x:c r="K798" s="16" t="n">
        <x:v>5</x:v>
      </x:c>
      <x:c r="L798" s="16" t="n">
        <x:v>1</x:v>
      </x:c>
      <x:c r="M798" s="16" t="n">
        <x:v>5</x:v>
      </x:c>
      <x:c r="N798" s="16" t="n">
        <x:v>5</x:v>
      </x:c>
      <x:c r="O798" s="16" t="n">
        <x:v>5</x:v>
      </x:c>
      <x:c r="P798" s="16" t="n">
        <x:f>IF(COUNT(I798:O798)&lt;7,"",I798*8+J798*3+K798*2+L798*2+M798*2+N798*2+O798)</x:f>
        <x:v>92</x:v>
      </x:c>
      <x:c r="Q798" s="16" t="n">
        <x:f>IF(COUNT(J798:O798)&lt;6,"",J798*5+K798*4+M798*4+L798*3+N798*2+O798*2)</x:f>
        <x:v>88</x:v>
      </x:c>
      <x:c r="R798" s="14" t="str">
        <x:v>high</x:v>
      </x:c>
      <x:c r="S798" s="14" t="str">
        <x:v>official_prozorro_award_2025_2026</x:v>
      </x:c>
      <x:c r="T798" s="14" t="str">
        <x:v>official_prozorro_api</x:v>
      </x:c>
      <x:c r="U798" s="14" t="str">
        <x:v>Не контактували</x:v>
      </x:c>
      <x:c r="V798" s="15" t="str">
        <x:v>Персоналізований free-pilot outreach по UA-2025-09-10-014597-a; попросити 1 пакет Н.14/Н.15</x:v>
      </x:c>
      <x:c r="W798" s="15" t="str">
        <x:v>Власник / директор; керівник ПТО; відповідальний за договори</x:v>
      </x:c>
      <x:c r="X798" s="15" t="str">
        <x:v>1 підтверджених перемог/договорів у Prozorro на 16 010 грн; 0 проєктів зі строком виконання не раніше 24.08.2026.</x:v>
      </x:c>
      <x:c r="Y798" s="15" t="str">
        <x:v>Комплекс електровимірювальних робіт: Вимірювання опору заземлюючих пристроїв в електроустановках; системах грозозахисту; перевірка перехідного опору ланцюга між заземлювачем і заземлюючим магістралями і устаткуванням; вимірювання струму однофазного короткого замикання петлі "фаза-нуль" та повного опору петлі "фаза-нуль" в межах струму та обладнанні до 1000 В з глухо заземленою нейтраллю; вимірювання опору ізоляції в електроустановках, електрообладнанні та електромережах до 1000 В; виміри параметрів ПЗВ з видачею технічної документації, виготовлення паспорта контуру заземлення. ; строк до 2025-12-31. Попросити один знеособлений пакет здачі за цим workflow.</x:v>
      </x:c>
      <x:c r="Z798" s="15" t="str">
        <x:v>https://prozorro.gov.ua/tender/UA-2025-09-10-014597-a</x:v>
      </x:c>
      <x:c r="AA798" s="14" t="str">
        <x:v>39092565</x:v>
      </x:c>
      <x:c r="AB798" s="14" t="str">
        <x:v>2026-08-24</x:v>
      </x:c>
      <x:c r="AC798" s="14" t="str"/>
      <x:c r="AD798" s="20" t="str"/>
      <x:c r="AE798" s="14" t="str"/>
      <x:c r="AF798" s="14" t="n">
        <x:v>25</x:v>
      </x:c>
      <x:c r="AG798" s="14" t="str">
        <x:v>I3</x:v>
      </x:c>
      <x:c r="AH798" s="14" t="n">
        <x:v>1</x:v>
      </x:c>
      <x:c r="AI798" s="14" t="n">
        <x:v>0</x:v>
      </x:c>
      <x:c r="AJ798" s="18" t="n">
        <x:v>16010</x:v>
      </x:c>
      <x:c r="AK798" s="14" t="str">
        <x:v>https://prozorro.gov.ua/tender/UA-2025-09-10-014597-a</x:v>
      </x:c>
      <x:c r="AL798" s="19" t="n">
        <x:v>45910.830912708334</x:v>
      </x:c>
      <x:c r="AM798" s="19" t="n">
        <x:v>46022</x:v>
      </x:c>
      <x:c r="AN798" s="15" t="str">
        <x:v>Електромонтаж</x:v>
      </x:c>
      <x:c r="AO798" s="15" t="str">
        <x:v>not_found_in_top_search</x:v>
      </x:c>
    </x:row>
    <x:row r="799">
      <x:c r="A799" s="14" t="str">
        <x:v>W3-527</x:v>
      </x:c>
      <x:c r="B799" s="14" t="str">
        <x:v>Prozorro winners — 24.08</x:v>
      </x:c>
      <x:c r="C799" s="14" t="str">
        <x:v>ПРИВАТНЕ ПІДПРИЄМСТВО "ЕНЕРГІЯ"</x:v>
      </x:c>
      <x:c r="D799" s="14" t="str">
        <x:v>Електромонтаж</x:v>
      </x:c>
      <x:c r="E799" s="14" t="str">
        <x:v>Pilot now</x:v>
      </x:c>
      <x:c r="F799" s="17" t="str">
        <x:f>IF(E799="Pilot now",IF(P799&gt;=84,"P1",IF(P799&gt;=72,"P2","P3")),IF(E799="Expansion discovery",IF(Q799&gt;=88,"D1",IF(Q799&gt;=78,"D2","D3")),IF(E799="Later / requirements","L","Legacy")))</x:f>
        <x:v>P1</x:v>
      </x:c>
      <x:c r="G799" s="14" t="str"/>
      <x:c r="H799" s="14" t="str">
        <x:v>Пілот зараз — Н.15</x:v>
      </x:c>
      <x:c r="I799" s="16" t="n">
        <x:v>5</x:v>
      </x:c>
      <x:c r="J799" s="16" t="n">
        <x:v>5</x:v>
      </x:c>
      <x:c r="K799" s="16" t="n">
        <x:v>5</x:v>
      </x:c>
      <x:c r="L799" s="16" t="n">
        <x:v>1</x:v>
      </x:c>
      <x:c r="M799" s="16" t="n">
        <x:v>5</x:v>
      </x:c>
      <x:c r="N799" s="16" t="n">
        <x:v>5</x:v>
      </x:c>
      <x:c r="O799" s="16" t="n">
        <x:v>5</x:v>
      </x:c>
      <x:c r="P799" s="16" t="n">
        <x:f>IF(COUNT(I799:O799)&lt;7,"",I799*8+J799*3+K799*2+L799*2+M799*2+N799*2+O799)</x:f>
        <x:v>92</x:v>
      </x:c>
      <x:c r="Q799" s="16" t="n">
        <x:f>IF(COUNT(J799:O799)&lt;6,"",J799*5+K799*4+M799*4+L799*3+N799*2+O799*2)</x:f>
        <x:v>88</x:v>
      </x:c>
      <x:c r="R799" s="14" t="str">
        <x:v>high</x:v>
      </x:c>
      <x:c r="S799" s="14" t="str">
        <x:v>official_prozorro_award_2025_2026</x:v>
      </x:c>
      <x:c r="T799" s="14" t="str">
        <x:v>official_prozorro_api</x:v>
      </x:c>
      <x:c r="U799" s="14" t="str">
        <x:v>Не контактували</x:v>
      </x:c>
      <x:c r="V799" s="15" t="str">
        <x:v>Персоналізований free-pilot outreach по UA-2025-07-16-006359-a; попросити 1 пакет Н.14/Н.15</x:v>
      </x:c>
      <x:c r="W799" s="15" t="str">
        <x:v>Власник / директор; керівник ПТО; відповідальний за договори</x:v>
      </x:c>
      <x:c r="X799" s="15" t="str">
        <x:v>1 підтверджених перемог/договорів у Prozorro на 7 961 грн; 0 проєктів зі строком виконання не раніше 24.08.2026.</x:v>
      </x:c>
      <x:c r="Y799" s="15" t="str">
        <x:v>електровимірювальні роботи - заміри опорів ізоляції, контактів заземлення (код згідно Єдиного закупівельного словника ДК 021: 2015): 71630000-3 Послуги з технічного огляду та випробовувань ( заміри опору ізоляції, контактів заземлення , громозахисту у приміщенях їдальні , ПРУ Нетішинського ліцею №4  Нетішинської міської ради Шепетівського р-ну Хмельницької обл. за адресою: 30100, Хмельницька область, м.Нетішин, вул. Енергетиків, 3  ) ; строк до 2025-09-01. Попросити один знеособлений пакет здачі за цим workflow.</x:v>
      </x:c>
      <x:c r="Z799" s="15" t="str">
        <x:v>https://prozorro.gov.ua/tender/UA-2025-07-16-006359-a</x:v>
      </x:c>
      <x:c r="AA799" s="14" t="str">
        <x:v>30849893</x:v>
      </x:c>
      <x:c r="AB799" s="14" t="str">
        <x:v>2026-08-24</x:v>
      </x:c>
      <x:c r="AC799" s="14" t="str"/>
      <x:c r="AD799" s="20" t="str"/>
      <x:c r="AE799" s="14" t="str"/>
      <x:c r="AF799" s="14" t="n">
        <x:v>25</x:v>
      </x:c>
      <x:c r="AG799" s="14" t="str">
        <x:v>I3</x:v>
      </x:c>
      <x:c r="AH799" s="14" t="n">
        <x:v>1</x:v>
      </x:c>
      <x:c r="AI799" s="14" t="n">
        <x:v>0</x:v>
      </x:c>
      <x:c r="AJ799" s="18" t="n">
        <x:v>7960.8</x:v>
      </x:c>
      <x:c r="AK799" s="14" t="str">
        <x:v>https://prozorro.gov.ua/tender/UA-2025-07-16-006359-a</x:v>
      </x:c>
      <x:c r="AL799" s="19" t="n">
        <x:v>45854.474600891204</x:v>
      </x:c>
      <x:c r="AM799" s="19" t="n">
        <x:v>45901</x:v>
      </x:c>
      <x:c r="AN799" s="15" t="str">
        <x:v>Електромонтаж</x:v>
      </x:c>
      <x:c r="AO799" s="15" t="str">
        <x:v>not_found_in_top_search</x:v>
      </x:c>
    </x:row>
    <x:row r="800">
      <x:c r="A800" s="14" t="str">
        <x:v>W3-528</x:v>
      </x:c>
      <x:c r="B800" s="14" t="str">
        <x:v>Prozorro winners — 24.08</x:v>
      </x:c>
      <x:c r="C800" s="14" t="str">
        <x:v>Управління поліції охорони в Івано-Франківській області</x:v>
      </x:c>
      <x:c r="D800" s="14" t="str">
        <x:v>Резервне живлення</x:v>
      </x:c>
      <x:c r="E800" s="14" t="str">
        <x:v>Expansion discovery</x:v>
      </x:c>
      <x:c r="F800" s="17" t="str">
        <x:f>IF(E800="Pilot now",IF(P800&gt;=84,"P1",IF(P800&gt;=72,"P2","P3")),IF(E800="Expansion discovery",IF(Q800&gt;=88,"D1",IF(Q800&gt;=78,"D2","D3")),IF(E800="Later / requirements","L","Legacy")))</x:f>
        <x:v>D2</x:v>
      </x:c>
      <x:c r="G800" s="14" t="str"/>
      <x:c r="H800" s="14" t="str">
        <x:v>Discovery розширення — 2 тижні</x:v>
      </x:c>
      <x:c r="I800" s="16" t="n">
        <x:v>1</x:v>
      </x:c>
      <x:c r="J800" s="16" t="n">
        <x:v>5</x:v>
      </x:c>
      <x:c r="K800" s="16" t="n">
        <x:v>4</x:v>
      </x:c>
      <x:c r="L800" s="16" t="n">
        <x:v>1</x:v>
      </x:c>
      <x:c r="M800" s="16" t="n">
        <x:v>5</x:v>
      </x:c>
      <x:c r="N800" s="16" t="n">
        <x:v>5</x:v>
      </x:c>
      <x:c r="O800" s="16" t="n">
        <x:v>5</x:v>
      </x:c>
      <x:c r="P800" s="16" t="n">
        <x:f>IF(COUNT(I800:O800)&lt;7,"",I800*8+J800*3+K800*2+L800*2+M800*2+N800*2+O800)</x:f>
        <x:v>58</x:v>
      </x:c>
      <x:c r="Q800" s="16" t="n">
        <x:f>IF(COUNT(J800:O800)&lt;6,"",J800*5+K800*4+M800*4+L800*3+N800*2+O800*2)</x:f>
        <x:v>84</x:v>
      </x:c>
      <x:c r="R800" s="14" t="str">
        <x:v>high</x:v>
      </x:c>
      <x:c r="S800" s="14" t="str">
        <x:v>official_prozorro_award_2025_2026</x:v>
      </x:c>
      <x:c r="T800" s="14" t="str">
        <x:v>official_prozorro_api</x:v>
      </x:c>
      <x:c r="U800" s="14" t="str">
        <x:v>Не контактували</x:v>
      </x:c>
      <x:c r="V800" s="15" t="str">
        <x:v>Workflow-audit outreach по UA-2025-12-17-021884-a; попросити 1 пакет здачі та вимоги проєкту</x:v>
      </x:c>
      <x:c r="W800" s="15" t="str">
        <x:v>Власник / директор; керівник ПТО; відповідальний за договори</x:v>
      </x:c>
      <x:c r="X800" s="15" t="str">
        <x:v>1 підтверджених перемог/договорів у Prozorro на 5 054 грн; 0 проєктів зі строком виконання не раніше 24.08.2026.</x:v>
      </x:c>
      <x:c r="Y800" s="15" t="str">
        <x:v>послуги монтажу блоку безперебійного живлення з акумулятором для системи охоронної сигналізації; строк до 2025-12-31. Попросити один знеособлений пакет здачі за цим workflow.</x:v>
      </x:c>
      <x:c r="Z800" s="15" t="str">
        <x:v>https://prozorro.gov.ua/tender/UA-2025-12-17-021884-a</x:v>
      </x:c>
      <x:c r="AA800" s="14" t="str">
        <x:v>40108892</x:v>
      </x:c>
      <x:c r="AB800" s="14" t="str">
        <x:v>2026-08-24</x:v>
      </x:c>
      <x:c r="AC800" s="14" t="str"/>
      <x:c r="AD800" s="20" t="str"/>
      <x:c r="AE800" s="14" t="str"/>
      <x:c r="AF800" s="14" t="n">
        <x:v>25</x:v>
      </x:c>
      <x:c r="AG800" s="14" t="str">
        <x:v>I3</x:v>
      </x:c>
      <x:c r="AH800" s="14" t="n">
        <x:v>1</x:v>
      </x:c>
      <x:c r="AI800" s="14" t="n">
        <x:v>0</x:v>
      </x:c>
      <x:c r="AJ800" s="18" t="n">
        <x:v>5054.37</x:v>
      </x:c>
      <x:c r="AK800" s="14" t="str">
        <x:v>https://prozorro.gov.ua/tender/UA-2025-12-17-021884-a</x:v>
      </x:c>
      <x:c r="AL800" s="19" t="n">
        <x:v>46008.61897293982</x:v>
      </x:c>
      <x:c r="AM800" s="19" t="n">
        <x:v>46022.61561342593</x:v>
      </x:c>
      <x:c r="AN800" s="15" t="str">
        <x:v>Резервне живлення</x:v>
      </x:c>
      <x:c r="AO800" s="15" t="str">
        <x:v>not_found_in_top_search</x:v>
      </x:c>
    </x:row>
    <x:row r="801">
      <x:c r="A801" s="14" t="str">
        <x:v>W3-529</x:v>
      </x:c>
      <x:c r="B801" s="14" t="str">
        <x:v>Prozorro winners — 24.08</x:v>
      </x:c>
      <x:c r="C801" s="14" t="str">
        <x:v>ТОВАРИСТВО З ОБМЕЖЕНОЮ ВІДПОВІДАЛЬНІСТЮ "ВІНБУДСТАНДАРТ"</x:v>
      </x:c>
      <x:c r="D801" s="14" t="str">
        <x:v>ГНБ / безтраншейні роботи</x:v>
      </x:c>
      <x:c r="E801" s="14" t="str">
        <x:v>Expansion discovery</x:v>
      </x:c>
      <x:c r="F801" s="17" t="str">
        <x:f>IF(E801="Pilot now",IF(P801&gt;=84,"P1",IF(P801&gt;=72,"P2","P3")),IF(E801="Expansion discovery",IF(Q801&gt;=88,"D1",IF(Q801&gt;=78,"D2","D3")),IF(E801="Later / requirements","L","Legacy")))</x:f>
        <x:v>D2</x:v>
      </x:c>
      <x:c r="G801" s="14" t="str"/>
      <x:c r="H801" s="14" t="str">
        <x:v>Discovery розширення — 2 тижні</x:v>
      </x:c>
      <x:c r="I801" s="16" t="n">
        <x:v>1</x:v>
      </x:c>
      <x:c r="J801" s="16" t="n">
        <x:v>5</x:v>
      </x:c>
      <x:c r="K801" s="16" t="n">
        <x:v>4</x:v>
      </x:c>
      <x:c r="L801" s="16" t="n">
        <x:v>1</x:v>
      </x:c>
      <x:c r="M801" s="16" t="n">
        <x:v>5</x:v>
      </x:c>
      <x:c r="N801" s="16" t="n">
        <x:v>5</x:v>
      </x:c>
      <x:c r="O801" s="16" t="n">
        <x:v>5</x:v>
      </x:c>
      <x:c r="P801" s="16" t="n">
        <x:f>IF(COUNT(I801:O801)&lt;7,"",I801*8+J801*3+K801*2+L801*2+M801*2+N801*2+O801)</x:f>
        <x:v>58</x:v>
      </x:c>
      <x:c r="Q801" s="16" t="n">
        <x:f>IF(COUNT(J801:O801)&lt;6,"",J801*5+K801*4+M801*4+L801*3+N801*2+O801*2)</x:f>
        <x:v>84</x:v>
      </x:c>
      <x:c r="R801" s="14" t="str">
        <x:v>high</x:v>
      </x:c>
      <x:c r="S801" s="14" t="str">
        <x:v>official_prozorro_award_2025_2026</x:v>
      </x:c>
      <x:c r="T801" s="14" t="str">
        <x:v>official_prozorro_api</x:v>
      </x:c>
      <x:c r="U801" s="14" t="str">
        <x:v>Не контактували</x:v>
      </x:c>
      <x:c r="V801" s="15" t="str">
        <x:v>Workflow-audit outreach по UA-2025-05-12-013357-a; попросити 1 пакет здачі та вимоги проєкту</x:v>
      </x:c>
      <x:c r="W801" s="15" t="str">
        <x:v>Власник / директор; керівник ПТО; відповідальний за договори</x:v>
      </x:c>
      <x:c r="X801" s="15" t="str">
        <x:v>1 підтверджених перемог/договорів у Prozorro на 4 767 грн; 0 проєктів зі строком виконання не раніше 24.08.2026.</x:v>
      </x:c>
      <x:c r="Y801" s="15" t="str">
        <x:v>Здійснення технічного нагляду за виконанням будівельних робіт на будівництві об'єкта: "Влаштування футляру методом горизонтально направленого буріння по вул. Р. Скалецького, в рамках проекту "Реконструкція системи теплозабезпечення мікрорайонів по вул. Пирогова, по вул. Матроса Кішки, по вул. Князів Коріатовичів" в м. Вінниця.; строк до 2025-12-31. Попросити один знеособлений пакет здачі за цим workflow.</x:v>
      </x:c>
      <x:c r="Z801" s="15" t="str">
        <x:v>https://prozorro.gov.ua/tender/UA-2025-05-12-013357-a</x:v>
      </x:c>
      <x:c r="AA801" s="14" t="str">
        <x:v>45583746</x:v>
      </x:c>
      <x:c r="AB801" s="14" t="str">
        <x:v>2026-08-24</x:v>
      </x:c>
      <x:c r="AC801" s="14" t="str"/>
      <x:c r="AD801" s="20" t="str"/>
      <x:c r="AE801" s="14" t="str"/>
      <x:c r="AF801" s="14" t="n">
        <x:v>25</x:v>
      </x:c>
      <x:c r="AG801" s="14" t="str">
        <x:v>I3</x:v>
      </x:c>
      <x:c r="AH801" s="14" t="n">
        <x:v>1</x:v>
      </x:c>
      <x:c r="AI801" s="14" t="n">
        <x:v>0</x:v>
      </x:c>
      <x:c r="AJ801" s="18" t="n">
        <x:v>4766.5</x:v>
      </x:c>
      <x:c r="AK801" s="14" t="str">
        <x:v>https://prozorro.gov.ua/tender/UA-2025-05-12-013357-a</x:v>
      </x:c>
      <x:c r="AL801" s="19" t="n">
        <x:v>45789.587581203705</x:v>
      </x:c>
      <x:c r="AM801" s="19" t="n">
        <x:v>46022</x:v>
      </x:c>
      <x:c r="AN801" s="15" t="str">
        <x:v>ГНБ / безтраншейні роботи</x:v>
      </x:c>
      <x:c r="AO801" s="15" t="str">
        <x:v>not_found_in_top_search</x:v>
      </x:c>
    </x:row>
    <x:row r="802">
      <x:c r="A802" s="14" t="str">
        <x:v>W3-530</x:v>
      </x:c>
      <x:c r="B802" s="14" t="str">
        <x:v>Prozorro winners — 24.08</x:v>
      </x:c>
      <x:c r="C802" s="14" t="str">
        <x:v>ДАНИЛЬЧЕНКО ЮЛІЙ ЕДУАРДОВИЧ</x:v>
      </x:c>
      <x:c r="D802" s="14" t="str">
        <x:v>HVAC / ОВіК</x:v>
      </x:c>
      <x:c r="E802" s="14" t="str">
        <x:v>Pilot now</x:v>
      </x:c>
      <x:c r="F802" s="17" t="str">
        <x:f>IF(E802="Pilot now",IF(P802&gt;=84,"P1",IF(P802&gt;=72,"P2","P3")),IF(E802="Expansion discovery",IF(Q802&gt;=88,"D1",IF(Q802&gt;=78,"D2","D3")),IF(E802="Later / requirements","L","Legacy")))</x:f>
        <x:v>P1</x:v>
      </x:c>
      <x:c r="G802" s="14" t="str"/>
      <x:c r="H802" s="14" t="str">
        <x:v>Пілот зараз — Н.14</x:v>
      </x:c>
      <x:c r="I802" s="16" t="n">
        <x:v>5</x:v>
      </x:c>
      <x:c r="J802" s="16" t="n">
        <x:v>5</x:v>
      </x:c>
      <x:c r="K802" s="16" t="n">
        <x:v>5</x:v>
      </x:c>
      <x:c r="L802" s="16" t="n">
        <x:v>1</x:v>
      </x:c>
      <x:c r="M802" s="16" t="n">
        <x:v>5</x:v>
      </x:c>
      <x:c r="N802" s="16" t="n">
        <x:v>3</x:v>
      </x:c>
      <x:c r="O802" s="16" t="n">
        <x:v>5</x:v>
      </x:c>
      <x:c r="P802" s="16" t="n">
        <x:f>IF(COUNT(I802:O802)&lt;7,"",I802*8+J802*3+K802*2+L802*2+M802*2+N802*2+O802)</x:f>
        <x:v>88</x:v>
      </x:c>
      <x:c r="Q802" s="16" t="n">
        <x:f>IF(COUNT(J802:O802)&lt;6,"",J802*5+K802*4+M802*4+L802*3+N802*2+O802*2)</x:f>
        <x:v>84</x:v>
      </x:c>
      <x:c r="R802" s="14" t="str">
        <x:v>high</x:v>
      </x:c>
      <x:c r="S802" s="14" t="str">
        <x:v>official_prozorro_award_2025_2026</x:v>
      </x:c>
      <x:c r="T802" s="14" t="str">
        <x:v>official_prozorro_api</x:v>
      </x:c>
      <x:c r="U802" s="14" t="str">
        <x:v>Не контактували</x:v>
      </x:c>
      <x:c r="V802" s="15" t="str">
        <x:v>Персоналізований free-pilot outreach по UA-2025-12-22-007149-a; попросити 1 пакет Н.14/Н.15</x:v>
      </x:c>
      <x:c r="W802" s="15" t="str">
        <x:v>Власник / виконавець; відповідальний за договір</x:v>
      </x:c>
      <x:c r="X802" s="15" t="str">
        <x:v>1 підтверджених перемог/договорів у Prozorro на 98 657 грн; 0 проєктів зі строком виконання не раніше 24.08.2026.</x:v>
      </x:c>
      <x:c r="Y802" s="15" t="str">
        <x:v>Послуги з монтажу твердотопливного котла та під'єднання до існуючої системи опалення; строк до 2025-12-26. Попросити один знеособлений пакет здачі за цим workflow.</x:v>
      </x:c>
      <x:c r="Z802" s="15" t="str">
        <x:v>https://prozorro.gov.ua/tender/UA-2025-12-22-007149-a</x:v>
      </x:c>
      <x:c r="AA802" s="14" t="str">
        <x:v>3122511676</x:v>
      </x:c>
      <x:c r="AB802" s="14" t="str">
        <x:v>2026-08-24</x:v>
      </x:c>
      <x:c r="AC802" s="14" t="str"/>
      <x:c r="AD802" s="20" t="str"/>
      <x:c r="AE802" s="14" t="str"/>
      <x:c r="AF802" s="14" t="n">
        <x:v>22</x:v>
      </x:c>
      <x:c r="AG802" s="14" t="str">
        <x:v>I3</x:v>
      </x:c>
      <x:c r="AH802" s="14" t="n">
        <x:v>1</x:v>
      </x:c>
      <x:c r="AI802" s="14" t="n">
        <x:v>0</x:v>
      </x:c>
      <x:c r="AJ802" s="18" t="n">
        <x:v>98656.8</x:v>
      </x:c>
      <x:c r="AK802" s="14" t="str">
        <x:v>https://prozorro.gov.ua/tender/UA-2025-12-22-007149-a</x:v>
      </x:c>
      <x:c r="AL802" s="19" t="n">
        <x:v>46013.4062894213</x:v>
      </x:c>
      <x:c r="AM802" s="19" t="n">
        <x:v>46017</x:v>
      </x:c>
      <x:c r="AN802" s="15" t="str">
        <x:v>HVAC / ОВіК</x:v>
      </x:c>
      <x:c r="AO802" s="15" t="str">
        <x:v>not_found_in_top_search</x:v>
      </x:c>
    </x:row>
    <x:row r="803">
      <x:c r="A803" s="14" t="str">
        <x:v>W3-531</x:v>
      </x:c>
      <x:c r="B803" s="14" t="str">
        <x:v>Prozorro winners — 24.08</x:v>
      </x:c>
      <x:c r="C803" s="14" t="str">
        <x:v>ФО-П РЕГІДА ГЕННАДІЙ ВІТАЛІЙОВИЧ</x:v>
      </x:c>
      <x:c r="D803" s="14" t="str">
        <x:v>ВОЛЗ / телеком</x:v>
      </x:c>
      <x:c r="E803" s="14" t="str">
        <x:v>Expansion discovery</x:v>
      </x:c>
      <x:c r="F803" s="17" t="str">
        <x:f>IF(E803="Pilot now",IF(P803&gt;=84,"P1",IF(P803&gt;=72,"P2","P3")),IF(E803="Expansion discovery",IF(Q803&gt;=88,"D1",IF(Q803&gt;=78,"D2","D3")),IF(E803="Later / requirements","L","Legacy")))</x:f>
        <x:v>D2</x:v>
      </x:c>
      <x:c r="G803" s="14" t="str"/>
      <x:c r="H803" s="14" t="str">
        <x:v>Discovery розширення — 2 тижні</x:v>
      </x:c>
      <x:c r="I803" s="16" t="n">
        <x:v>1</x:v>
      </x:c>
      <x:c r="J803" s="16" t="n">
        <x:v>5</x:v>
      </x:c>
      <x:c r="K803" s="16" t="n">
        <x:v>4</x:v>
      </x:c>
      <x:c r="L803" s="16" t="n">
        <x:v>1</x:v>
      </x:c>
      <x:c r="M803" s="16" t="n">
        <x:v>5</x:v>
      </x:c>
      <x:c r="N803" s="16" t="n">
        <x:v>3</x:v>
      </x:c>
      <x:c r="O803" s="16" t="n">
        <x:v>5</x:v>
      </x:c>
      <x:c r="P803" s="16" t="n">
        <x:f>IF(COUNT(I803:O803)&lt;7,"",I803*8+J803*3+K803*2+L803*2+M803*2+N803*2+O803)</x:f>
        <x:v>54</x:v>
      </x:c>
      <x:c r="Q803" s="16" t="n">
        <x:f>IF(COUNT(J803:O803)&lt;6,"",J803*5+K803*4+M803*4+L803*3+N803*2+O803*2)</x:f>
        <x:v>80</x:v>
      </x:c>
      <x:c r="R803" s="14" t="str">
        <x:v>high</x:v>
      </x:c>
      <x:c r="S803" s="14" t="str">
        <x:v>official_prozorro_award_2025_2026</x:v>
      </x:c>
      <x:c r="T803" s="14" t="str">
        <x:v>official_prozorro_api</x:v>
      </x:c>
      <x:c r="U803" s="14" t="str">
        <x:v>Не контактували</x:v>
      </x:c>
      <x:c r="V803" s="15" t="str">
        <x:v>Workflow-audit outreach по UA-2025-06-13-000441-a; попросити 1 пакет здачі та вимоги проєкту</x:v>
      </x:c>
      <x:c r="W803" s="15" t="str">
        <x:v>Власник / виконавець; відповідальний за договір</x:v>
      </x:c>
      <x:c r="X803" s="15" t="str">
        <x:v>1 підтверджених перемог/договорів у Prozorro на 97 030 грн; 0 проєктів зі строком виконання не раніше 24.08.2026.</x:v>
      </x:c>
      <x:c r="Y803" s="15" t="str">
        <x:v>Послуги з технічного нагляду за будівництвом об'єкту: "Нове будівництво КЛ10 кВ та ВОЛЗ від КТП-399 до РП-23 по вул. Львівске шосе, вул. Тернопільська в м. Хмельницькому (Інвестиційна програма 2025 року - п.І.3.2)"; строк до 2025-12-31. Попросити один знеособлений пакет здачі за цим workflow.</x:v>
      </x:c>
      <x:c r="Z803" s="15" t="str">
        <x:v>https://prozorro.gov.ua/tender/UA-2025-06-13-000441-a</x:v>
      </x:c>
      <x:c r="AA803" s="14" t="str">
        <x:v>2191532230</x:v>
      </x:c>
      <x:c r="AB803" s="14" t="str">
        <x:v>2026-08-24</x:v>
      </x:c>
      <x:c r="AC803" s="14" t="str"/>
      <x:c r="AD803" s="20" t="str"/>
      <x:c r="AE803" s="14" t="str"/>
      <x:c r="AF803" s="14" t="n">
        <x:v>22</x:v>
      </x:c>
      <x:c r="AG803" s="14" t="str">
        <x:v>I3</x:v>
      </x:c>
      <x:c r="AH803" s="14" t="n">
        <x:v>1</x:v>
      </x:c>
      <x:c r="AI803" s="14" t="n">
        <x:v>0</x:v>
      </x:c>
      <x:c r="AJ803" s="18" t="n">
        <x:v>97030</x:v>
      </x:c>
      <x:c r="AK803" s="14" t="str">
        <x:v>https://prozorro.gov.ua/tender/UA-2025-06-13-000441-a</x:v>
      </x:c>
      <x:c r="AL803" s="19" t="n">
        <x:v>45821.2460830787</x:v>
      </x:c>
      <x:c r="AM803" s="19" t="n">
        <x:v>46022</x:v>
      </x:c>
      <x:c r="AN803" s="15" t="str">
        <x:v>ВОЛЗ / телеком</x:v>
      </x:c>
      <x:c r="AO803" s="15" t="str">
        <x:v>not_found_in_top_search</x:v>
      </x:c>
    </x:row>
    <x:row r="804">
      <x:c r="A804" s="14" t="str">
        <x:v>W3-532</x:v>
      </x:c>
      <x:c r="B804" s="14" t="str">
        <x:v>Prozorro winners — 24.08</x:v>
      </x:c>
      <x:c r="C804" s="14" t="str">
        <x:v>ФОП Сидорівський В.М.</x:v>
      </x:c>
      <x:c r="D804" s="14" t="str">
        <x:v>Сонячна енергетика</x:v>
      </x:c>
      <x:c r="E804" s="14" t="str">
        <x:v>Expansion discovery</x:v>
      </x:c>
      <x:c r="F804" s="17" t="str">
        <x:f>IF(E804="Pilot now",IF(P804&gt;=84,"P1",IF(P804&gt;=72,"P2","P3")),IF(E804="Expansion discovery",IF(Q804&gt;=88,"D1",IF(Q804&gt;=78,"D2","D3")),IF(E804="Later / requirements","L","Legacy")))</x:f>
        <x:v>D2</x:v>
      </x:c>
      <x:c r="G804" s="14" t="str"/>
      <x:c r="H804" s="14" t="str">
        <x:v>Discovery розширення — 2 тижні</x:v>
      </x:c>
      <x:c r="I804" s="16" t="n">
        <x:v>1</x:v>
      </x:c>
      <x:c r="J804" s="16" t="n">
        <x:v>5</x:v>
      </x:c>
      <x:c r="K804" s="16" t="n">
        <x:v>4</x:v>
      </x:c>
      <x:c r="L804" s="16" t="n">
        <x:v>1</x:v>
      </x:c>
      <x:c r="M804" s="16" t="n">
        <x:v>5</x:v>
      </x:c>
      <x:c r="N804" s="16" t="n">
        <x:v>3</x:v>
      </x:c>
      <x:c r="O804" s="16" t="n">
        <x:v>5</x:v>
      </x:c>
      <x:c r="P804" s="16" t="n">
        <x:f>IF(COUNT(I804:O804)&lt;7,"",I804*8+J804*3+K804*2+L804*2+M804*2+N804*2+O804)</x:f>
        <x:v>54</x:v>
      </x:c>
      <x:c r="Q804" s="16" t="n">
        <x:f>IF(COUNT(J804:O804)&lt;6,"",J804*5+K804*4+M804*4+L804*3+N804*2+O804*2)</x:f>
        <x:v>80</x:v>
      </x:c>
      <x:c r="R804" s="14" t="str">
        <x:v>high</x:v>
      </x:c>
      <x:c r="S804" s="14" t="str">
        <x:v>official_prozorro_award_2025_2026</x:v>
      </x:c>
      <x:c r="T804" s="14" t="str">
        <x:v>official_prozorro_api</x:v>
      </x:c>
      <x:c r="U804" s="14" t="str">
        <x:v>Не контактували</x:v>
      </x:c>
      <x:c r="V804" s="15" t="str">
        <x:v>Workflow-audit outreach по UA-2025-12-17-021013-a; попросити 1 пакет здачі та вимоги проєкту</x:v>
      </x:c>
      <x:c r="W804" s="15" t="str">
        <x:v>Власник / виконавець; відповідальний за договір</x:v>
      </x:c>
      <x:c r="X804" s="15" t="str">
        <x:v>1 підтверджених перемог/договорів у Prozorro на 95 000 грн; 0 проєктів зі строком виконання не раніше 24.08.2026.</x:v>
      </x:c>
      <x:c r="Y804" s="15" t="str">
        <x:v>монтаж сонячної електростанції; строк до 2025-12-31. Попросити один знеособлений пакет здачі за цим workflow.</x:v>
      </x:c>
      <x:c r="Z804" s="15" t="str">
        <x:v>https://prozorro.gov.ua/tender/UA-2025-12-17-021013-a</x:v>
      </x:c>
      <x:c r="AA804" s="14" t="str">
        <x:v>2534309035</x:v>
      </x:c>
      <x:c r="AB804" s="14" t="str">
        <x:v>2026-08-24</x:v>
      </x:c>
      <x:c r="AC804" s="14" t="str"/>
      <x:c r="AD804" s="20" t="str"/>
      <x:c r="AE804" s="14" t="str"/>
      <x:c r="AF804" s="14" t="n">
        <x:v>22</x:v>
      </x:c>
      <x:c r="AG804" s="14" t="str">
        <x:v>I3</x:v>
      </x:c>
      <x:c r="AH804" s="14" t="n">
        <x:v>1</x:v>
      </x:c>
      <x:c r="AI804" s="14" t="n">
        <x:v>0</x:v>
      </x:c>
      <x:c r="AJ804" s="18" t="n">
        <x:v>95000</x:v>
      </x:c>
      <x:c r="AK804" s="14" t="str">
        <x:v>https://prozorro.gov.ua/tender/UA-2025-12-17-021013-a</x:v>
      </x:c>
      <x:c r="AL804" s="19" t="n">
        <x:v>46008.60146755787</x:v>
      </x:c>
      <x:c r="AM804" s="19" t="n">
        <x:v>46022.60365740741</x:v>
      </x:c>
      <x:c r="AN804" s="15" t="str">
        <x:v>Сонячна енергетика</x:v>
      </x:c>
      <x:c r="AO804" s="15" t="str">
        <x:v>not_found_in_top_search</x:v>
      </x:c>
    </x:row>
    <x:row r="805">
      <x:c r="A805" s="14" t="str">
        <x:v>W3-533</x:v>
      </x:c>
      <x:c r="B805" s="14" t="str">
        <x:v>Prozorro winners — 24.08</x:v>
      </x:c>
      <x:c r="C805" s="14" t="str">
        <x:v>КИРПА СЕРГІЙ БОРИСОВИЧ</x:v>
      </x:c>
      <x:c r="D805" s="14" t="str">
        <x:v>Промисловий холод</x:v>
      </x:c>
      <x:c r="E805" s="14" t="str">
        <x:v>Expansion discovery</x:v>
      </x:c>
      <x:c r="F805" s="17" t="str">
        <x:f>IF(E805="Pilot now",IF(P805&gt;=84,"P1",IF(P805&gt;=72,"P2","P3")),IF(E805="Expansion discovery",IF(Q805&gt;=88,"D1",IF(Q805&gt;=78,"D2","D3")),IF(E805="Later / requirements","L","Legacy")))</x:f>
        <x:v>D2</x:v>
      </x:c>
      <x:c r="G805" s="14" t="str"/>
      <x:c r="H805" s="14" t="str">
        <x:v>Discovery розширення — 2 тижні</x:v>
      </x:c>
      <x:c r="I805" s="16" t="n">
        <x:v>1</x:v>
      </x:c>
      <x:c r="J805" s="16" t="n">
        <x:v>5</x:v>
      </x:c>
      <x:c r="K805" s="16" t="n">
        <x:v>4</x:v>
      </x:c>
      <x:c r="L805" s="16" t="n">
        <x:v>1</x:v>
      </x:c>
      <x:c r="M805" s="16" t="n">
        <x:v>5</x:v>
      </x:c>
      <x:c r="N805" s="16" t="n">
        <x:v>3</x:v>
      </x:c>
      <x:c r="O805" s="16" t="n">
        <x:v>5</x:v>
      </x:c>
      <x:c r="P805" s="16" t="n">
        <x:f>IF(COUNT(I805:O805)&lt;7,"",I805*8+J805*3+K805*2+L805*2+M805*2+N805*2+O805)</x:f>
        <x:v>54</x:v>
      </x:c>
      <x:c r="Q805" s="16" t="n">
        <x:f>IF(COUNT(J805:O805)&lt;6,"",J805*5+K805*4+M805*4+L805*3+N805*2+O805*2)</x:f>
        <x:v>80</x:v>
      </x:c>
      <x:c r="R805" s="14" t="str">
        <x:v>high</x:v>
      </x:c>
      <x:c r="S805" s="14" t="str">
        <x:v>official_prozorro_award_2025_2026</x:v>
      </x:c>
      <x:c r="T805" s="14" t="str">
        <x:v>official_prozorro_api</x:v>
      </x:c>
      <x:c r="U805" s="14" t="str">
        <x:v>Не контактували</x:v>
      </x:c>
      <x:c r="V805" s="15" t="str">
        <x:v>Workflow-audit outreach по UA-2025-11-28-013574-a; попросити 1 пакет здачі та вимоги проєкту</x:v>
      </x:c>
      <x:c r="W805" s="15" t="str">
        <x:v>Власник / виконавець; відповідальний за договір</x:v>
      </x:c>
      <x:c r="X805" s="15" t="str">
        <x:v>1 підтверджених перемог/договорів у Prozorro на 84 796 грн; 0 проєктів зі строком виконання не раніше 24.08.2026.</x:v>
      </x:c>
      <x:c r="Y805" s="15" t="str">
        <x:v>Кондиціонери із комплектом для монтажу ДК 021:2015:42510000-4 Теплообмінники, кондиціонери повітря, холодильне обладнання та фільтрувальні пристрої; строк до 2025-12-05. Попросити один знеособлений пакет здачі за цим workflow.</x:v>
      </x:c>
      <x:c r="Z805" s="15" t="str">
        <x:v>https://prozorro.gov.ua/tender/UA-2025-11-28-013574-a</x:v>
      </x:c>
      <x:c r="AA805" s="14" t="str">
        <x:v>2764511934</x:v>
      </x:c>
      <x:c r="AB805" s="14" t="str">
        <x:v>2026-08-24</x:v>
      </x:c>
      <x:c r="AC805" s="14" t="str"/>
      <x:c r="AD805" s="20" t="str"/>
      <x:c r="AE805" s="14" t="str"/>
      <x:c r="AF805" s="14" t="n">
        <x:v>22</x:v>
      </x:c>
      <x:c r="AG805" s="14" t="str">
        <x:v>I3</x:v>
      </x:c>
      <x:c r="AH805" s="14" t="n">
        <x:v>1</x:v>
      </x:c>
      <x:c r="AI805" s="14" t="n">
        <x:v>0</x:v>
      </x:c>
      <x:c r="AJ805" s="18" t="n">
        <x:v>84796</x:v>
      </x:c>
      <x:c r="AK805" s="14" t="str">
        <x:v>https://prozorro.gov.ua/tender/UA-2025-11-28-013574-a</x:v>
      </x:c>
      <x:c r="AL805" s="19" t="n">
        <x:v>45989.583615</x:v>
      </x:c>
      <x:c r="AM805" s="19" t="n">
        <x:v>45996</x:v>
      </x:c>
      <x:c r="AN805" s="15" t="str">
        <x:v>Промисловий холод</x:v>
      </x:c>
      <x:c r="AO805" s="15" t="str">
        <x:v>not_found_in_top_search</x:v>
      </x:c>
    </x:row>
    <x:row r="806">
      <x:c r="A806" s="14" t="str">
        <x:v>W3-534</x:v>
      </x:c>
      <x:c r="B806" s="14" t="str">
        <x:v>Prozorro winners — 24.08</x:v>
      </x:c>
      <x:c r="C806" s="14" t="str">
        <x:v>ФОП ЦЬОХ ГАЛИНА СТАНІСЛАВІВНА</x:v>
      </x:c>
      <x:c r="D806" s="14" t="str">
        <x:v>Електромонтаж</x:v>
      </x:c>
      <x:c r="E806" s="14" t="str">
        <x:v>Pilot now</x:v>
      </x:c>
      <x:c r="F806" s="17" t="str">
        <x:f>IF(E806="Pilot now",IF(P806&gt;=84,"P1",IF(P806&gt;=72,"P2","P3")),IF(E806="Expansion discovery",IF(Q806&gt;=88,"D1",IF(Q806&gt;=78,"D2","D3")),IF(E806="Later / requirements","L","Legacy")))</x:f>
        <x:v>P1</x:v>
      </x:c>
      <x:c r="G806" s="14" t="str"/>
      <x:c r="H806" s="14" t="str">
        <x:v>Пілот зараз — Н.15</x:v>
      </x:c>
      <x:c r="I806" s="16" t="n">
        <x:v>5</x:v>
      </x:c>
      <x:c r="J806" s="16" t="n">
        <x:v>5</x:v>
      </x:c>
      <x:c r="K806" s="16" t="n">
        <x:v>5</x:v>
      </x:c>
      <x:c r="L806" s="16" t="n">
        <x:v>1</x:v>
      </x:c>
      <x:c r="M806" s="16" t="n">
        <x:v>5</x:v>
      </x:c>
      <x:c r="N806" s="16" t="n">
        <x:v>3</x:v>
      </x:c>
      <x:c r="O806" s="16" t="n">
        <x:v>5</x:v>
      </x:c>
      <x:c r="P806" s="16" t="n">
        <x:f>IF(COUNT(I806:O806)&lt;7,"",I806*8+J806*3+K806*2+L806*2+M806*2+N806*2+O806)</x:f>
        <x:v>88</x:v>
      </x:c>
      <x:c r="Q806" s="16" t="n">
        <x:f>IF(COUNT(J806:O806)&lt;6,"",J806*5+K806*4+M806*4+L806*3+N806*2+O806*2)</x:f>
        <x:v>84</x:v>
      </x:c>
      <x:c r="R806" s="14" t="str">
        <x:v>high</x:v>
      </x:c>
      <x:c r="S806" s="14" t="str">
        <x:v>official_prozorro_award_2025_2026</x:v>
      </x:c>
      <x:c r="T806" s="14" t="str">
        <x:v>official_prozorro_api</x:v>
      </x:c>
      <x:c r="U806" s="14" t="str">
        <x:v>Не контактували</x:v>
      </x:c>
      <x:c r="V806" s="15" t="str">
        <x:v>Персоналізований free-pilot outreach по UA-2025-09-16-013936-a; попросити 1 пакет Н.14/Н.15</x:v>
      </x:c>
      <x:c r="W806" s="15" t="str">
        <x:v>Власник / виконавець; відповідальний за договір</x:v>
      </x:c>
      <x:c r="X806" s="15" t="str">
        <x:v>1 підтверджених перемог/договорів у Prozorro на 55 000 грн; 0 проєктів зі строком виконання не раніше 24.08.2026.</x:v>
      </x:c>
      <x:c r="Y806" s="15" t="str">
        <x:v>Послуги по виконанню електровимірювальних робіт, проведенню перевірки системи заземлення та виготовлення технічної документації; строк до 2025-10-10. Попросити один знеособлений пакет здачі за цим workflow.</x:v>
      </x:c>
      <x:c r="Z806" s="15" t="str">
        <x:v>https://prozorro.gov.ua/tender/UA-2025-09-16-013936-a</x:v>
      </x:c>
      <x:c r="AA806" s="14" t="str">
        <x:v>2602706188</x:v>
      </x:c>
      <x:c r="AB806" s="14" t="str">
        <x:v>2026-08-24</x:v>
      </x:c>
      <x:c r="AC806" s="14" t="str"/>
      <x:c r="AD806" s="20" t="str"/>
      <x:c r="AE806" s="14" t="str"/>
      <x:c r="AF806" s="14" t="n">
        <x:v>22</x:v>
      </x:c>
      <x:c r="AG806" s="14" t="str">
        <x:v>I3</x:v>
      </x:c>
      <x:c r="AH806" s="14" t="n">
        <x:v>1</x:v>
      </x:c>
      <x:c r="AI806" s="14" t="n">
        <x:v>0</x:v>
      </x:c>
      <x:c r="AJ806" s="18" t="n">
        <x:v>55000</x:v>
      </x:c>
      <x:c r="AK806" s="14" t="str">
        <x:v>https://prozorro.gov.ua/tender/UA-2025-09-16-013936-a</x:v>
      </x:c>
      <x:c r="AL806" s="19" t="n">
        <x:v>45924.55775303241</x:v>
      </x:c>
      <x:c r="AM806" s="19" t="n">
        <x:v>45940</x:v>
      </x:c>
      <x:c r="AN806" s="15" t="str">
        <x:v>Електромонтаж</x:v>
      </x:c>
      <x:c r="AO806" s="15" t="str">
        <x:v>not_found_in_top_search</x:v>
      </x:c>
    </x:row>
    <x:row r="807">
      <x:c r="A807" s="14" t="str">
        <x:v>W3-535</x:v>
      </x:c>
      <x:c r="B807" s="14" t="str">
        <x:v>Prozorro winners — 24.08</x:v>
      </x:c>
      <x:c r="C807" s="14" t="str">
        <x:v>Фізична особа-підприємець Кисельов Олександр Сергійович</x:v>
      </x:c>
      <x:c r="D807" s="14" t="str">
        <x:v>Резервне живлення</x:v>
      </x:c>
      <x:c r="E807" s="14" t="str">
        <x:v>Expansion discovery</x:v>
      </x:c>
      <x:c r="F807" s="17" t="str">
        <x:f>IF(E807="Pilot now",IF(P807&gt;=84,"P1",IF(P807&gt;=72,"P2","P3")),IF(E807="Expansion discovery",IF(Q807&gt;=88,"D1",IF(Q807&gt;=78,"D2","D3")),IF(E807="Later / requirements","L","Legacy")))</x:f>
        <x:v>D2</x:v>
      </x:c>
      <x:c r="G807" s="14" t="str"/>
      <x:c r="H807" s="14" t="str">
        <x:v>Discovery розширення — 2 тижні</x:v>
      </x:c>
      <x:c r="I807" s="16" t="n">
        <x:v>1</x:v>
      </x:c>
      <x:c r="J807" s="16" t="n">
        <x:v>5</x:v>
      </x:c>
      <x:c r="K807" s="16" t="n">
        <x:v>4</x:v>
      </x:c>
      <x:c r="L807" s="16" t="n">
        <x:v>1</x:v>
      </x:c>
      <x:c r="M807" s="16" t="n">
        <x:v>5</x:v>
      </x:c>
      <x:c r="N807" s="16" t="n">
        <x:v>3</x:v>
      </x:c>
      <x:c r="O807" s="16" t="n">
        <x:v>5</x:v>
      </x:c>
      <x:c r="P807" s="16" t="n">
        <x:f>IF(COUNT(I807:O807)&lt;7,"",I807*8+J807*3+K807*2+L807*2+M807*2+N807*2+O807)</x:f>
        <x:v>54</x:v>
      </x:c>
      <x:c r="Q807" s="16" t="n">
        <x:f>IF(COUNT(J807:O807)&lt;6,"",J807*5+K807*4+M807*4+L807*3+N807*2+O807*2)</x:f>
        <x:v>80</x:v>
      </x:c>
      <x:c r="R807" s="14" t="str">
        <x:v>high</x:v>
      </x:c>
      <x:c r="S807" s="14" t="str">
        <x:v>official_prozorro_award_2025_2026</x:v>
      </x:c>
      <x:c r="T807" s="14" t="str">
        <x:v>official_prozorro_api</x:v>
      </x:c>
      <x:c r="U807" s="14" t="str">
        <x:v>Не контактували</x:v>
      </x:c>
      <x:c r="V807" s="15" t="str">
        <x:v>Workflow-audit outreach по UA-2025-12-11-016854-a; попросити 1 пакет здачі та вимоги проєкту</x:v>
      </x:c>
      <x:c r="W807" s="15" t="str">
        <x:v>Власник / виконавець; відповідальний за договір</x:v>
      </x:c>
      <x:c r="X807" s="15" t="str">
        <x:v>1 підтверджених перемог/договорів у Prozorro на 51 000 грн; 0 проєктів зі строком виконання не раніше 24.08.2026.</x:v>
      </x:c>
      <x:c r="Y807" s="15" t="str">
        <x:v>Послуги з монтажу та налаштування системи безперебійного живлення на об"єкті замовника за адресою: м.Київ, вул. Митрополита Шептицького,24 (згідно коду ДК 021:2015: 51110000-6: Послуги зі встановлення електричного обладнання); строк до 2025-12-09. Попросити один знеособлений пакет здачі за цим workflow.</x:v>
      </x:c>
      <x:c r="Z807" s="15" t="str">
        <x:v>https://prozorro.gov.ua/tender/UA-2025-12-11-016854-a</x:v>
      </x:c>
      <x:c r="AA807" s="14" t="str">
        <x:v>3473503555</x:v>
      </x:c>
      <x:c r="AB807" s="14" t="str">
        <x:v>2026-08-24</x:v>
      </x:c>
      <x:c r="AC807" s="14" t="str"/>
      <x:c r="AD807" s="20" t="str"/>
      <x:c r="AE807" s="14" t="str"/>
      <x:c r="AF807" s="14" t="n">
        <x:v>22</x:v>
      </x:c>
      <x:c r="AG807" s="14" t="str">
        <x:v>I3</x:v>
      </x:c>
      <x:c r="AH807" s="14" t="n">
        <x:v>1</x:v>
      </x:c>
      <x:c r="AI807" s="14" t="n">
        <x:v>0</x:v>
      </x:c>
      <x:c r="AJ807" s="18" t="n">
        <x:v>51000</x:v>
      </x:c>
      <x:c r="AK807" s="14" t="str">
        <x:v>https://prozorro.gov.ua/tender/UA-2025-12-11-016854-a</x:v>
      </x:c>
      <x:c r="AL807" s="19" t="n">
        <x:v>46002.561358831015</x:v>
      </x:c>
      <x:c r="AM807" s="19" t="n">
        <x:v>46000</x:v>
      </x:c>
      <x:c r="AN807" s="15" t="str">
        <x:v>Резервне живлення</x:v>
      </x:c>
      <x:c r="AO807" s="15" t="str">
        <x:v>not_found_in_top_search</x:v>
      </x:c>
    </x:row>
    <x:row r="808">
      <x:c r="A808" s="14" t="str">
        <x:v>W3-536</x:v>
      </x:c>
      <x:c r="B808" s="14" t="str">
        <x:v>Prozorro winners — 24.08</x:v>
      </x:c>
      <x:c r="C808" s="14" t="str">
        <x:v>ПЕТРУК МИКОЛА ВОЛОДИМИРОВИЧ</x:v>
      </x:c>
      <x:c r="D808" s="14" t="str">
        <x:v>Електромонтаж</x:v>
      </x:c>
      <x:c r="E808" s="14" t="str">
        <x:v>Pilot now</x:v>
      </x:c>
      <x:c r="F808" s="17" t="str">
        <x:f>IF(E808="Pilot now",IF(P808&gt;=84,"P1",IF(P808&gt;=72,"P2","P3")),IF(E808="Expansion discovery",IF(Q808&gt;=88,"D1",IF(Q808&gt;=78,"D2","D3")),IF(E808="Later / requirements","L","Legacy")))</x:f>
        <x:v>P1</x:v>
      </x:c>
      <x:c r="G808" s="14" t="str"/>
      <x:c r="H808" s="14" t="str">
        <x:v>Пілот зараз — Н.15</x:v>
      </x:c>
      <x:c r="I808" s="16" t="n">
        <x:v>5</x:v>
      </x:c>
      <x:c r="J808" s="16" t="n">
        <x:v>5</x:v>
      </x:c>
      <x:c r="K808" s="16" t="n">
        <x:v>5</x:v>
      </x:c>
      <x:c r="L808" s="16" t="n">
        <x:v>1</x:v>
      </x:c>
      <x:c r="M808" s="16" t="n">
        <x:v>5</x:v>
      </x:c>
      <x:c r="N808" s="16" t="n">
        <x:v>3</x:v>
      </x:c>
      <x:c r="O808" s="16" t="n">
        <x:v>5</x:v>
      </x:c>
      <x:c r="P808" s="16" t="n">
        <x:f>IF(COUNT(I808:O808)&lt;7,"",I808*8+J808*3+K808*2+L808*2+M808*2+N808*2+O808)</x:f>
        <x:v>88</x:v>
      </x:c>
      <x:c r="Q808" s="16" t="n">
        <x:f>IF(COUNT(J808:O808)&lt;6,"",J808*5+K808*4+M808*4+L808*3+N808*2+O808*2)</x:f>
        <x:v>84</x:v>
      </x:c>
      <x:c r="R808" s="14" t="str">
        <x:v>high</x:v>
      </x:c>
      <x:c r="S808" s="14" t="str">
        <x:v>official_prozorro_award_2025_2026</x:v>
      </x:c>
      <x:c r="T808" s="14" t="str">
        <x:v>official_prozorro_api</x:v>
      </x:c>
      <x:c r="U808" s="14" t="str">
        <x:v>Не контактували</x:v>
      </x:c>
      <x:c r="V808" s="15" t="str">
        <x:v>Персоналізований free-pilot outreach по UA-2025-12-22-009110-a; попросити 1 пакет Н.14/Н.15</x:v>
      </x:c>
      <x:c r="W808" s="15" t="str">
        <x:v>Власник / виконавець; відповідальний за договір</x:v>
      </x:c>
      <x:c r="X808" s="15" t="str">
        <x:v>1 підтверджених перемог/договорів у Prozorro на 33 100 грн; 0 проєктів зі строком виконання не раніше 24.08.2026.</x:v>
      </x:c>
      <x:c r="Y808" s="15" t="str">
        <x:v>допоміжні роботи до послуг з розробки технічних умов підключення до телекомунікаційних мереж, а саме: послуги з монтажу та налаштування електричної мережі резервного каналу живлення ; строк до 2025-12-31. Попросити один знеособлений пакет здачі за цим workflow.</x:v>
      </x:c>
      <x:c r="Z808" s="15" t="str">
        <x:v>https://prozorro.gov.ua/tender/UA-2025-12-22-009110-a</x:v>
      </x:c>
      <x:c r="AA808" s="14" t="str">
        <x:v>1862822250</x:v>
      </x:c>
      <x:c r="AB808" s="14" t="str">
        <x:v>2026-08-24</x:v>
      </x:c>
      <x:c r="AC808" s="14" t="str"/>
      <x:c r="AD808" s="20" t="str"/>
      <x:c r="AE808" s="14" t="str"/>
      <x:c r="AF808" s="14" t="n">
        <x:v>22</x:v>
      </x:c>
      <x:c r="AG808" s="14" t="str">
        <x:v>I3</x:v>
      </x:c>
      <x:c r="AH808" s="14" t="n">
        <x:v>1</x:v>
      </x:c>
      <x:c r="AI808" s="14" t="n">
        <x:v>0</x:v>
      </x:c>
      <x:c r="AJ808" s="18" t="n">
        <x:v>33100</x:v>
      </x:c>
      <x:c r="AK808" s="14" t="str">
        <x:v>https://prozorro.gov.ua/tender/UA-2025-12-22-009110-a</x:v>
      </x:c>
      <x:c r="AL808" s="19" t="n">
        <x:v>46013.441212349535</x:v>
      </x:c>
      <x:c r="AM808" s="19" t="n">
        <x:v>46022</x:v>
      </x:c>
      <x:c r="AN808" s="15" t="str">
        <x:v>Електромонтаж</x:v>
      </x:c>
      <x:c r="AO808" s="15" t="str">
        <x:v>not_found_in_top_search</x:v>
      </x:c>
    </x:row>
    <x:row r="809">
      <x:c r="A809" s="14" t="str">
        <x:v>W3-537</x:v>
      </x:c>
      <x:c r="B809" s="14" t="str">
        <x:v>Prozorro winners — 24.08</x:v>
      </x:c>
      <x:c r="C809" s="14" t="str">
        <x:v>ІЛІКА ВАСИЛЬ АНАТОЛІЙОВИЧ</x:v>
      </x:c>
      <x:c r="D809" s="14" t="str">
        <x:v>Резервне живлення</x:v>
      </x:c>
      <x:c r="E809" s="14" t="str">
        <x:v>Expansion discovery</x:v>
      </x:c>
      <x:c r="F809" s="17" t="str">
        <x:f>IF(E809="Pilot now",IF(P809&gt;=84,"P1",IF(P809&gt;=72,"P2","P3")),IF(E809="Expansion discovery",IF(Q809&gt;=88,"D1",IF(Q809&gt;=78,"D2","D3")),IF(E809="Later / requirements","L","Legacy")))</x:f>
        <x:v>D2</x:v>
      </x:c>
      <x:c r="G809" s="14" t="str"/>
      <x:c r="H809" s="14" t="str">
        <x:v>Discovery розширення — 2 тижні</x:v>
      </x:c>
      <x:c r="I809" s="16" t="n">
        <x:v>1</x:v>
      </x:c>
      <x:c r="J809" s="16" t="n">
        <x:v>5</x:v>
      </x:c>
      <x:c r="K809" s="16" t="n">
        <x:v>4</x:v>
      </x:c>
      <x:c r="L809" s="16" t="n">
        <x:v>1</x:v>
      </x:c>
      <x:c r="M809" s="16" t="n">
        <x:v>5</x:v>
      </x:c>
      <x:c r="N809" s="16" t="n">
        <x:v>3</x:v>
      </x:c>
      <x:c r="O809" s="16" t="n">
        <x:v>5</x:v>
      </x:c>
      <x:c r="P809" s="16" t="n">
        <x:f>IF(COUNT(I809:O809)&lt;7,"",I809*8+J809*3+K809*2+L809*2+M809*2+N809*2+O809)</x:f>
        <x:v>54</x:v>
      </x:c>
      <x:c r="Q809" s="16" t="n">
        <x:f>IF(COUNT(J809:O809)&lt;6,"",J809*5+K809*4+M809*4+L809*3+N809*2+O809*2)</x:f>
        <x:v>80</x:v>
      </x:c>
      <x:c r="R809" s="14" t="str">
        <x:v>high</x:v>
      </x:c>
      <x:c r="S809" s="14" t="str">
        <x:v>official_prozorro_award_2025_2026</x:v>
      </x:c>
      <x:c r="T809" s="14" t="str">
        <x:v>official_prozorro_api</x:v>
      </x:c>
      <x:c r="U809" s="14" t="str">
        <x:v>Не контактували</x:v>
      </x:c>
      <x:c r="V809" s="15" t="str">
        <x:v>Workflow-audit outreach по UA-2025-04-03-014446-a; попросити 1 пакет здачі та вимоги проєкту</x:v>
      </x:c>
      <x:c r="W809" s="15" t="str">
        <x:v>Власник / виконавець; відповідальний за договір</x:v>
      </x:c>
      <x:c r="X809" s="15" t="str">
        <x:v>1 підтверджених перемог/договорів у Prozorro на 31 000 грн; 0 проєктів зі строком виконання не раніше 24.08.2026.</x:v>
      </x:c>
      <x:c r="Y809" s="15" t="str">
        <x:v>Послуги з монтажу системи безперебійного живлення; строк до 2025-12-31. Попросити один знеособлений пакет здачі за цим workflow.</x:v>
      </x:c>
      <x:c r="Z809" s="15" t="str">
        <x:v>https://prozorro.gov.ua/tender/UA-2025-04-03-014446-a</x:v>
      </x:c>
      <x:c r="AA809" s="14" t="str">
        <x:v>3325109871</x:v>
      </x:c>
      <x:c r="AB809" s="14" t="str">
        <x:v>2026-08-24</x:v>
      </x:c>
      <x:c r="AC809" s="14" t="str"/>
      <x:c r="AD809" s="20" t="str"/>
      <x:c r="AE809" s="14" t="str"/>
      <x:c r="AF809" s="14" t="n">
        <x:v>22</x:v>
      </x:c>
      <x:c r="AG809" s="14" t="str">
        <x:v>I3</x:v>
      </x:c>
      <x:c r="AH809" s="14" t="n">
        <x:v>1</x:v>
      </x:c>
      <x:c r="AI809" s="14" t="n">
        <x:v>0</x:v>
      </x:c>
      <x:c r="AJ809" s="18" t="n">
        <x:v>31000</x:v>
      </x:c>
      <x:c r="AK809" s="14" t="str">
        <x:v>https://prozorro.gov.ua/tender/UA-2025-04-03-014446-a</x:v>
      </x:c>
      <x:c r="AL809" s="19" t="n">
        <x:v>45750.721517337966</x:v>
      </x:c>
      <x:c r="AM809" s="19" t="n">
        <x:v>46022</x:v>
      </x:c>
      <x:c r="AN809" s="15" t="str">
        <x:v>Резервне живлення</x:v>
      </x:c>
      <x:c r="AO809" s="15" t="str">
        <x:v>not_found_in_top_search</x:v>
      </x:c>
    </x:row>
    <x:row r="810">
      <x:c r="A810" s="14" t="str">
        <x:v>W3-538</x:v>
      </x:c>
      <x:c r="B810" s="14" t="str">
        <x:v>Prozorro winners — 24.08</x:v>
      </x:c>
      <x:c r="C810" s="14" t="str">
        <x:v>МИХАЙЛЮК МАРІЯ ІВАНІВНА</x:v>
      </x:c>
      <x:c r="D810" s="14" t="str">
        <x:v>Електромонтаж</x:v>
      </x:c>
      <x:c r="E810" s="14" t="str">
        <x:v>Pilot now</x:v>
      </x:c>
      <x:c r="F810" s="17" t="str">
        <x:f>IF(E810="Pilot now",IF(P810&gt;=84,"P1",IF(P810&gt;=72,"P2","P3")),IF(E810="Expansion discovery",IF(Q810&gt;=88,"D1",IF(Q810&gt;=78,"D2","D3")),IF(E810="Later / requirements","L","Legacy")))</x:f>
        <x:v>P1</x:v>
      </x:c>
      <x:c r="G810" s="14" t="str"/>
      <x:c r="H810" s="14" t="str">
        <x:v>Пілот зараз — Н.15</x:v>
      </x:c>
      <x:c r="I810" s="16" t="n">
        <x:v>5</x:v>
      </x:c>
      <x:c r="J810" s="16" t="n">
        <x:v>5</x:v>
      </x:c>
      <x:c r="K810" s="16" t="n">
        <x:v>5</x:v>
      </x:c>
      <x:c r="L810" s="16" t="n">
        <x:v>1</x:v>
      </x:c>
      <x:c r="M810" s="16" t="n">
        <x:v>5</x:v>
      </x:c>
      <x:c r="N810" s="16" t="n">
        <x:v>3</x:v>
      </x:c>
      <x:c r="O810" s="16" t="n">
        <x:v>5</x:v>
      </x:c>
      <x:c r="P810" s="16" t="n">
        <x:f>IF(COUNT(I810:O810)&lt;7,"",I810*8+J810*3+K810*2+L810*2+M810*2+N810*2+O810)</x:f>
        <x:v>88</x:v>
      </x:c>
      <x:c r="Q810" s="16" t="n">
        <x:f>IF(COUNT(J810:O810)&lt;6,"",J810*5+K810*4+M810*4+L810*3+N810*2+O810*2)</x:f>
        <x:v>84</x:v>
      </x:c>
      <x:c r="R810" s="14" t="str">
        <x:v>high</x:v>
      </x:c>
      <x:c r="S810" s="14" t="str">
        <x:v>official_prozorro_award_2025_2026</x:v>
      </x:c>
      <x:c r="T810" s="14" t="str">
        <x:v>official_prozorro_api</x:v>
      </x:c>
      <x:c r="U810" s="14" t="str">
        <x:v>Не контактували</x:v>
      </x:c>
      <x:c r="V810" s="15" t="str">
        <x:v>Персоналізований free-pilot outreach по UA-2025-12-11-008571-a; попросити 1 пакет Н.14/Н.15</x:v>
      </x:c>
      <x:c r="W810" s="15" t="str">
        <x:v>Власник / виконавець; відповідальний за договір</x:v>
      </x:c>
      <x:c r="X810" s="15" t="str">
        <x:v>1 підтверджених перемог/договорів у Prozorro на 30 400 грн; 0 проєктів зі строком виконання не раніше 24.08.2026.</x:v>
      </x:c>
      <x:c r="Y810" s="15" t="str">
        <x:v>послуги з монтажу та налаштування електричної мережі; строк до 2025-12-31. Попросити один знеособлений пакет здачі за цим workflow.</x:v>
      </x:c>
      <x:c r="Z810" s="15" t="str">
        <x:v>https://prozorro.gov.ua/tender/UA-2025-12-11-008571-a</x:v>
      </x:c>
      <x:c r="AA810" s="14" t="str">
        <x:v>3612006961</x:v>
      </x:c>
      <x:c r="AB810" s="14" t="str">
        <x:v>2026-08-24</x:v>
      </x:c>
      <x:c r="AC810" s="14" t="str"/>
      <x:c r="AD810" s="20" t="str"/>
      <x:c r="AE810" s="14" t="str"/>
      <x:c r="AF810" s="14" t="n">
        <x:v>22</x:v>
      </x:c>
      <x:c r="AG810" s="14" t="str">
        <x:v>I3</x:v>
      </x:c>
      <x:c r="AH810" s="14" t="n">
        <x:v>1</x:v>
      </x:c>
      <x:c r="AI810" s="14" t="n">
        <x:v>0</x:v>
      </x:c>
      <x:c r="AJ810" s="18" t="n">
        <x:v>30400</x:v>
      </x:c>
      <x:c r="AK810" s="14" t="str">
        <x:v>https://prozorro.gov.ua/tender/UA-2025-12-11-008571-a</x:v>
      </x:c>
      <x:c r="AL810" s="19" t="n">
        <x:v>46002.42301488426</x:v>
      </x:c>
      <x:c r="AM810" s="19" t="n">
        <x:v>46022</x:v>
      </x:c>
      <x:c r="AN810" s="15" t="str">
        <x:v>Електромонтаж</x:v>
      </x:c>
      <x:c r="AO810" s="15" t="str">
        <x:v>not_found_in_top_search</x:v>
      </x:c>
    </x:row>
    <x:row r="811">
      <x:c r="A811" s="14" t="str">
        <x:v>W3-539</x:v>
      </x:c>
      <x:c r="B811" s="14" t="str">
        <x:v>Prozorro winners — 24.08</x:v>
      </x:c>
      <x:c r="C811" s="14" t="str">
        <x:v>ФОП Майданець Катерина Олександрівна</x:v>
      </x:c>
      <x:c r="D811" s="14" t="str">
        <x:v>Безпека / СКУД / CCTV</x:v>
      </x:c>
      <x:c r="E811" s="14" t="str">
        <x:v>Expansion discovery</x:v>
      </x:c>
      <x:c r="F811" s="17" t="str">
        <x:f>IF(E811="Pilot now",IF(P811&gt;=84,"P1",IF(P811&gt;=72,"P2","P3")),IF(E811="Expansion discovery",IF(Q811&gt;=88,"D1",IF(Q811&gt;=78,"D2","D3")),IF(E811="Later / requirements","L","Legacy")))</x:f>
        <x:v>D2</x:v>
      </x:c>
      <x:c r="G811" s="14" t="str"/>
      <x:c r="H811" s="14" t="str">
        <x:v>Discovery розширення — 2 тижні</x:v>
      </x:c>
      <x:c r="I811" s="16" t="n">
        <x:v>1</x:v>
      </x:c>
      <x:c r="J811" s="16" t="n">
        <x:v>5</x:v>
      </x:c>
      <x:c r="K811" s="16" t="n">
        <x:v>4</x:v>
      </x:c>
      <x:c r="L811" s="16" t="n">
        <x:v>1</x:v>
      </x:c>
      <x:c r="M811" s="16" t="n">
        <x:v>5</x:v>
      </x:c>
      <x:c r="N811" s="16" t="n">
        <x:v>3</x:v>
      </x:c>
      <x:c r="O811" s="16" t="n">
        <x:v>5</x:v>
      </x:c>
      <x:c r="P811" s="16" t="n">
        <x:f>IF(COUNT(I811:O811)&lt;7,"",I811*8+J811*3+K811*2+L811*2+M811*2+N811*2+O811)</x:f>
        <x:v>54</x:v>
      </x:c>
      <x:c r="Q811" s="16" t="n">
        <x:f>IF(COUNT(J811:O811)&lt;6,"",J811*5+K811*4+M811*4+L811*3+N811*2+O811*2)</x:f>
        <x:v>80</x:v>
      </x:c>
      <x:c r="R811" s="14" t="str">
        <x:v>high</x:v>
      </x:c>
      <x:c r="S811" s="14" t="str">
        <x:v>official_prozorro_award_2025_2026</x:v>
      </x:c>
      <x:c r="T811" s="14" t="str">
        <x:v>official_prozorro_api</x:v>
      </x:c>
      <x:c r="U811" s="14" t="str">
        <x:v>Не контактували</x:v>
      </x:c>
      <x:c r="V811" s="15" t="str">
        <x:v>Workflow-audit outreach по UA-2025-12-17-016354-a; попросити 1 пакет здачі та вимоги проєкту</x:v>
      </x:c>
      <x:c r="W811" s="15" t="str">
        <x:v>Власник / виконавець; відповідальний за договір</x:v>
      </x:c>
      <x:c r="X811" s="15" t="str">
        <x:v>1 підтверджених перемог/договорів у Prozorro на 29 302 грн; 0 проєктів зі строком виконання не раніше 24.08.2026.</x:v>
      </x:c>
      <x:c r="Y811" s="15" t="str">
        <x:v>послуги з монтажу та налаштування системи контролю доступу; строк до 2025-12-31. Попросити один знеособлений пакет здачі за цим workflow.</x:v>
      </x:c>
      <x:c r="Z811" s="15" t="str">
        <x:v>https://prozorro.gov.ua/tender/UA-2025-12-17-016354-a</x:v>
      </x:c>
      <x:c r="AA811" s="14" t="str">
        <x:v>3321004687</x:v>
      </x:c>
      <x:c r="AB811" s="14" t="str">
        <x:v>2026-08-24</x:v>
      </x:c>
      <x:c r="AC811" s="14" t="str"/>
      <x:c r="AD811" s="20" t="str"/>
      <x:c r="AE811" s="14" t="str"/>
      <x:c r="AF811" s="14" t="n">
        <x:v>22</x:v>
      </x:c>
      <x:c r="AG811" s="14" t="str">
        <x:v>I3</x:v>
      </x:c>
      <x:c r="AH811" s="14" t="n">
        <x:v>1</x:v>
      </x:c>
      <x:c r="AI811" s="14" t="n">
        <x:v>0</x:v>
      </x:c>
      <x:c r="AJ811" s="18" t="n">
        <x:v>29302</x:v>
      </x:c>
      <x:c r="AK811" s="14" t="str">
        <x:v>https://prozorro.gov.ua/tender/UA-2025-12-17-016354-a</x:v>
      </x:c>
      <x:c r="AL811" s="19" t="n">
        <x:v>46008.550614733795</x:v>
      </x:c>
      <x:c r="AM811" s="19" t="n">
        <x:v>46022.54587962963</x:v>
      </x:c>
      <x:c r="AN811" s="15" t="str">
        <x:v>Безпека / СКУД / CCTV</x:v>
      </x:c>
      <x:c r="AO811" s="15" t="str">
        <x:v>not_found_in_top_search</x:v>
      </x:c>
    </x:row>
    <x:row r="812">
      <x:c r="A812" s="14" t="str">
        <x:v>W3-540</x:v>
      </x:c>
      <x:c r="B812" s="14" t="str">
        <x:v>Prozorro winners — 24.08</x:v>
      </x:c>
      <x:c r="C812" s="14" t="str">
        <x:v>ФОП Білак М. М.</x:v>
      </x:c>
      <x:c r="D812" s="14" t="str">
        <x:v>Електромонтаж</x:v>
      </x:c>
      <x:c r="E812" s="14" t="str">
        <x:v>Pilot now</x:v>
      </x:c>
      <x:c r="F812" s="17" t="str">
        <x:f>IF(E812="Pilot now",IF(P812&gt;=84,"P1",IF(P812&gt;=72,"P2","P3")),IF(E812="Expansion discovery",IF(Q812&gt;=88,"D1",IF(Q812&gt;=78,"D2","D3")),IF(E812="Later / requirements","L","Legacy")))</x:f>
        <x:v>P1</x:v>
      </x:c>
      <x:c r="G812" s="14" t="str"/>
      <x:c r="H812" s="14" t="str">
        <x:v>Пілот зараз — Н.15</x:v>
      </x:c>
      <x:c r="I812" s="16" t="n">
        <x:v>5</x:v>
      </x:c>
      <x:c r="J812" s="16" t="n">
        <x:v>5</x:v>
      </x:c>
      <x:c r="K812" s="16" t="n">
        <x:v>5</x:v>
      </x:c>
      <x:c r="L812" s="16" t="n">
        <x:v>1</x:v>
      </x:c>
      <x:c r="M812" s="16" t="n">
        <x:v>5</x:v>
      </x:c>
      <x:c r="N812" s="16" t="n">
        <x:v>3</x:v>
      </x:c>
      <x:c r="O812" s="16" t="n">
        <x:v>5</x:v>
      </x:c>
      <x:c r="P812" s="16" t="n">
        <x:f>IF(COUNT(I812:O812)&lt;7,"",I812*8+J812*3+K812*2+L812*2+M812*2+N812*2+O812)</x:f>
        <x:v>88</x:v>
      </x:c>
      <x:c r="Q812" s="16" t="n">
        <x:f>IF(COUNT(J812:O812)&lt;6,"",J812*5+K812*4+M812*4+L812*3+N812*2+O812*2)</x:f>
        <x:v>84</x:v>
      </x:c>
      <x:c r="R812" s="14" t="str">
        <x:v>high</x:v>
      </x:c>
      <x:c r="S812" s="14" t="str">
        <x:v>official_prozorro_award_2025_2026</x:v>
      </x:c>
      <x:c r="T812" s="14" t="str">
        <x:v>official_prozorro_api</x:v>
      </x:c>
      <x:c r="U812" s="14" t="str">
        <x:v>Не контактували</x:v>
      </x:c>
      <x:c r="V812" s="15" t="str">
        <x:v>Персоналізований free-pilot outreach по UA-2025-07-08-006713-a; попросити 1 пакет Н.14/Н.15</x:v>
      </x:c>
      <x:c r="W812" s="15" t="str">
        <x:v>Власник / виконавець; відповідальний за договір</x:v>
      </x:c>
      <x:c r="X812" s="15" t="str">
        <x:v>1 підтверджених перемог/договорів у Prozorro на 24 865 грн; 0 проєктів зі строком виконання не раніше 24.08.2026.</x:v>
      </x:c>
      <x:c r="Y812" s="15" t="str">
        <x:v>Послуги з монтажу заземлення спільно з електровимірювальними та випробувальними роботами на об'єкті - їдальня Дубрівського ЗЗСО І-ІІІ ступенів Іршавської міської ради за адресою: Хустський район, с. Дубрівка, 210; строк до 2025-12-31. Попросити один знеособлений пакет здачі за цим workflow.</x:v>
      </x:c>
      <x:c r="Z812" s="15" t="str">
        <x:v>https://prozorro.gov.ua/tender/UA-2025-07-08-006713-a</x:v>
      </x:c>
      <x:c r="AA812" s="14" t="str">
        <x:v>3356200378</x:v>
      </x:c>
      <x:c r="AB812" s="14" t="str">
        <x:v>2026-08-24</x:v>
      </x:c>
      <x:c r="AC812" s="14" t="str"/>
      <x:c r="AD812" s="20" t="str"/>
      <x:c r="AE812" s="14" t="str"/>
      <x:c r="AF812" s="14" t="n">
        <x:v>22</x:v>
      </x:c>
      <x:c r="AG812" s="14" t="str">
        <x:v>I3</x:v>
      </x:c>
      <x:c r="AH812" s="14" t="n">
        <x:v>1</x:v>
      </x:c>
      <x:c r="AI812" s="14" t="n">
        <x:v>0</x:v>
      </x:c>
      <x:c r="AJ812" s="18" t="n">
        <x:v>24865</x:v>
      </x:c>
      <x:c r="AK812" s="14" t="str">
        <x:v>https://prozorro.gov.ua/tender/UA-2025-07-08-006713-a</x:v>
      </x:c>
      <x:c r="AL812" s="19" t="n">
        <x:v>45846.47080446759</x:v>
      </x:c>
      <x:c r="AM812" s="19" t="n">
        <x:v>46022.514560185184</x:v>
      </x:c>
      <x:c r="AN812" s="15" t="str">
        <x:v>Електромонтаж</x:v>
      </x:c>
      <x:c r="AO812" s="15" t="str">
        <x:v>not_found_in_top_search</x:v>
      </x:c>
    </x:row>
    <x:row r="813">
      <x:c r="A813" s="14" t="str">
        <x:v>W3-541</x:v>
      </x:c>
      <x:c r="B813" s="14" t="str">
        <x:v>Prozorro winners — 24.08</x:v>
      </x:c>
      <x:c r="C813" s="14" t="str">
        <x:v>ФОП Меркушева Анна Олександрівна</x:v>
      </x:c>
      <x:c r="D813" s="14" t="str">
        <x:v>HVAC / ОВіК</x:v>
      </x:c>
      <x:c r="E813" s="14" t="str">
        <x:v>Pilot now</x:v>
      </x:c>
      <x:c r="F813" s="17" t="str">
        <x:f>IF(E813="Pilot now",IF(P813&gt;=84,"P1",IF(P813&gt;=72,"P2","P3")),IF(E813="Expansion discovery",IF(Q813&gt;=88,"D1",IF(Q813&gt;=78,"D2","D3")),IF(E813="Later / requirements","L","Legacy")))</x:f>
        <x:v>P1</x:v>
      </x:c>
      <x:c r="G813" s="14" t="str"/>
      <x:c r="H813" s="14" t="str">
        <x:v>Пілот зараз — Н.14</x:v>
      </x:c>
      <x:c r="I813" s="16" t="n">
        <x:v>5</x:v>
      </x:c>
      <x:c r="J813" s="16" t="n">
        <x:v>5</x:v>
      </x:c>
      <x:c r="K813" s="16" t="n">
        <x:v>5</x:v>
      </x:c>
      <x:c r="L813" s="16" t="n">
        <x:v>1</x:v>
      </x:c>
      <x:c r="M813" s="16" t="n">
        <x:v>5</x:v>
      </x:c>
      <x:c r="N813" s="16" t="n">
        <x:v>3</x:v>
      </x:c>
      <x:c r="O813" s="16" t="n">
        <x:v>5</x:v>
      </x:c>
      <x:c r="P813" s="16" t="n">
        <x:f>IF(COUNT(I813:O813)&lt;7,"",I813*8+J813*3+K813*2+L813*2+M813*2+N813*2+O813)</x:f>
        <x:v>88</x:v>
      </x:c>
      <x:c r="Q813" s="16" t="n">
        <x:f>IF(COUNT(J813:O813)&lt;6,"",J813*5+K813*4+M813*4+L813*3+N813*2+O813*2)</x:f>
        <x:v>84</x:v>
      </x:c>
      <x:c r="R813" s="14" t="str">
        <x:v>high</x:v>
      </x:c>
      <x:c r="S813" s="14" t="str">
        <x:v>official_prozorro_award_2025_2026</x:v>
      </x:c>
      <x:c r="T813" s="14" t="str">
        <x:v>official_prozorro_api</x:v>
      </x:c>
      <x:c r="U813" s="14" t="str">
        <x:v>Не контактували</x:v>
      </x:c>
      <x:c r="V813" s="15" t="str">
        <x:v>Персоналізований free-pilot outreach по UA-2025-10-28-010075-a; попросити 1 пакет Н.14/Н.15</x:v>
      </x:c>
      <x:c r="W813" s="15" t="str">
        <x:v>Власник / виконавець; відповідальний за договір</x:v>
      </x:c>
      <x:c r="X813" s="15" t="str">
        <x:v>1 підтверджених перемог/договорів у Prozorro на 22 130 грн; 0 проєктів зі строком виконання не раніше 24.08.2026.</x:v>
      </x:c>
      <x:c r="Y813" s="15" t="str">
        <x:v>Закупівля послуг з монтажу системи опалення; строк до 2025-12-31. Попросити один знеособлений пакет здачі за цим workflow.</x:v>
      </x:c>
      <x:c r="Z813" s="15" t="str">
        <x:v>https://prozorro.gov.ua/tender/UA-2025-10-28-010075-a</x:v>
      </x:c>
      <x:c r="AA813" s="14" t="str">
        <x:v>3417005720</x:v>
      </x:c>
      <x:c r="AB813" s="14" t="str">
        <x:v>2026-08-24</x:v>
      </x:c>
      <x:c r="AC813" s="14" t="str"/>
      <x:c r="AD813" s="20" t="str"/>
      <x:c r="AE813" s="14" t="str"/>
      <x:c r="AF813" s="14" t="n">
        <x:v>22</x:v>
      </x:c>
      <x:c r="AG813" s="14" t="str">
        <x:v>I3</x:v>
      </x:c>
      <x:c r="AH813" s="14" t="n">
        <x:v>1</x:v>
      </x:c>
      <x:c r="AI813" s="14" t="n">
        <x:v>0</x:v>
      </x:c>
      <x:c r="AJ813" s="18" t="n">
        <x:v>22130</x:v>
      </x:c>
      <x:c r="AK813" s="14" t="str">
        <x:v>https://prozorro.gov.ua/tender/UA-2025-10-28-010075-a</x:v>
      </x:c>
      <x:c r="AL813" s="19" t="n">
        <x:v>45958.52176607639</x:v>
      </x:c>
      <x:c r="AM813" s="19" t="n">
        <x:v>46022.916666655095</x:v>
      </x:c>
      <x:c r="AN813" s="15" t="str">
        <x:v>HVAC / ОВіК</x:v>
      </x:c>
      <x:c r="AO813" s="15" t="str">
        <x:v>not_found_in_top_search</x:v>
      </x:c>
    </x:row>
    <x:row r="814">
      <x:c r="A814" s="14" t="str">
        <x:v>W3-542</x:v>
      </x:c>
      <x:c r="B814" s="14" t="str">
        <x:v>Prozorro winners — 24.08</x:v>
      </x:c>
      <x:c r="C814" s="14" t="str">
        <x:v>Фізична особа-підприємець БЄЛОНОГОВ ГЛІБ ВІКТОРОВИЧ</x:v>
      </x:c>
      <x:c r="D814" s="14" t="str">
        <x:v>Електромонтаж</x:v>
      </x:c>
      <x:c r="E814" s="14" t="str">
        <x:v>Pilot now</x:v>
      </x:c>
      <x:c r="F814" s="17" t="str">
        <x:f>IF(E814="Pilot now",IF(P814&gt;=84,"P1",IF(P814&gt;=72,"P2","P3")),IF(E814="Expansion discovery",IF(Q814&gt;=88,"D1",IF(Q814&gt;=78,"D2","D3")),IF(E814="Later / requirements","L","Legacy")))</x:f>
        <x:v>P1</x:v>
      </x:c>
      <x:c r="G814" s="14" t="str"/>
      <x:c r="H814" s="14" t="str">
        <x:v>Пілот зараз — Н.15</x:v>
      </x:c>
      <x:c r="I814" s="16" t="n">
        <x:v>5</x:v>
      </x:c>
      <x:c r="J814" s="16" t="n">
        <x:v>5</x:v>
      </x:c>
      <x:c r="K814" s="16" t="n">
        <x:v>5</x:v>
      </x:c>
      <x:c r="L814" s="16" t="n">
        <x:v>1</x:v>
      </x:c>
      <x:c r="M814" s="16" t="n">
        <x:v>5</x:v>
      </x:c>
      <x:c r="N814" s="16" t="n">
        <x:v>3</x:v>
      </x:c>
      <x:c r="O814" s="16" t="n">
        <x:v>5</x:v>
      </x:c>
      <x:c r="P814" s="16" t="n">
        <x:f>IF(COUNT(I814:O814)&lt;7,"",I814*8+J814*3+K814*2+L814*2+M814*2+N814*2+O814)</x:f>
        <x:v>88</x:v>
      </x:c>
      <x:c r="Q814" s="16" t="n">
        <x:f>IF(COUNT(J814:O814)&lt;6,"",J814*5+K814*4+M814*4+L814*3+N814*2+O814*2)</x:f>
        <x:v>84</x:v>
      </x:c>
      <x:c r="R814" s="14" t="str">
        <x:v>high</x:v>
      </x:c>
      <x:c r="S814" s="14" t="str">
        <x:v>official_prozorro_award_2025_2026</x:v>
      </x:c>
      <x:c r="T814" s="14" t="str">
        <x:v>official_prozorro_api</x:v>
      </x:c>
      <x:c r="U814" s="14" t="str">
        <x:v>Не контактували</x:v>
      </x:c>
      <x:c r="V814" s="15" t="str">
        <x:v>Персоналізований free-pilot outreach по UA-2025-12-18-002656-a; попросити 1 пакет Н.14/Н.15</x:v>
      </x:c>
      <x:c r="W814" s="15" t="str">
        <x:v>Власник / виконавець; відповідальний за договір</x:v>
      </x:c>
      <x:c r="X814" s="15" t="str">
        <x:v>1 підтверджених перемог/договорів у Prozorro на 20 650 грн; 0 проєктів зі строком виконання не раніше 24.08.2026.</x:v>
      </x:c>
      <x:c r="Y814" s="15" t="str">
        <x:v>Послуги з монтажу та налаштування електричного обладнання та електричної мережі, підключення генератора; строк до 2025-12-22. Попросити один знеособлений пакет здачі за цим workflow.</x:v>
      </x:c>
      <x:c r="Z814" s="15" t="str">
        <x:v>https://prozorro.gov.ua/tender/UA-2025-12-18-002656-a</x:v>
      </x:c>
      <x:c r="AA814" s="14" t="str">
        <x:v>2771206338</x:v>
      </x:c>
      <x:c r="AB814" s="14" t="str">
        <x:v>2026-08-24</x:v>
      </x:c>
      <x:c r="AC814" s="14" t="str"/>
      <x:c r="AD814" s="20" t="str"/>
      <x:c r="AE814" s="14" t="str"/>
      <x:c r="AF814" s="14" t="n">
        <x:v>22</x:v>
      </x:c>
      <x:c r="AG814" s="14" t="str">
        <x:v>I3</x:v>
      </x:c>
      <x:c r="AH814" s="14" t="n">
        <x:v>1</x:v>
      </x:c>
      <x:c r="AI814" s="14" t="n">
        <x:v>0</x:v>
      </x:c>
      <x:c r="AJ814" s="18" t="n">
        <x:v>20650</x:v>
      </x:c>
      <x:c r="AK814" s="14" t="str">
        <x:v>https://prozorro.gov.ua/tender/UA-2025-12-18-002656-a</x:v>
      </x:c>
      <x:c r="AL814" s="19" t="n">
        <x:v>46009.32575747685</x:v>
      </x:c>
      <x:c r="AM814" s="19" t="n">
        <x:v>46013</x:v>
      </x:c>
      <x:c r="AN814" s="15" t="str">
        <x:v>Електромонтаж</x:v>
      </x:c>
      <x:c r="AO814" s="15" t="str">
        <x:v>not_found_in_top_search</x:v>
      </x:c>
    </x:row>
    <x:row r="815">
      <x:c r="A815" s="14" t="str">
        <x:v>W3-543</x:v>
      </x:c>
      <x:c r="B815" s="14" t="str">
        <x:v>Prozorro winners — 24.08</x:v>
      </x:c>
      <x:c r="C815" s="14" t="str">
        <x:v>ШИМЧУК СЕРГІЙ ЄВСТАФІЙОВИЧ</x:v>
      </x:c>
      <x:c r="D815" s="14" t="str">
        <x:v>HVAC / ОВіК</x:v>
      </x:c>
      <x:c r="E815" s="14" t="str">
        <x:v>Pilot now</x:v>
      </x:c>
      <x:c r="F815" s="17" t="str">
        <x:f>IF(E815="Pilot now",IF(P815&gt;=84,"P1",IF(P815&gt;=72,"P2","P3")),IF(E815="Expansion discovery",IF(Q815&gt;=88,"D1",IF(Q815&gt;=78,"D2","D3")),IF(E815="Later / requirements","L","Legacy")))</x:f>
        <x:v>P1</x:v>
      </x:c>
      <x:c r="G815" s="14" t="str"/>
      <x:c r="H815" s="14" t="str">
        <x:v>Пілот зараз — Н.14</x:v>
      </x:c>
      <x:c r="I815" s="16" t="n">
        <x:v>5</x:v>
      </x:c>
      <x:c r="J815" s="16" t="n">
        <x:v>5</x:v>
      </x:c>
      <x:c r="K815" s="16" t="n">
        <x:v>5</x:v>
      </x:c>
      <x:c r="L815" s="16" t="n">
        <x:v>1</x:v>
      </x:c>
      <x:c r="M815" s="16" t="n">
        <x:v>5</x:v>
      </x:c>
      <x:c r="N815" s="16" t="n">
        <x:v>3</x:v>
      </x:c>
      <x:c r="O815" s="16" t="n">
        <x:v>5</x:v>
      </x:c>
      <x:c r="P815" s="16" t="n">
        <x:f>IF(COUNT(I815:O815)&lt;7,"",I815*8+J815*3+K815*2+L815*2+M815*2+N815*2+O815)</x:f>
        <x:v>88</x:v>
      </x:c>
      <x:c r="Q815" s="16" t="n">
        <x:f>IF(COUNT(J815:O815)&lt;6,"",J815*5+K815*4+M815*4+L815*3+N815*2+O815*2)</x:f>
        <x:v>84</x:v>
      </x:c>
      <x:c r="R815" s="14" t="str">
        <x:v>high</x:v>
      </x:c>
      <x:c r="S815" s="14" t="str">
        <x:v>official_prozorro_award_2025_2026</x:v>
      </x:c>
      <x:c r="T815" s="14" t="str">
        <x:v>official_prozorro_api</x:v>
      </x:c>
      <x:c r="U815" s="14" t="str">
        <x:v>Не контактували</x:v>
      </x:c>
      <x:c r="V815" s="15" t="str">
        <x:v>Персоналізований free-pilot outreach по UA-2025-12-22-008729-a; попросити 1 пакет Н.14/Н.15</x:v>
      </x:c>
      <x:c r="W815" s="15" t="str">
        <x:v>Власник / виконавець; відповідальний за договір</x:v>
      </x:c>
      <x:c r="X815" s="15" t="str">
        <x:v>1 підтверджених перемог/договорів у Prozorro на 18 100 грн; 0 проєктів зі строком виконання не раніше 24.08.2026.</x:v>
      </x:c>
      <x:c r="Y815" s="15" t="str">
        <x:v>Послуги по монтажу системи опалення та кондиціонування; строк до 2025-12-26. Попросити один знеособлений пакет здачі за цим workflow.</x:v>
      </x:c>
      <x:c r="Z815" s="15" t="str">
        <x:v>https://prozorro.gov.ua/tender/UA-2025-12-22-008729-a</x:v>
      </x:c>
      <x:c r="AA815" s="14" t="str">
        <x:v>2389802056</x:v>
      </x:c>
      <x:c r="AB815" s="14" t="str">
        <x:v>2026-08-24</x:v>
      </x:c>
      <x:c r="AC815" s="14" t="str"/>
      <x:c r="AD815" s="20" t="str"/>
      <x:c r="AE815" s="14" t="str"/>
      <x:c r="AF815" s="14" t="n">
        <x:v>22</x:v>
      </x:c>
      <x:c r="AG815" s="14" t="str">
        <x:v>I3</x:v>
      </x:c>
      <x:c r="AH815" s="14" t="n">
        <x:v>1</x:v>
      </x:c>
      <x:c r="AI815" s="14" t="n">
        <x:v>0</x:v>
      </x:c>
      <x:c r="AJ815" s="18" t="n">
        <x:v>18100</x:v>
      </x:c>
      <x:c r="AK815" s="14" t="str">
        <x:v>https://prozorro.gov.ua/tender/UA-2025-12-22-008729-a</x:v>
      </x:c>
      <x:c r="AL815" s="19" t="n">
        <x:v>46013.436637280094</x:v>
      </x:c>
      <x:c r="AM815" s="19" t="n">
        <x:v>46017</x:v>
      </x:c>
      <x:c r="AN815" s="15" t="str">
        <x:v>HVAC / ОВіК</x:v>
      </x:c>
      <x:c r="AO815" s="15" t="str">
        <x:v>not_found_in_top_search</x:v>
      </x:c>
    </x:row>
    <x:row r="816">
      <x:c r="A816" s="14" t="str">
        <x:v>W3-544</x:v>
      </x:c>
      <x:c r="B816" s="14" t="str">
        <x:v>Prozorro winners — 24.08</x:v>
      </x:c>
      <x:c r="C816" s="14" t="str">
        <x:v>Тимків Володимир Ярославович</x:v>
      </x:c>
      <x:c r="D816" s="14" t="str">
        <x:v>HVAC / ОВіК</x:v>
      </x:c>
      <x:c r="E816" s="14" t="str">
        <x:v>Pilot now</x:v>
      </x:c>
      <x:c r="F816" s="17" t="str">
        <x:f>IF(E816="Pilot now",IF(P816&gt;=84,"P1",IF(P816&gt;=72,"P2","P3")),IF(E816="Expansion discovery",IF(Q816&gt;=88,"D1",IF(Q816&gt;=78,"D2","D3")),IF(E816="Later / requirements","L","Legacy")))</x:f>
        <x:v>P1</x:v>
      </x:c>
      <x:c r="G816" s="14" t="str"/>
      <x:c r="H816" s="14" t="str">
        <x:v>Пілот зараз — Н.14</x:v>
      </x:c>
      <x:c r="I816" s="16" t="n">
        <x:v>5</x:v>
      </x:c>
      <x:c r="J816" s="16" t="n">
        <x:v>5</x:v>
      </x:c>
      <x:c r="K816" s="16" t="n">
        <x:v>5</x:v>
      </x:c>
      <x:c r="L816" s="16" t="n">
        <x:v>1</x:v>
      </x:c>
      <x:c r="M816" s="16" t="n">
        <x:v>5</x:v>
      </x:c>
      <x:c r="N816" s="16" t="n">
        <x:v>3</x:v>
      </x:c>
      <x:c r="O816" s="16" t="n">
        <x:v>5</x:v>
      </x:c>
      <x:c r="P816" s="16" t="n">
        <x:f>IF(COUNT(I816:O816)&lt;7,"",I816*8+J816*3+K816*2+L816*2+M816*2+N816*2+O816)</x:f>
        <x:v>88</x:v>
      </x:c>
      <x:c r="Q816" s="16" t="n">
        <x:f>IF(COUNT(J816:O816)&lt;6,"",J816*5+K816*4+M816*4+L816*3+N816*2+O816*2)</x:f>
        <x:v>84</x:v>
      </x:c>
      <x:c r="R816" s="14" t="str">
        <x:v>high</x:v>
      </x:c>
      <x:c r="S816" s="14" t="str">
        <x:v>official_prozorro_award_2025_2026</x:v>
      </x:c>
      <x:c r="T816" s="14" t="str">
        <x:v>official_prozorro_api</x:v>
      </x:c>
      <x:c r="U816" s="14" t="str">
        <x:v>Не контактували</x:v>
      </x:c>
      <x:c r="V816" s="15" t="str">
        <x:v>Персоналізований free-pilot outreach по UA-2025-12-18-013725-a; попросити 1 пакет Н.14/Н.15</x:v>
      </x:c>
      <x:c r="W816" s="15" t="str">
        <x:v>Власник / виконавець; відповідальний за договір</x:v>
      </x:c>
      <x:c r="X816" s="15" t="str">
        <x:v>1 підтверджених перемог/договорів у Prozorro на 10 570 грн; 0 проєктів зі строком виконання не раніше 24.08.2026.</x:v>
      </x:c>
      <x:c r="Y816" s="15" t="str">
        <x:v>Монтаж системи вентиляції; строк до 2025-12-31. Попросити один знеособлений пакет здачі за цим workflow.</x:v>
      </x:c>
      <x:c r="Z816" s="15" t="str">
        <x:v>https://prozorro.gov.ua/tender/UA-2025-12-18-013725-a</x:v>
      </x:c>
      <x:c r="AA816" s="14" t="str">
        <x:v>3060706854</x:v>
      </x:c>
      <x:c r="AB816" s="14" t="str">
        <x:v>2026-08-24</x:v>
      </x:c>
      <x:c r="AC816" s="14" t="str"/>
      <x:c r="AD816" s="20" t="str"/>
      <x:c r="AE816" s="14" t="str"/>
      <x:c r="AF816" s="14" t="n">
        <x:v>22</x:v>
      </x:c>
      <x:c r="AG816" s="14" t="str">
        <x:v>I3</x:v>
      </x:c>
      <x:c r="AH816" s="14" t="n">
        <x:v>1</x:v>
      </x:c>
      <x:c r="AI816" s="14" t="n">
        <x:v>0</x:v>
      </x:c>
      <x:c r="AJ816" s="18" t="n">
        <x:v>10570</x:v>
      </x:c>
      <x:c r="AK816" s="14" t="str">
        <x:v>https://prozorro.gov.ua/tender/UA-2025-12-18-013725-a</x:v>
      </x:c>
      <x:c r="AL816" s="19" t="n">
        <x:v>46009.506276712964</x:v>
      </x:c>
      <x:c r="AM816" s="19" t="n">
        <x:v>46022</x:v>
      </x:c>
      <x:c r="AN816" s="15" t="str">
        <x:v>HVAC / ОВіК</x:v>
      </x:c>
      <x:c r="AO816" s="15" t="str">
        <x:v>not_found_in_top_search</x:v>
      </x:c>
    </x:row>
    <x:row r="817">
      <x:c r="A817" s="14" t="str">
        <x:v>W3-545</x:v>
      </x:c>
      <x:c r="B817" s="14" t="str">
        <x:v>Prozorro winners — 24.08</x:v>
      </x:c>
      <x:c r="C817" s="14" t="str">
        <x:v>ФОП Напаснюк Інна Валеріївна</x:v>
      </x:c>
      <x:c r="D817" s="14" t="str">
        <x:v>Резервне живлення</x:v>
      </x:c>
      <x:c r="E817" s="14" t="str">
        <x:v>Expansion discovery</x:v>
      </x:c>
      <x:c r="F817" s="17" t="str">
        <x:f>IF(E817="Pilot now",IF(P817&gt;=84,"P1",IF(P817&gt;=72,"P2","P3")),IF(E817="Expansion discovery",IF(Q817&gt;=88,"D1",IF(Q817&gt;=78,"D2","D3")),IF(E817="Later / requirements","L","Legacy")))</x:f>
        <x:v>D2</x:v>
      </x:c>
      <x:c r="G817" s="14" t="str"/>
      <x:c r="H817" s="14" t="str">
        <x:v>Discovery розширення — 2 тижні</x:v>
      </x:c>
      <x:c r="I817" s="16" t="n">
        <x:v>1</x:v>
      </x:c>
      <x:c r="J817" s="16" t="n">
        <x:v>5</x:v>
      </x:c>
      <x:c r="K817" s="16" t="n">
        <x:v>4</x:v>
      </x:c>
      <x:c r="L817" s="16" t="n">
        <x:v>1</x:v>
      </x:c>
      <x:c r="M817" s="16" t="n">
        <x:v>5</x:v>
      </x:c>
      <x:c r="N817" s="16" t="n">
        <x:v>3</x:v>
      </x:c>
      <x:c r="O817" s="16" t="n">
        <x:v>5</x:v>
      </x:c>
      <x:c r="P817" s="16" t="n">
        <x:f>IF(COUNT(I817:O817)&lt;7,"",I817*8+J817*3+K817*2+L817*2+M817*2+N817*2+O817)</x:f>
        <x:v>54</x:v>
      </x:c>
      <x:c r="Q817" s="16" t="n">
        <x:f>IF(COUNT(J817:O817)&lt;6,"",J817*5+K817*4+M817*4+L817*3+N817*2+O817*2)</x:f>
        <x:v>80</x:v>
      </x:c>
      <x:c r="R817" s="14" t="str">
        <x:v>high</x:v>
      </x:c>
      <x:c r="S817" s="14" t="str">
        <x:v>official_prozorro_award_2025_2026</x:v>
      </x:c>
      <x:c r="T817" s="14" t="str">
        <x:v>official_prozorro_api</x:v>
      </x:c>
      <x:c r="U817" s="14" t="str">
        <x:v>Не контактували</x:v>
      </x:c>
      <x:c r="V817" s="15" t="str">
        <x:v>Workflow-audit outreach по UA-2025-12-18-024456-a; попросити 1 пакет здачі та вимоги проєкту</x:v>
      </x:c>
      <x:c r="W817" s="15" t="str">
        <x:v>Власник / виконавець; відповідальний за договір</x:v>
      </x:c>
      <x:c r="X817" s="15" t="str">
        <x:v>1 підтверджених перемог/договорів у Prozorro на 8 900 грн; 0 проєктів зі строком виконання не раніше 24.08.2026.</x:v>
      </x:c>
      <x:c r="Y817" s="15" t="str">
        <x:v>Послуги з ремонту, монтажу та вдосконалення системи відеоспостереження, технічного обслуговування мережі internet та впровадження безперебійного живлення точки доступу мережі internet; строк до 2025-12-30. Попросити один знеособлений пакет здачі за цим workflow.</x:v>
      </x:c>
      <x:c r="Z817" s="15" t="str">
        <x:v>https://prozorro.gov.ua/tender/UA-2025-12-18-024456-a</x:v>
      </x:c>
      <x:c r="AA817" s="14" t="str">
        <x:v>2855817427</x:v>
      </x:c>
      <x:c r="AB817" s="14" t="str">
        <x:v>2026-08-24</x:v>
      </x:c>
      <x:c r="AC817" s="14" t="str"/>
      <x:c r="AD817" s="20" t="str"/>
      <x:c r="AE817" s="14" t="str"/>
      <x:c r="AF817" s="14" t="n">
        <x:v>22</x:v>
      </x:c>
      <x:c r="AG817" s="14" t="str">
        <x:v>I3</x:v>
      </x:c>
      <x:c r="AH817" s="14" t="n">
        <x:v>1</x:v>
      </x:c>
      <x:c r="AI817" s="14" t="n">
        <x:v>0</x:v>
      </x:c>
      <x:c r="AJ817" s="18" t="n">
        <x:v>8900</x:v>
      </x:c>
      <x:c r="AK817" s="14" t="str">
        <x:v>https://prozorro.gov.ua/tender/UA-2025-12-18-024456-a</x:v>
      </x:c>
      <x:c r="AL817" s="19" t="n">
        <x:v>46009.690366967596</x:v>
      </x:c>
      <x:c r="AM817" s="19" t="n">
        <x:v>46021.69065972222</x:v>
      </x:c>
      <x:c r="AN817" s="15" t="str">
        <x:v>Резервне живлення</x:v>
      </x:c>
      <x:c r="AO817" s="15" t="str">
        <x:v>not_found_in_top_search</x:v>
      </x:c>
    </x:row>
    <x:row r="818">
      <x:c r="A818" s="14" t="str">
        <x:v>W3-546</x:v>
      </x:c>
      <x:c r="B818" s="14" t="str">
        <x:v>Prozorro winners — 24.08</x:v>
      </x:c>
      <x:c r="C818" s="14" t="str">
        <x:v>Сердюк Олексій Григорович</x:v>
      </x:c>
      <x:c r="D818" s="14" t="str">
        <x:v>Електромонтаж</x:v>
      </x:c>
      <x:c r="E818" s="14" t="str">
        <x:v>Pilot now</x:v>
      </x:c>
      <x:c r="F818" s="17" t="str">
        <x:f>IF(E818="Pilot now",IF(P818&gt;=84,"P1",IF(P818&gt;=72,"P2","P3")),IF(E818="Expansion discovery",IF(Q818&gt;=88,"D1",IF(Q818&gt;=78,"D2","D3")),IF(E818="Later / requirements","L","Legacy")))</x:f>
        <x:v>P1</x:v>
      </x:c>
      <x:c r="G818" s="14" t="str"/>
      <x:c r="H818" s="14" t="str">
        <x:v>Пілот зараз — Н.15</x:v>
      </x:c>
      <x:c r="I818" s="16" t="n">
        <x:v>5</x:v>
      </x:c>
      <x:c r="J818" s="16" t="n">
        <x:v>5</x:v>
      </x:c>
      <x:c r="K818" s="16" t="n">
        <x:v>5</x:v>
      </x:c>
      <x:c r="L818" s="16" t="n">
        <x:v>1</x:v>
      </x:c>
      <x:c r="M818" s="16" t="n">
        <x:v>5</x:v>
      </x:c>
      <x:c r="N818" s="16" t="n">
        <x:v>3</x:v>
      </x:c>
      <x:c r="O818" s="16" t="n">
        <x:v>5</x:v>
      </x:c>
      <x:c r="P818" s="16" t="n">
        <x:f>IF(COUNT(I818:O818)&lt;7,"",I818*8+J818*3+K818*2+L818*2+M818*2+N818*2+O818)</x:f>
        <x:v>88</x:v>
      </x:c>
      <x:c r="Q818" s="16" t="n">
        <x:f>IF(COUNT(J818:O818)&lt;6,"",J818*5+K818*4+M818*4+L818*3+N818*2+O818*2)</x:f>
        <x:v>84</x:v>
      </x:c>
      <x:c r="R818" s="14" t="str">
        <x:v>high</x:v>
      </x:c>
      <x:c r="S818" s="14" t="str">
        <x:v>official_prozorro_award_2025_2026</x:v>
      </x:c>
      <x:c r="T818" s="14" t="str">
        <x:v>official_prozorro_api</x:v>
      </x:c>
      <x:c r="U818" s="14" t="str">
        <x:v>Не контактували</x:v>
      </x:c>
      <x:c r="V818" s="15" t="str">
        <x:v>Персоналізований free-pilot outreach по UA-2025-10-08-008132-a; попросити 1 пакет Н.14/Н.15</x:v>
      </x:c>
      <x:c r="W818" s="15" t="str">
        <x:v>Власник / виконавець; відповідальний за договір</x:v>
      </x:c>
      <x:c r="X818" s="15" t="str">
        <x:v>1 підтверджених перемог/договорів у Prozorro на 5 000 грн; 0 проєктів зі строком виконання не раніше 24.08.2026.</x:v>
      </x:c>
      <x:c r="Y818" s="15" t="str">
        <x:v>Послуги технічного обслуговування електричного устаткування будівель (перевірка системи заземлення, електровимірювальні роботи та виготовлення технічної документації); строк до 2025-12-31. Попросити один знеособлений пакет здачі за цим workflow.</x:v>
      </x:c>
      <x:c r="Z818" s="15" t="str">
        <x:v>https://prozorro.gov.ua/tender/UA-2025-10-08-008132-a</x:v>
      </x:c>
      <x:c r="AA818" s="14" t="str">
        <x:v>2963012655</x:v>
      </x:c>
      <x:c r="AB818" s="14" t="str">
        <x:v>2026-08-24</x:v>
      </x:c>
      <x:c r="AC818" s="14" t="str"/>
      <x:c r="AD818" s="20" t="str"/>
      <x:c r="AE818" s="14" t="str"/>
      <x:c r="AF818" s="14" t="n">
        <x:v>22</x:v>
      </x:c>
      <x:c r="AG818" s="14" t="str">
        <x:v>I3</x:v>
      </x:c>
      <x:c r="AH818" s="14" t="n">
        <x:v>1</x:v>
      </x:c>
      <x:c r="AI818" s="14" t="n">
        <x:v>0</x:v>
      </x:c>
      <x:c r="AJ818" s="18" t="n">
        <x:v>5000.4</x:v>
      </x:c>
      <x:c r="AK818" s="14" t="str">
        <x:v>https://prozorro.gov.ua/tender/UA-2025-10-08-008132-a</x:v>
      </x:c>
      <x:c r="AL818" s="19" t="n">
        <x:v>45938.455317962966</x:v>
      </x:c>
      <x:c r="AM818" s="19" t="n">
        <x:v>46022</x:v>
      </x:c>
      <x:c r="AN818" s="15" t="str">
        <x:v>Електромонтаж</x:v>
      </x:c>
      <x:c r="AO818" s="15" t="str">
        <x:v>not_found_in_top_search</x:v>
      </x:c>
    </x:row>
    <x:row r="819">
      <x:c r="A819" s="14" t="str">
        <x:v>W3-547</x:v>
      </x:c>
      <x:c r="B819" s="14" t="str">
        <x:v>Prozorro winners — 24.08</x:v>
      </x:c>
      <x:c r="C819" s="14" t="str">
        <x:v>ФОП Кривов'яз Олександр Михайлович</x:v>
      </x:c>
      <x:c r="D819" s="14" t="str">
        <x:v>Електромонтаж</x:v>
      </x:c>
      <x:c r="E819" s="14" t="str">
        <x:v>Pilot now</x:v>
      </x:c>
      <x:c r="F819" s="17" t="str">
        <x:f>IF(E819="Pilot now",IF(P819&gt;=84,"P1",IF(P819&gt;=72,"P2","P3")),IF(E819="Expansion discovery",IF(Q819&gt;=88,"D1",IF(Q819&gt;=78,"D2","D3")),IF(E819="Later / requirements","L","Legacy")))</x:f>
        <x:v>P1</x:v>
      </x:c>
      <x:c r="G819" s="14" t="str"/>
      <x:c r="H819" s="14" t="str">
        <x:v>Пілот зараз — Н.15</x:v>
      </x:c>
      <x:c r="I819" s="16" t="n">
        <x:v>5</x:v>
      </x:c>
      <x:c r="J819" s="16" t="n">
        <x:v>5</x:v>
      </x:c>
      <x:c r="K819" s="16" t="n">
        <x:v>5</x:v>
      </x:c>
      <x:c r="L819" s="16" t="n">
        <x:v>1</x:v>
      </x:c>
      <x:c r="M819" s="16" t="n">
        <x:v>5</x:v>
      </x:c>
      <x:c r="N819" s="16" t="n">
        <x:v>3</x:v>
      </x:c>
      <x:c r="O819" s="16" t="n">
        <x:v>5</x:v>
      </x:c>
      <x:c r="P819" s="16" t="n">
        <x:f>IF(COUNT(I819:O819)&lt;7,"",I819*8+J819*3+K819*2+L819*2+M819*2+N819*2+O819)</x:f>
        <x:v>88</x:v>
      </x:c>
      <x:c r="Q819" s="16" t="n">
        <x:f>IF(COUNT(J819:O819)&lt;6,"",J819*5+K819*4+M819*4+L819*3+N819*2+O819*2)</x:f>
        <x:v>84</x:v>
      </x:c>
      <x:c r="R819" s="14" t="str">
        <x:v>high</x:v>
      </x:c>
      <x:c r="S819" s="14" t="str">
        <x:v>official_prozorro_award_2025_2026</x:v>
      </x:c>
      <x:c r="T819" s="14" t="str">
        <x:v>official_prozorro_api</x:v>
      </x:c>
      <x:c r="U819" s="14" t="str">
        <x:v>Не контактували</x:v>
      </x:c>
      <x:c r="V819" s="15" t="str">
        <x:v>Персоналізований free-pilot outreach по UA-2025-10-03-002607-a; попросити 1 пакет Н.14/Н.15</x:v>
      </x:c>
      <x:c r="W819" s="15" t="str">
        <x:v>Власник / виконавець; відповідальний за договір</x:v>
      </x:c>
      <x:c r="X819" s="15" t="str">
        <x:v>1 підтверджених перемог/договорів у Prozorro на 2 400 грн; 0 проєктів зі строком виконання не раніше 24.08.2026.</x:v>
      </x:c>
      <x:c r="Y819" s="15" t="str">
        <x:v>Проведення електровимірювальних робіт (вимір опору ізоляції, опору перехідних контактів, заземлення, вимір повного опору петлі "фаза-нуль") на об'єкті: приміщення котельні КЗ "Ржищівська публічна біблоітека" за адресою: м. Ржищів, Київська область, вул. Соборна,8; строк до 2025-12-31. Попросити один знеособлений пакет здачі за цим workflow.</x:v>
      </x:c>
      <x:c r="Z819" s="15" t="str">
        <x:v>https://prozorro.gov.ua/tender/UA-2025-10-03-002607-a</x:v>
      </x:c>
      <x:c r="AA819" s="14" t="str">
        <x:v>2312507773</x:v>
      </x:c>
      <x:c r="AB819" s="14" t="str">
        <x:v>2026-08-24</x:v>
      </x:c>
      <x:c r="AC819" s="14" t="str"/>
      <x:c r="AD819" s="20" t="str"/>
      <x:c r="AE819" s="14" t="str"/>
      <x:c r="AF819" s="14" t="n">
        <x:v>22</x:v>
      </x:c>
      <x:c r="AG819" s="14" t="str">
        <x:v>I3</x:v>
      </x:c>
      <x:c r="AH819" s="14" t="n">
        <x:v>1</x:v>
      </x:c>
      <x:c r="AI819" s="14" t="n">
        <x:v>0</x:v>
      </x:c>
      <x:c r="AJ819" s="18" t="n">
        <x:v>2400</x:v>
      </x:c>
      <x:c r="AK819" s="14" t="str">
        <x:v>https://prozorro.gov.ua/tender/UA-2025-10-03-002607-a</x:v>
      </x:c>
      <x:c r="AL819" s="19" t="n">
        <x:v>45933.31513700231</x:v>
      </x:c>
      <x:c r="AM819" s="19" t="n">
        <x:v>46022.916666655095</x:v>
      </x:c>
      <x:c r="AN819" s="15" t="str">
        <x:v>Електромонтаж</x:v>
      </x:c>
      <x:c r="AO819" s="15" t="str">
        <x:v>not_found_in_top_search</x:v>
      </x:c>
    </x:row>
  </x:sheetData>
  <x:mergeCells>
    <x:mergeCell ref="A1:AO1"/>
    <x:mergeCell ref="A2:AO2"/>
    <x:mergeCell ref="A3:AO3"/>
  </x:mergeCells>
  <x:conditionalFormatting sqref="F5:F819">
    <x:cfRule type="beginsWith" dxfId="0" priority="1" operator="beginsWith" text="P"/>
    <x:cfRule type="beginsWith" dxfId="1" priority="2" operator="beginsWith" text="D"/>
    <x:cfRule type="containsText" dxfId="2" priority="3" operator="containsText" text="L"/>
  </x:conditionalFormatting>
  <x:conditionalFormatting sqref="P5:Q819">
    <x:cfRule type="colorScale" priority="4">
      <x:colorScale>
        <x:cfvo type="min"/>
        <x:cfvo type="percentile" val="50"/>
        <x:cfvo type="max"/>
        <x:color rgb="FFFDECEC"/>
        <x:color rgb="FFFFF4D6"/>
        <x:color rgb="FFE9F7ED"/>
      </x:colorScale>
    </x:cfRule>
  </x:conditionalFormatting>
  <x:conditionalFormatting sqref="R5:R819">
    <x:cfRule type="containsText" dxfId="3" priority="5" operator="containsText" text="high"/>
    <x:cfRule type="containsText" dxfId="4" priority="6" operator="containsText" text="low"/>
  </x:conditionalFormatting>
  <x:conditionalFormatting sqref="AF5:AF819">
    <x:cfRule type="colorScale" priority="7">
      <x:colorScale>
        <x:cfvo type="min"/>
        <x:cfvo type="percentile" val="50"/>
        <x:cfvo type="max"/>
        <x:color rgb="FFF3F4F6"/>
        <x:color rgb="FFFFF4D6"/>
        <x:color rgb="FFE9F7ED"/>
      </x:colorScale>
    </x:cfRule>
  </x:conditionalFormatting>
  <x:conditionalFormatting sqref="AG5:AG819">
    <x:cfRule type="containsText" dxfId="5" priority="8" operator="containsText" text="I1"/>
    <x:cfRule type="containsText" dxfId="6" priority="9" operator="containsText" text="I2"/>
  </x:conditionalFormatting>
  <x:dataValidations count="1">
    <x:dataValidation type="list" sqref="U5:U819">
      <x:formula1>"Новий — не контактували,Потрібна повторна перевірка,Надіслано 28.07 — follow-up,Відповів,Кваліфікаційна розмова,Артефакт отримано,Пілот запропоновано,Пілот погоджено,Не зараз,Не fit"</x:formula1>
    </x:dataValidation>
  </x:dataValidations>
  <x:pageMargins left="0.7" right="0.7" top="0.75" bottom="0.75" header="0.3" footer="0.3"/>
  <x:tableParts count="1">
    <x:tablePart xmlns:r="http://schemas.openxmlformats.org/officeDocument/2006/relationships" r:id="Rc0ccace65535469c"/>
  </x:tableParts>
</x:worksheet>
</file>

<file path=xl/worksheets/sheet3.xml><?xml version="1.0" encoding="utf-8"?>
<x:worksheet xmlns:x="http://schemas.openxmlformats.org/spreadsheetml/2006/main">
  <x:sheetFormatPr defaultRowHeight="15"/>
  <x:cols>
    <x:col min="1" max="1" width="8" hidden="0" customWidth="1"/>
    <x:col min="2" max="2" width="34" hidden="0" customWidth="1"/>
    <x:col min="3" max="3" width="13" hidden="0" customWidth="1"/>
    <x:col min="4" max="4" width="28" hidden="0" customWidth="1"/>
    <x:col min="5" max="5" width="20" hidden="0" customWidth="1"/>
    <x:col min="6" max="6" width="10" hidden="0" customWidth="1"/>
    <x:col min="7" max="7" width="9" hidden="0" customWidth="1"/>
    <x:col min="8" max="8" width="9" hidden="0" customWidth="1"/>
    <x:col min="9" max="9" width="11" hidden="0" customWidth="1"/>
    <x:col min="10" max="10" width="18" hidden="0" customWidth="1"/>
    <x:col min="11" max="11" width="14" hidden="0" customWidth="1"/>
    <x:col min="12" max="12" width="14" hidden="0" customWidth="1"/>
    <x:col min="13" max="13" width="56" hidden="0" customWidth="1"/>
    <x:col min="14" max="14" width="40" hidden="0" customWidth="1"/>
  </x:cols>
  <x:sheetData>
    <x:row r="1" ht="34" customHeight="1">
      <x:c r="A1" s="3" t="str">
        <x:v>Tender-proven shortlist — 549 компаній</x:v>
      </x:c>
      <x:c r="B1" s="3"/>
      <x:c r="C1" s="3"/>
      <x:c r="D1" s="3"/>
      <x:c r="E1" s="3"/>
      <x:c r="F1" s="3"/>
      <x:c r="G1" s="3"/>
      <x:c r="H1" s="3"/>
      <x:c r="I1" s="3"/>
      <x:c r="J1" s="3"/>
      <x:c r="K1" s="3"/>
      <x:c r="L1" s="3"/>
      <x:c r="M1" s="3"/>
      <x:c r="N1" s="3"/>
    </x:row>
    <x:row r="2" ht="22" customHeight="1">
      <x:c r="A2" s="5" t="str">
        <x:v>547 нових компаній після дедуплікації • 400 зі строком виконання не раніше 24.08.2026 • офіційні дані Prozorro</x:v>
      </x:c>
      <x:c r="B2" s="5"/>
      <x:c r="C2" s="5"/>
      <x:c r="D2" s="5"/>
      <x:c r="E2" s="5"/>
      <x:c r="F2" s="5"/>
      <x:c r="G2" s="5"/>
      <x:c r="H2" s="5"/>
      <x:c r="I2" s="5"/>
      <x:c r="J2" s="5"/>
      <x:c r="K2" s="5"/>
      <x:c r="L2" s="5"/>
      <x:c r="M2" s="5"/>
      <x:c r="N2" s="5"/>
    </x:row>
    <x:row r="3">
      <x:c r="A3" s="8" t="str">
        <x:v>Сортування: Intent score → кількість поточних проєктів. Сума перемог використовується лише для пріоритизації: у спільних закупівлях одна сума може бути приписана кільком постачальникам.</x:v>
      </x:c>
      <x:c r="B3" s="8"/>
      <x:c r="C3" s="8"/>
      <x:c r="D3" s="8"/>
      <x:c r="E3" s="8"/>
      <x:c r="F3" s="8"/>
      <x:c r="G3" s="8"/>
      <x:c r="H3" s="8"/>
      <x:c r="I3" s="8"/>
      <x:c r="J3" s="8"/>
      <x:c r="K3" s="8"/>
      <x:c r="L3" s="8"/>
      <x:c r="M3" s="8"/>
      <x:c r="N3" s="8"/>
    </x:row>
    <x:row r="4">
      <x:c r="A4" s="12" t="str">
        <x:v>Ранг</x:v>
      </x:c>
      <x:c r="B4" s="12" t="str">
        <x:v>Компанія</x:v>
      </x:c>
      <x:c r="C4" s="12" t="str">
        <x:v>ЄДРПОУ</x:v>
      </x:c>
      <x:c r="D4" s="12" t="str">
        <x:v>Сегмент</x:v>
      </x:c>
      <x:c r="E4" s="12" t="str">
        <x:v>Lane</x:v>
      </x:c>
      <x:c r="F4" s="12" t="str">
        <x:v>Intent</x:v>
      </x:c>
      <x:c r="G4" s="12" t="str">
        <x:v>Score</x:v>
      </x:c>
      <x:c r="H4" s="12" t="str">
        <x:v>Тендерів</x:v>
      </x:c>
      <x:c r="I4" s="12" t="str">
        <x:v>Поточних</x:v>
      </x:c>
      <x:c r="J4" s="12" t="str">
        <x:v>Сума перемог, грн</x:v>
      </x:c>
      <x:c r="K4" s="12" t="str">
        <x:v>Дата перемоги</x:v>
      </x:c>
      <x:c r="L4" s="12" t="str">
        <x:v>Строк виконання</x:v>
      </x:c>
      <x:c r="M4" s="12" t="str">
        <x:v>Останній тендер</x:v>
      </x:c>
      <x:c r="N4" s="12" t="str">
        <x:v>URL тендера</x:v>
      </x:c>
    </x:row>
    <x:row r="5">
      <x:c r="A5" s="14" t="n">
        <x:v>1</x:v>
      </x:c>
      <x:c r="B5" s="14" t="str">
        <x:v>ТОВАРИСТВО З ОБМЕЖЕНОЮ ВІДПОВІДАЛЬНІСТЮ "АВТО-М"</x:v>
      </x:c>
      <x:c r="C5" s="14" t="str">
        <x:v>31575976</x:v>
      </x:c>
      <x:c r="D5" s="14" t="str">
        <x:v>ГНБ / безтраншейні роботи</x:v>
      </x:c>
      <x:c r="E5" s="14" t="str">
        <x:v>Expansion discovery</x:v>
      </x:c>
      <x:c r="F5" s="14" t="str">
        <x:v>I1</x:v>
      </x:c>
      <x:c r="G5" s="14" t="n">
        <x:v>96</x:v>
      </x:c>
      <x:c r="H5" s="14" t="n">
        <x:v>5</x:v>
      </x:c>
      <x:c r="I5" s="14" t="n">
        <x:v>5</x:v>
      </x:c>
      <x:c r="J5" s="18" t="n">
        <x:v>29630740.7</x:v>
      </x:c>
      <x:c r="K5" s="19" t="n">
        <x:v>46239.296201655096</x:v>
      </x:c>
      <x:c r="L5" s="19" t="n">
        <x:v>46752</x:v>
      </x:c>
      <x:c r="M5" s="15" t="str">
        <x:v>26П-299_45230000-8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(ЛОТ №1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Харківської, Полтавської та Дніпропетровської областей)); (ЛОТ №2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Львівської та Івано-Франківської областей))</x:v>
      </x:c>
      <x:c r="N5" s="15" t="str">
        <x:v>https://prozorro.gov.ua/tender/UA-2026-07-01-004063-a</x:v>
      </x:c>
    </x:row>
    <x:row r="6">
      <x:c r="A6" s="14" t="n">
        <x:v>2</x:v>
      </x:c>
      <x:c r="B6" s="14" t="str">
        <x:v>ТОВАРИСТВО З ОБМЕЖЕНОЮ ВІДПОВІДАЛЬНІСТЮ "ХАРБОР ЕНЕРДЖИ"</x:v>
      </x:c>
      <x:c r="C6" s="14" t="str">
        <x:v>41705516</x:v>
      </x:c>
      <x:c r="D6" s="14" t="str">
        <x:v>Теплові мережі</x:v>
      </x:c>
      <x:c r="E6" s="14" t="str">
        <x:v>Expansion discovery</x:v>
      </x:c>
      <x:c r="F6" s="14" t="str">
        <x:v>I1</x:v>
      </x:c>
      <x:c r="G6" s="14" t="n">
        <x:v>93</x:v>
      </x:c>
      <x:c r="H6" s="14" t="n">
        <x:v>14</x:v>
      </x:c>
      <x:c r="I6" s="14" t="n">
        <x:v>14</x:v>
      </x:c>
      <x:c r="J6" s="18" t="n">
        <x:v>230882039.99</x:v>
      </x:c>
      <x:c r="K6" s="19" t="n">
        <x:v>46244.620553125</x:v>
      </x:c>
      <x:c r="L6" s="19" t="n">
        <x:v>46326</x:v>
      </x:c>
      <x:c r="M6" s="15" t="str">
        <x:v>Реконструкція теплових мереж зі встановленням резервного теплогенеруючого обладнання (блочно-модульної котельні) біля існуючого центрального теплового пункту у місті Суми по вул. *****</x:v>
      </x:c>
      <x:c r="N6" s="15" t="str">
        <x:v>https://prozorro.gov.ua/tender/UA-2026-08-10-011447-a</x:v>
      </x:c>
    </x:row>
    <x:row r="7">
      <x:c r="A7" s="14" t="n">
        <x:v>3</x:v>
      </x:c>
      <x:c r="B7" s="14" t="str">
        <x:v>ТОВАРИСТВО З ОБМЕЖЕНОЮ ВІДПОВІДАЛЬНІСТЮ "КОМПАНІЯ "ТАРВОС"</x:v>
      </x:c>
      <x:c r="C7" s="14" t="str">
        <x:v>43136131</x:v>
      </x:c>
      <x:c r="D7" s="14" t="str">
        <x:v>Теплові мережі</x:v>
      </x:c>
      <x:c r="E7" s="14" t="str">
        <x:v>Expansion discovery</x:v>
      </x:c>
      <x:c r="F7" s="14" t="str">
        <x:v>I1</x:v>
      </x:c>
      <x:c r="G7" s="14" t="n">
        <x:v>93</x:v>
      </x:c>
      <x:c r="H7" s="14" t="n">
        <x:v>10</x:v>
      </x:c>
      <x:c r="I7" s="14" t="n">
        <x:v>10</x:v>
      </x:c>
      <x:c r="J7" s="18" t="n">
        <x:v>41343329.47</x:v>
      </x:c>
      <x:c r="K7" s="19" t="n">
        <x:v>46254.450083090276</x:v>
      </x:c>
      <x:c r="L7" s="19" t="n">
        <x:v>46295</x:v>
      </x:c>
      <x:c r="M7" s="15" t="str">
        <x:v> ДК 021:2015 - 45454000-4 – Реконструкція. Реконструкція  об'єкту КП "Харківські теплові мережі" шляхом встановлення КГУ за адресою: м.Харків, ****. Відновлення асфальтобетонного покриття після укладання кабельних мереж.</x:v>
      </x:c>
      <x:c r="N7" s="15" t="str">
        <x:v>https://prozorro.gov.ua/tender/UA-2026-08-20-006967-a</x:v>
      </x:c>
    </x:row>
    <x:row r="8">
      <x:c r="A8" s="14" t="n">
        <x:v>4</x:v>
      </x:c>
      <x:c r="B8" s="14" t="str">
        <x:v>ТОВАРИСТВО З ОБМЕЖЕНОЮ ВІДПОВІДАЛЬНІСТЮ "ДКС ЕЛЕКТРИК"</x:v>
      </x:c>
      <x:c r="C8" s="14" t="str">
        <x:v>38324272</x:v>
      </x:c>
      <x:c r="D8" s="14" t="str">
        <x:v>ГНБ / безтраншейні роботи</x:v>
      </x:c>
      <x:c r="E8" s="14" t="str">
        <x:v>Expansion discovery</x:v>
      </x:c>
      <x:c r="F8" s="14" t="str">
        <x:v>I1</x:v>
      </x:c>
      <x:c r="G8" s="14" t="n">
        <x:v>92</x:v>
      </x:c>
      <x:c r="H8" s="14" t="n">
        <x:v>8</x:v>
      </x:c>
      <x:c r="I8" s="14" t="n">
        <x:v>5</x:v>
      </x:c>
      <x:c r="J8" s="18" t="n">
        <x:v>7146842.64</x:v>
      </x:c>
      <x:c r="K8" s="19" t="n">
        <x:v>46237.27531953704</x:v>
      </x:c>
      <x:c r="L8" s="19" t="n">
        <x:v>46387</x:v>
      </x:c>
      <x:c r="M8" s="15" t="str">
        <x:v>Реконструкція підвищувальної водопровідної насосної станції III підйому КП ПОР «ПОЛТАВАВОДОКАНАЛ» за адресою: Полтавська область, м. Полтава, вул. Ю. Кондратюка, 17 (ТП-68А) в частині влаштування резервних мереж електропостачання 0,4кВ</x:v>
      </x:c>
      <x:c r="N8" s="15" t="str">
        <x:v>https://prozorro.gov.ua/tender/UA-2026-07-13-010930-a</x:v>
      </x:c>
    </x:row>
    <x:row r="9">
      <x:c r="A9" s="14" t="n">
        <x:v>5</x:v>
      </x:c>
      <x:c r="B9" s="14" t="str">
        <x:v>ТОВАРИСТВО З ОБМЕЖЕНОЮ ВІДПОВІДАЛЬНІСТЮ "ФАСАД-СЕРВІС-БУД"</x:v>
      </x:c>
      <x:c r="C9" s="14" t="str">
        <x:v>35379855</x:v>
      </x:c>
      <x:c r="D9" s="14" t="str">
        <x:v>Водоочищення / очисні споруди</x:v>
      </x:c>
      <x:c r="E9" s="14" t="str">
        <x:v>Expansion discovery</x:v>
      </x:c>
      <x:c r="F9" s="14" t="str">
        <x:v>I1</x:v>
      </x:c>
      <x:c r="G9" s="14" t="n">
        <x:v>90</x:v>
      </x:c>
      <x:c r="H9" s="14" t="n">
        <x:v>4</x:v>
      </x:c>
      <x:c r="I9" s="14" t="n">
        <x:v>4</x:v>
      </x:c>
      <x:c r="J9" s="18" t="n">
        <x:v>36673383.12</x:v>
      </x:c>
      <x:c r="K9" s="19" t="n">
        <x:v>46199.58894462963</x:v>
      </x:c>
      <x:c r="L9" s="19" t="n">
        <x:v>46752</x:v>
      </x:c>
      <x:c r="M9" s="15" t="str">
        <x:v>Реконструкція водопровідних очисних споруд з впровадженням системи автоматизованого дозування коагулянту КП «Броваритепловодоенергія» по вул. Металургів, 52 м. Бровари Броварського району Київської області   </x:v>
      </x:c>
      <x:c r="N9" s="15" t="str">
        <x:v>https://prozorro.gov.ua/tender/UA-2026-06-26-011183-a</x:v>
      </x:c>
    </x:row>
    <x:row r="10">
      <x:c r="A10" s="14" t="n">
        <x:v>6</x:v>
      </x:c>
      <x:c r="B10" s="14" t="str">
        <x:v>КОЛЕКТИВНЕ ПІДПРИЄМСТВО "ЕЛЕКТРОМОНТАЖНАЛАДКА"</x:v>
      </x:c>
      <x:c r="C10" s="14" t="str">
        <x:v>04847816</x:v>
      </x:c>
      <x:c r="D10" s="14" t="str">
        <x:v>Електромонтаж</x:v>
      </x:c>
      <x:c r="E10" s="14" t="str">
        <x:v>Pilot now</x:v>
      </x:c>
      <x:c r="F10" s="14" t="str">
        <x:v>I1</x:v>
      </x:c>
      <x:c r="G10" s="14" t="n">
        <x:v>89</x:v>
      </x:c>
      <x:c r="H10" s="14" t="n">
        <x:v>5</x:v>
      </x:c>
      <x:c r="I10" s="14" t="n">
        <x:v>5</x:v>
      </x:c>
      <x:c r="J10" s="18" t="n">
        <x:v>3013969.46</x:v>
      </x:c>
      <x:c r="K10" s="19" t="n">
        <x:v>46230.472937164355</x:v>
      </x:c>
      <x:c r="L10" s="19" t="n">
        <x:v>46387</x:v>
      </x:c>
      <x:c r="M10" s="15" t="str">
        <x:v>Електромонтажні роботи</x:v>
      </x:c>
      <x:c r="N10" s="15" t="str">
        <x:v>https://prozorro.gov.ua/tender/UA-2026-07-27-006674-a</x:v>
      </x:c>
    </x:row>
    <x:row r="11">
      <x:c r="A11" s="14" t="n">
        <x:v>7</x:v>
      </x:c>
      <x:c r="B11" s="14" t="str">
        <x:v>ТОВ "ХЕРСОНСЬКИЙ АЛЬЯНС БУДІВНИЦТВА"</x:v>
      </x:c>
      <x:c r="C11" s="14" t="str">
        <x:v>42542403</x:v>
      </x:c>
      <x:c r="D11" s="14" t="str">
        <x:v>Зовнішні мережі</x:v>
      </x:c>
      <x:c r="E11" s="14" t="str">
        <x:v>Expansion discovery</x:v>
      </x:c>
      <x:c r="F11" s="14" t="str">
        <x:v>I1</x:v>
      </x:c>
      <x:c r="G11" s="14" t="n">
        <x:v>87</x:v>
      </x:c>
      <x:c r="H11" s="14" t="n">
        <x:v>4</x:v>
      </x:c>
      <x:c r="I11" s="14" t="n">
        <x:v>4</x:v>
      </x:c>
      <x:c r="J11" s="18" t="n">
        <x:v>162373364.8</x:v>
      </x:c>
      <x:c r="K11" s="19" t="n">
        <x:v>46203.277789583335</x:v>
      </x:c>
      <x:c r="L11" s="19" t="n">
        <x:v>46378</x:v>
      </x:c>
      <x:c r="M11" s="15" t="str">
        <x:v>Виконання будівельних робіт по об’єкту: «Нове будівництво зовнішніх інженерних мереж водопостачання, військове містечко № 7, с. Тетерівка, Житомирська обл.»</x:v>
      </x:c>
      <x:c r="N11" s="15" t="str">
        <x:v>https://prozorro.gov.ua/tender/UA-2026-06-18-008231-a</x:v>
      </x:c>
    </x:row>
    <x:row r="12">
      <x:c r="A12" s="14" t="n">
        <x:v>8</x:v>
      </x:c>
      <x:c r="B12" s="14" t="str">
        <x:v>ТОВАРИСТВО З ОБМЕЖЕНОЮ ВІДПОВІДАЛЬНІСТЮ "ГІДРА БУД МОНТАЖ"</x:v>
      </x:c>
      <x:c r="C12" s="14" t="str">
        <x:v>44215219</x:v>
      </x:c>
      <x:c r="D12" s="14" t="str">
        <x:v>Газопостачання / котельні</x:v>
      </x:c>
      <x:c r="E12" s="14" t="str">
        <x:v>Expansion discovery</x:v>
      </x:c>
      <x:c r="F12" s="14" t="str">
        <x:v>I1</x:v>
      </x:c>
      <x:c r="G12" s="14" t="n">
        <x:v>87</x:v>
      </x:c>
      <x:c r="H12" s="14" t="n">
        <x:v>4</x:v>
      </x:c>
      <x:c r="I12" s="14" t="n">
        <x:v>2</x:v>
      </x:c>
      <x:c r="J12" s="18" t="n">
        <x:v>5505401.64</x:v>
      </x:c>
      <x:c r="K12" s="19" t="n">
        <x:v>46253.44259337963</x:v>
      </x:c>
      <x:c r="L12" s="19" t="n">
        <x:v>46310</x:v>
      </x:c>
      <x:c r="M12" s="15" t="str">
        <x:v>«Реконструкція (відновлення) теплових мереж на ділянці від ВТ 432/9-2 до ж/б по вул. Європейська, 10 в м. Харкові»(код ДК: 021:2015-45454000-4 - Реконструкція)</x:v>
      </x:c>
      <x:c r="N12" s="15" t="str">
        <x:v>https://prozorro.gov.ua/tender/UA-2026-08-19-006860-a</x:v>
      </x:c>
    </x:row>
    <x:row r="13">
      <x:c r="A13" s="14" t="n">
        <x:v>9</x:v>
      </x:c>
      <x:c r="B13" s="14" t="str">
        <x:v>УПРАВЛІННЯ ПОЛІЦІЇ ОХОРОНИ В ЧЕРНІВЕЦЬКІЙ ОБЛАСТІ</x:v>
      </x:c>
      <x:c r="C13" s="14" t="str">
        <x:v>40108976</x:v>
      </x:c>
      <x:c r="D13" s="14" t="str">
        <x:v>Пожежогасіння</x:v>
      </x:c>
      <x:c r="E13" s="14" t="str">
        <x:v>Expansion discovery</x:v>
      </x:c>
      <x:c r="F13" s="14" t="str">
        <x:v>I1</x:v>
      </x:c>
      <x:c r="G13" s="14" t="n">
        <x:v>84</x:v>
      </x:c>
      <x:c r="H13" s="14" t="n">
        <x:v>10</x:v>
      </x:c>
      <x:c r="I13" s="14" t="n">
        <x:v>8</x:v>
      </x:c>
      <x:c r="J13" s="18" t="n">
        <x:v>283639.45</x:v>
      </x:c>
      <x:c r="K13" s="19" t="n">
        <x:v>46246.32571459491</x:v>
      </x:c>
      <x:c r="L13" s="19" t="n">
        <x:v>46265</x:v>
      </x:c>
      <x:c r="M13" s="15" t="str">
        <x:v>Монтаж та налагодження системи контролю доступу (арочний металодетектор)</x:v>
      </x:c>
      <x:c r="N13" s="15" t="str">
        <x:v>https://prozorro.gov.ua/tender/UA-2026-08-12-002581-a</x:v>
      </x:c>
    </x:row>
    <x:row r="14">
      <x:c r="A14" s="14" t="n">
        <x:v>10</x:v>
      </x:c>
      <x:c r="B14" s="14" t="str">
        <x:v>Центр технічної охорони Управління поліції охорони у Львівській області</x:v>
      </x:c>
      <x:c r="C14" s="14" t="str">
        <x:v>40108887</x:v>
      </x:c>
      <x:c r="D14" s="14" t="str">
        <x:v>Пожежогасіння</x:v>
      </x:c>
      <x:c r="E14" s="14" t="str">
        <x:v>Expansion discovery</x:v>
      </x:c>
      <x:c r="F14" s="14" t="str">
        <x:v>I1</x:v>
      </x:c>
      <x:c r="G14" s="14" t="n">
        <x:v>84</x:v>
      </x:c>
      <x:c r="H14" s="14" t="n">
        <x:v>7</x:v>
      </x:c>
      <x:c r="I14" s="14" t="n">
        <x:v>6</x:v>
      </x:c>
      <x:c r="J14" s="18" t="n">
        <x:v>136353.55</x:v>
      </x:c>
      <x:c r="K14" s="19" t="n">
        <x:v>46253.57154434028</x:v>
      </x:c>
      <x:c r="L14" s="19" t="n">
        <x:v>46387.615335648145</x:v>
      </x:c>
      <x:c r="M14" s="15" t="str">
        <x:v>Послуги з монтажу пусконалагоджування системи відеоспостереження</x:v>
      </x:c>
      <x:c r="N14" s="15" t="str">
        <x:v>https://prozorro.gov.ua/tender/UA-2026-08-19-012027-a</x:v>
      </x:c>
    </x:row>
    <x:row r="15">
      <x:c r="A15" s="14" t="n">
        <x:v>11</x:v>
      </x:c>
      <x:c r="B15" s="14" t="str">
        <x:v>ТОВАРИСТВО З ОБМЕЖЕНОЮ ВІДПОВІДАЛЬНІСТЮ "РСУ-СХІД"</x:v>
      </x:c>
      <x:c r="C15" s="14" t="str">
        <x:v>44743360</x:v>
      </x:c>
      <x:c r="D15" s="14" t="str">
        <x:v>ВОЛЗ / телеком</x:v>
      </x:c>
      <x:c r="E15" s="14" t="str">
        <x:v>Expansion discovery</x:v>
      </x:c>
      <x:c r="F15" s="14" t="str">
        <x:v>I1</x:v>
      </x:c>
      <x:c r="G15" s="14" t="n">
        <x:v>83</x:v>
      </x:c>
      <x:c r="H15" s="14" t="n">
        <x:v>5</x:v>
      </x:c>
      <x:c r="I15" s="14" t="n">
        <x:v>4</x:v>
      </x:c>
      <x:c r="J15" s="18" t="n">
        <x:v>3031084.48</x:v>
      </x:c>
      <x:c r="K15" s="19" t="n">
        <x:v>46162.31323571759</x:v>
      </x:c>
      <x:c r="L15" s="19" t="n">
        <x:v>46568</x:v>
      </x:c>
      <x:c r="M15" s="15" t="str">
        <x:v>Будівництво ВОЛЗ ПС Харківська -ПС Селекційна у м. Харкові</x:v>
      </x:c>
      <x:c r="N15" s="15" t="str">
        <x:v>https://prozorro.gov.ua/tender/UA-2026-05-20-002590-a</x:v>
      </x:c>
    </x:row>
    <x:row r="16">
      <x:c r="A16" s="14" t="n">
        <x:v>12</x:v>
      </x:c>
      <x:c r="B16" s="14" t="str">
        <x:v>ФОП Костійчук Олександр Володимирович</x:v>
      </x:c>
      <x:c r="C16" s="14" t="str">
        <x:v>2598502379</x:v>
      </x:c>
      <x:c r="D16" s="14" t="str">
        <x:v>Газопостачання / котельні</x:v>
      </x:c>
      <x:c r="E16" s="14" t="str">
        <x:v>Expansion discovery</x:v>
      </x:c>
      <x:c r="F16" s="14" t="str">
        <x:v>I1</x:v>
      </x:c>
      <x:c r="G16" s="14" t="n">
        <x:v>82</x:v>
      </x:c>
      <x:c r="H16" s="14" t="n">
        <x:v>5</x:v>
      </x:c>
      <x:c r="I16" s="14" t="n">
        <x:v>5</x:v>
      </x:c>
      <x:c r="J16" s="18" t="n">
        <x:v>574666.9</x:v>
      </x:c>
      <x:c r="K16" s="19" t="n">
        <x:v>46253.816932361115</x:v>
      </x:c>
      <x:c r="L16" s="19" t="n">
        <x:v>46295.81353009259</x:v>
      </x:c>
      <x:c r="M16" s="15" t="str">
        <x:v>Послуги з поточного ремонту із встановленням (монтажем) електричного котла в приміщенні котельні за адресою: Київська область, Бучанський район, с. Петропавлівська Борщагівка, вул. Паркова, 34-Б</x:v>
      </x:c>
      <x:c r="N16" s="15" t="str">
        <x:v>https://prozorro.gov.ua/tender/UA-2026-08-19-013884-a</x:v>
      </x:c>
    </x:row>
    <x:row r="17">
      <x:c r="A17" s="14" t="n">
        <x:v>13</x:v>
      </x:c>
      <x:c r="B17" s="14" t="str">
        <x:v>ТОВАРИСТВО З ОБМЕЖЕНОЮ ВІДПОВІДАЛЬНІСТЮ "САБ-КОНСТРАКШН"</x:v>
      </x:c>
      <x:c r="C17" s="14" t="str">
        <x:v>42506391</x:v>
      </x:c>
      <x:c r="D17" s="14" t="str">
        <x:v>Зовнішні мережі</x:v>
      </x:c>
      <x:c r="E17" s="14" t="str">
        <x:v>Expansion discovery</x:v>
      </x:c>
      <x:c r="F17" s="14" t="str">
        <x:v>I1</x:v>
      </x:c>
      <x:c r="G17" s="14" t="n">
        <x:v>82</x:v>
      </x:c>
      <x:c r="H17" s="14" t="n">
        <x:v>3</x:v>
      </x:c>
      <x:c r="I17" s="14" t="n">
        <x:v>3</x:v>
      </x:c>
      <x:c r="J17" s="18" t="n">
        <x:v>105402698.29</x:v>
      </x:c>
      <x:c r="K17" s="19" t="n">
        <x:v>46210.58118918981</x:v>
      </x:c>
      <x:c r="L17" s="19" t="n">
        <x:v>46433</x:v>
      </x:c>
      <x:c r="M17" s="15" t="str">
        <x:v>Виконання будівельних робіт по об’єкту: «Нове будівництво зовнішніх інженерних мереж електропостачання, військове містечко № 25, с. Старичі, Львівська обл.»</x:v>
      </x:c>
      <x:c r="N17" s="15" t="str">
        <x:v>https://prozorro.gov.ua/tender/UA-2026-06-26-010217-a</x:v>
      </x:c>
    </x:row>
    <x:row r="18">
      <x:c r="A18" s="14" t="n">
        <x:v>14</x:v>
      </x:c>
      <x:c r="B18" s="14" t="str">
        <x:v>ТОВАРИСТВО З ОБМЕЖЕНОЮ ВІДПОВІДАЛЬНІСТЮ "ЕКОВЕНТ-КОМПЛЕКТ"</x:v>
      </x:c>
      <x:c r="C18" s="14" t="str">
        <x:v>35089695</x:v>
      </x:c>
      <x:c r="D18" s="14" t="str">
        <x:v>HVAC / ОВіК</x:v>
      </x:c>
      <x:c r="E18" s="14" t="str">
        <x:v>Pilot now</x:v>
      </x:c>
      <x:c r="F18" s="14" t="str">
        <x:v>I1</x:v>
      </x:c>
      <x:c r="G18" s="14" t="n">
        <x:v>81</x:v>
      </x:c>
      <x:c r="H18" s="14" t="n">
        <x:v>4</x:v>
      </x:c>
      <x:c r="I18" s="14" t="n">
        <x:v>3</x:v>
      </x:c>
      <x:c r="J18" s="18" t="n">
        <x:v>184055.5</x:v>
      </x:c>
      <x:c r="K18" s="19" t="n">
        <x:v>46240.36383484954</x:v>
      </x:c>
      <x:c r="L18" s="19" t="n">
        <x:v>46387</x:v>
      </x:c>
      <x:c r="M18" s="15" t="str">
        <x:v>Роботи по монтажу систем вентиляції</x:v>
      </x:c>
      <x:c r="N18" s="15" t="str">
        <x:v>https://prozorro.gov.ua/tender/UA-2026-08-06-004132-a</x:v>
      </x:c>
    </x:row>
    <x:row r="19">
      <x:c r="A19" s="14" t="n">
        <x:v>15</x:v>
      </x:c>
      <x:c r="B19" s="14" t="str">
        <x:v>ТОВАРИСТВО З ОБМЕЖЕНОЮ ВІДПОВІДАЛЬНІСТЮ "ТЕХЕКС-ГАЗ"</x:v>
      </x:c>
      <x:c r="C19" s="14" t="str">
        <x:v>34630463</x:v>
      </x:c>
      <x:c r="D19" s="14" t="str">
        <x:v>Насосні станції</x:v>
      </x:c>
      <x:c r="E19" s="14" t="str">
        <x:v>Expansion discovery</x:v>
      </x:c>
      <x:c r="F19" s="14" t="str">
        <x:v>I1</x:v>
      </x:c>
      <x:c r="G19" s="14" t="n">
        <x:v>81</x:v>
      </x:c>
      <x:c r="H19" s="14" t="n">
        <x:v>2</x:v>
      </x:c>
      <x:c r="I19" s="14" t="n">
        <x:v>2</x:v>
      </x:c>
      <x:c r="J19" s="18" t="n">
        <x:v>45227127.15</x:v>
      </x:c>
      <x:c r="K19" s="19" t="n">
        <x:v>46255.32229476852</x:v>
      </x:c>
      <x:c r="L19" s="19" t="n">
        <x:v>46356</x:v>
      </x:c>
      <x:c r="M19" s="15" t="str">
        <x:v>Реконструкція об’єкту КП «Харківські теплові мережі» шляхом встановлення КГУ за адресою: Харківська область, Лозівський район, селище Краснопавлівка, вул. **********. Монтаж обладнання КГУ та мереж теплопостачання (код ДК 021:2015 – 45454000-4 "Реконструкція").</x:v>
      </x:c>
      <x:c r="N19" s="15" t="str">
        <x:v>https://prozorro.gov.ua/tender/UA-2026-08-21-002826-a</x:v>
      </x:c>
    </x:row>
    <x:row r="20">
      <x:c r="A20" s="14" t="n">
        <x:v>16</x:v>
      </x:c>
      <x:c r="B20" s="14" t="str">
        <x:v>УПРАВЛІННЯ ПОЛІЦІЇ ОХОРОНИ В РІВНЕНСЬКІЙ ОБЛАСТІ</x:v>
      </x:c>
      <x:c r="C20" s="14" t="str">
        <x:v>40108908</x:v>
      </x:c>
      <x:c r="D20" s="14" t="str">
        <x:v>Електромонтаж</x:v>
      </x:c>
      <x:c r="E20" s="14" t="str">
        <x:v>Pilot now</x:v>
      </x:c>
      <x:c r="F20" s="14" t="str">
        <x:v>I1</x:v>
      </x:c>
      <x:c r="G20" s="14" t="n">
        <x:v>80</x:v>
      </x:c>
      <x:c r="H20" s="14" t="n">
        <x:v>4</x:v>
      </x:c>
      <x:c r="I20" s="14" t="n">
        <x:v>4</x:v>
      </x:c>
      <x:c r="J20" s="18" t="n">
        <x:v>79669.72</x:v>
      </x:c>
      <x:c r="K20" s="19" t="n">
        <x:v>46258.307093055555</x:v>
      </x:c>
      <x:c r="L20" s="19" t="n">
        <x:v>46387</x:v>
      </x:c>
      <x:c r="M20" s="15" t="str">
        <x:v>Електромонтажні роботи</x:v>
      </x:c>
      <x:c r="N20" s="15" t="str">
        <x:v>https://prozorro.gov.ua/tender/UA-2026-08-24-001515-a</x:v>
      </x:c>
    </x:row>
    <x:row r="21">
      <x:c r="A21" s="14" t="n">
        <x:v>17</x:v>
      </x:c>
      <x:c r="B21" s="14" t="str">
        <x:v>ФОП Яковлева Олена Юріївна</x:v>
      </x:c>
      <x:c r="C21" s="14" t="str">
        <x:v>3224411667</x:v>
      </x:c>
      <x:c r="D21" s="14" t="str">
        <x:v>Електромонтаж</x:v>
      </x:c>
      <x:c r="E21" s="14" t="str">
        <x:v>Pilot now</x:v>
      </x:c>
      <x:c r="F21" s="14" t="str">
        <x:v>I1</x:v>
      </x:c>
      <x:c r="G21" s="14" t="n">
        <x:v>78</x:v>
      </x:c>
      <x:c r="H21" s="14" t="n">
        <x:v>5</x:v>
      </x:c>
      <x:c r="I21" s="14" t="n">
        <x:v>4</x:v>
      </x:c>
      <x:c r="J21" s="18" t="n">
        <x:v>303559.2</x:v>
      </x:c>
      <x:c r="K21" s="19" t="n">
        <x:v>46244.46695519676</x:v>
      </x:c>
      <x:c r="L21" s="19" t="n">
        <x:v>46266.437002314815</x:v>
      </x:c>
      <x:c r="M21" s="15" t="str">
        <x:v>Роботи з виготовлення проєктно-кошторисної документації: "Реконструкція електричних мереж ГКНС "Синяківська" КП "НУВКГ" шляхом монтажу електрогенеруючої установки для заміщення власного споживання електроенергії номінальною потужністю по інвертору 100 кВт з АКБ 500 кВт"</x:v>
      </x:c>
      <x:c r="N21" s="15" t="str">
        <x:v>https://prozorro.gov.ua/tender/UA-2026-08-10-005395-a</x:v>
      </x:c>
    </x:row>
    <x:row r="22">
      <x:c r="A22" s="14" t="n">
        <x:v>18</x:v>
      </x:c>
      <x:c r="B22" s="14" t="str">
        <x:v>ТОВ МІСТОСПЕЦБУДРОЕКТ</x:v>
      </x:c>
      <x:c r="C22" s="14" t="str">
        <x:v>45342931</x:v>
      </x:c>
      <x:c r="D22" s="14" t="str">
        <x:v>Зовнішні мережі</x:v>
      </x:c>
      <x:c r="E22" s="14" t="str">
        <x:v>Expansion discovery</x:v>
      </x:c>
      <x:c r="F22" s="14" t="str">
        <x:v>I1</x:v>
      </x:c>
      <x:c r="G22" s="14" t="n">
        <x:v>78</x:v>
      </x:c>
      <x:c r="H22" s="14" t="n">
        <x:v>2</x:v>
      </x:c>
      <x:c r="I22" s="14" t="n">
        <x:v>2</x:v>
      </x:c>
      <x:c r="J22" s="18" t="n">
        <x:v>11013223.73</x:v>
      </x:c>
      <x:c r="K22" s="19" t="n">
        <x:v>46241.403738125</x:v>
      </x:c>
      <x:c r="L22" s="19" t="n">
        <x:v>46276</x:v>
      </x:c>
      <x:c r="M22" s="15" t="str">
        <x:v>«Будівництво багатоквартирних житлових будинків соціального призначення та дошкільного навчального закладу в другому мікрорайоні житлового району “Масани” у м. Чернігів на земельних ділянках, які перебувають в постійному користуванні: зовнішні інженерні мережі зливової каналізації та системи дренажної каналізації» (коригування)</x:v>
      </x:c>
      <x:c r="N22" s="15" t="str">
        <x:v>https://prozorro.gov.ua/tender/UA-2026-08-07-005634-a</x:v>
      </x:c>
    </x:row>
    <x:row r="23">
      <x:c r="A23" s="14" t="n">
        <x:v>19</x:v>
      </x:c>
      <x:c r="B23" s="14" t="str">
        <x:v>ТОВАРИСТВО З ОБМЕЖЕНОЮ ВІДПОВІДАЛЬНІСТЮ "БУДІВЕЛЬНА КОМПАНІЯ "МІСТОБУДІВНИК"</x:v>
      </x:c>
      <x:c r="C23" s="14" t="str">
        <x:v>42593196</x:v>
      </x:c>
      <x:c r="D23" s="14" t="str">
        <x:v>Газопостачання / котельні</x:v>
      </x:c>
      <x:c r="E23" s="14" t="str">
        <x:v>Expansion discovery</x:v>
      </x:c>
      <x:c r="F23" s="14" t="str">
        <x:v>I1</x:v>
      </x:c>
      <x:c r="G23" s="14" t="n">
        <x:v>78</x:v>
      </x:c>
      <x:c r="H23" s="14" t="n">
        <x:v>2</x:v>
      </x:c>
      <x:c r="I23" s="14" t="n">
        <x:v>2</x:v>
      </x:c>
      <x:c r="J23" s="18" t="n">
        <x:v>16966547.87</x:v>
      </x:c>
      <x:c r="K23" s="19" t="n">
        <x:v>46255.331701828705</x:v>
      </x:c>
      <x:c r="L23" s="19" t="n">
        <x:v>46387</x:v>
      </x:c>
      <x:c r="M23" s="15" t="str">
        <x:v>«Нове будівництво модульної транспортабельної котельні в м. Харкові за адресою: вул. *** (резервного живлення). Монтаж блочно-модульної котельні, теплових мереж, зовнішнього водопроводу та дренажів» (по ДК 021:2015 – 45251000-1 – Будівництво електростанцій і теплових станцій)</x:v>
      </x:c>
      <x:c r="N23" s="15" t="str">
        <x:v>https://prozorro.gov.ua/tender/UA-2026-08-21-003258-a</x:v>
      </x:c>
    </x:row>
    <x:row r="24">
      <x:c r="A24" s="14" t="n">
        <x:v>20</x:v>
      </x:c>
      <x:c r="B24" s="14" t="str">
        <x:v>ТОВАРИСТВО З ОБМЕЖЕНОЮ ВІДПОВІДАЛЬНІСТЮ "ХАРКІВСЬКЕ СПЕЦІАЛІЗОВАНЕ МОНТАЖНО-ЕКСПЛУАТАЦІЙНЕ ПІДПРИЄМСТВО"</x:v>
      </x:c>
      <x:c r="C24" s="14" t="str">
        <x:v>39425391</x:v>
      </x:c>
      <x:c r="D24" s="14" t="str">
        <x:v>Теплові мережі</x:v>
      </x:c>
      <x:c r="E24" s="14" t="str">
        <x:v>Expansion discovery</x:v>
      </x:c>
      <x:c r="F24" s="14" t="str">
        <x:v>I1</x:v>
      </x:c>
      <x:c r="G24" s="14" t="n">
        <x:v>78</x:v>
      </x:c>
      <x:c r="H24" s="14" t="n">
        <x:v>2</x:v>
      </x:c>
      <x:c r="I24" s="14" t="n">
        <x:v>2</x:v>
      </x:c>
      <x:c r="J24" s="18" t="n">
        <x:v>55888389.15</x:v>
      </x:c>
      <x:c r="K24" s="19" t="n">
        <x:v>46254.30926731481</x:v>
      </x:c>
      <x:c r="L24" s="19" t="n">
        <x:v>46356</x:v>
      </x:c>
      <x:c r="M24" s="15" t="str">
        <x:v>Реконструкція об’єкту КП "Харківські теплові мережі" шляхом встановлення КГУ. Когенераційна установка за адресою: вул. **********, м. Харків. Улаштування зовнішніх стін адміністративно-виробничого корпусу. Улаштування покрівлі (код ДК 021:2015 – 45454000-4 "Реконструкція").</x:v>
      </x:c>
      <x:c r="N24" s="15" t="str">
        <x:v>https://prozorro.gov.ua/tender/UA-2026-08-20-002201-a</x:v>
      </x:c>
    </x:row>
    <x:row r="25">
      <x:c r="A25" s="14" t="n">
        <x:v>21</x:v>
      </x:c>
      <x:c r="B25" s="14" t="str">
        <x:v>ТОВАРИСТВО З ОБМЕЖЕНОЮ ВІД­ПО­ВІД­АЛЬ­НІ­СТЮ «РУБІКОН УКРАЇНА»</x:v>
      </x:c>
      <x:c r="C25" s="14" t="str">
        <x:v>44966837</x:v>
      </x:c>
      <x:c r="D25" s="14" t="str">
        <x:v>Електромонтаж</x:v>
      </x:c>
      <x:c r="E25" s="14" t="str">
        <x:v>Pilot now</x:v>
      </x:c>
      <x:c r="F25" s="14" t="str">
        <x:v>I1</x:v>
      </x:c>
      <x:c r="G25" s="14" t="n">
        <x:v>77</x:v>
      </x:c>
      <x:c r="H25" s="14" t="n">
        <x:v>8</x:v>
      </x:c>
      <x:c r="I25" s="14" t="n">
        <x:v>8</x:v>
      </x:c>
      <x:c r="J25" s="18" t="n">
        <x:v>45000</x:v>
      </x:c>
      <x:c r="K25" s="19" t="n">
        <x:v>46251.29428900463</x:v>
      </x:c>
      <x:c r="L25" s="19" t="n">
        <x:v>46387</x:v>
      </x:c>
      <x:c r="M25" s="15" t="str">
        <x:v>Електромонтажні роботи</x:v>
      </x:c>
      <x:c r="N25" s="15" t="str">
        <x:v>https://prozorro.gov.ua/tender/UA-2026-08-17-001339-a</x:v>
      </x:c>
    </x:row>
    <x:row r="26">
      <x:c r="A26" s="14" t="n">
        <x:v>22</x:v>
      </x:c>
      <x:c r="B26" s="14" t="str">
        <x:v>ТОВ "ОПАЛ"</x:v>
      </x:c>
      <x:c r="C26" s="14" t="str">
        <x:v>22346348</x:v>
      </x:c>
      <x:c r="D26" s="14" t="str">
        <x:v>Сонячна енергетика</x:v>
      </x:c>
      <x:c r="E26" s="14" t="str">
        <x:v>Expansion discovery</x:v>
      </x:c>
      <x:c r="F26" s="14" t="str">
        <x:v>I1</x:v>
      </x:c>
      <x:c r="G26" s="14" t="n">
        <x:v>77</x:v>
      </x:c>
      <x:c r="H26" s="14" t="n">
        <x:v>3</x:v>
      </x:c>
      <x:c r="I26" s="14" t="n">
        <x:v>1</x:v>
      </x:c>
      <x:c r="J26" s="18" t="n">
        <x:v>2544900</x:v>
      </x:c>
      <x:c r="K26" s="19" t="n">
        <x:v>46219.47636990741</x:v>
      </x:c>
      <x:c r="L26" s="19" t="n">
        <x:v>46265</x:v>
      </x:c>
      <x:c r="M26" s="15" t="str">
        <x:v>Реконструкція електромереж головної каналізаційної насосної станції ДП «Рогатин-Водоканал» шляхом встановлення гібридної сонячної електростанції за адресою: вулиця Драгоманова 41,місто Рогатин, Івано-Франківського району, Івано-Франківської області</x:v>
      </x:c>
      <x:c r="N26" s="15" t="str">
        <x:v>https://prozorro.gov.ua/tender/UA-2026-06-23-009106-a</x:v>
      </x:c>
    </x:row>
    <x:row r="27">
      <x:c r="A27" s="14" t="n">
        <x:v>23</x:v>
      </x:c>
      <x:c r="B27" s="14" t="str">
        <x:v>СААКЯН РОМІК РАЗМІКОВИЧ</x:v>
      </x:c>
      <x:c r="C27" s="14" t="str">
        <x:v>2605919656</x:v>
      </x:c>
      <x:c r="D27" s="14" t="str">
        <x:v>Мости / інфраструктура</x:v>
      </x:c>
      <x:c r="E27" s="14" t="str">
        <x:v>Expansion discovery</x:v>
      </x:c>
      <x:c r="F27" s="14" t="str">
        <x:v>I1</x:v>
      </x:c>
      <x:c r="G27" s="14" t="n">
        <x:v>76</x:v>
      </x:c>
      <x:c r="H27" s="14" t="n">
        <x:v>4</x:v>
      </x:c>
      <x:c r="I27" s="14" t="n">
        <x:v>4</x:v>
      </x:c>
      <x:c r="J27" s="18" t="n">
        <x:v>697176.93</x:v>
      </x:c>
      <x:c r="K27" s="19" t="n">
        <x:v>46209.28749259259</x:v>
      </x:c>
      <x:c r="L27" s="19" t="n">
        <x:v>46387</x:v>
      </x:c>
      <x:c r="M27" s="15" t="str">
        <x:v>Поточний ремонт дорожнього покриття ділянки дороги до мосту № 2 через річку Південний Буг в місті Первомайськ миколаївської області</x:v>
      </x:c>
      <x:c r="N27" s="15" t="str">
        <x:v>https://prozorro.gov.ua/tender/UA-2026-07-06-000973-a</x:v>
      </x:c>
    </x:row>
    <x:row r="28">
      <x:c r="A28" s="14" t="n">
        <x:v>24</x:v>
      </x:c>
      <x:c r="B28" s="14" t="str">
        <x:v>ТОВАРИСТВО З ОБМЕЖЕНОЮ ВІДПОВІДАЛЬНІСТЮ "УКРСІТІСТРОЙ"</x:v>
      </x:c>
      <x:c r="C28" s="14" t="str">
        <x:v>41398137</x:v>
      </x:c>
      <x:c r="D28" s="14" t="str">
        <x:v>ГНБ / безтраншейні роботи</x:v>
      </x:c>
      <x:c r="E28" s="14" t="str">
        <x:v>Expansion discovery</x:v>
      </x:c>
      <x:c r="F28" s="14" t="str">
        <x:v>I1</x:v>
      </x:c>
      <x:c r="G28" s="14" t="n">
        <x:v>76</x:v>
      </x:c>
      <x:c r="H28" s="14" t="n">
        <x:v>2</x:v>
      </x:c>
      <x:c r="I28" s="14" t="n">
        <x:v>1</x:v>
      </x:c>
      <x:c r="J28" s="18" t="n">
        <x:v>63567512.4</x:v>
      </x:c>
      <x:c r="K28" s="19" t="n">
        <x:v>46216.30455521991</x:v>
      </x:c>
      <x:c r="L28" s="19" t="n">
        <x:v>46433</x:v>
      </x:c>
      <x:c r="M28" s="15" t="str">
        <x:v>Виконання будівельних робіт по об’єкту: «Нове будівництво зовнішніх інженерних мереж електропостачання, військове містечко № 20, с. Немирів, Львівська обл.» </x:v>
      </x:c>
      <x:c r="N28" s="15" t="str">
        <x:v>https://prozorro.gov.ua/tender/UA-2026-06-29-007384-a</x:v>
      </x:c>
    </x:row>
    <x:row r="29">
      <x:c r="A29" s="14" t="n">
        <x:v>25</x:v>
      </x:c>
      <x:c r="B29" s="14" t="str">
        <x:v>ТОВ «ЕЛЕКТРОПОЛЮС-ІФ»</x:v>
      </x:c>
      <x:c r="C29" s="14" t="str">
        <x:v>34084649</x:v>
      </x:c>
      <x:c r="D29" s="14" t="str">
        <x:v>Електромонтаж</x:v>
      </x:c>
      <x:c r="E29" s="14" t="str">
        <x:v>Pilot now</x:v>
      </x:c>
      <x:c r="F29" s="14" t="str">
        <x:v>I1</x:v>
      </x:c>
      <x:c r="G29" s="14" t="n">
        <x:v>75</x:v>
      </x:c>
      <x:c r="H29" s="14" t="n">
        <x:v>6</x:v>
      </x:c>
      <x:c r="I29" s="14" t="n">
        <x:v>6</x:v>
      </x:c>
      <x:c r="J29" s="18" t="n">
        <x:v>4826112</x:v>
      </x:c>
      <x:c r="K29" s="19" t="n">
        <x:v>46055.59493230324</x:v>
      </x:c>
      <x:c r="L29" s="19" t="n">
        <x:v>46387.59721064815</x:v>
      </x:c>
      <x:c r="M29" s="15" t="str">
        <x:v>Виконання робіт з будівництва лінії зв’язку з ПС за технологією ВОЛЗ: ПС 110/6 кВ «Сільмаш» - ПС 110/35/6 кВ «Коломия» в Івано-Франківській області (Інвестиційна програма ПрАТ «Прикарпаттяобленерго» на 2026 рік, розділ 5, пункт п.5.3.1.6)</x:v>
      </x:c>
      <x:c r="N29" s="15" t="str">
        <x:v>https://prozorro.gov.ua/tender/UA-2026-02-02-012243-a</x:v>
      </x:c>
    </x:row>
    <x:row r="30">
      <x:c r="A30" s="14" t="n">
        <x:v>26</x:v>
      </x:c>
      <x:c r="B30" s="14" t="str">
        <x:v>ТОВАРИСТВО З ОБМЕЖЕНОЮ ВІДПОВІДАЛЬНІСТЮ "НОВИЙ СВІТ"</x:v>
      </x:c>
      <x:c r="C30" s="14" t="str">
        <x:v>00688634</x:v>
      </x:c>
      <x:c r="D30" s="14" t="str">
        <x:v>HVAC / ОВіК</x:v>
      </x:c>
      <x:c r="E30" s="14" t="str">
        <x:v>Pilot now</x:v>
      </x:c>
      <x:c r="F30" s="14" t="str">
        <x:v>I1</x:v>
      </x:c>
      <x:c r="G30" s="14" t="n">
        <x:v>75</x:v>
      </x:c>
      <x:c r="H30" s="14" t="n">
        <x:v>5</x:v>
      </x:c>
      <x:c r="I30" s="14" t="n">
        <x:v>3</x:v>
      </x:c>
      <x:c r="J30" s="18" t="n">
        <x:v>446408.41</x:v>
      </x:c>
      <x:c r="K30" s="19" t="n">
        <x:v>46210.43461802083</x:v>
      </x:c>
      <x:c r="L30" s="19" t="n">
        <x:v>46387</x:v>
      </x:c>
      <x:c r="M30" s="15" t="str">
        <x:v>послуги з монтажу систем опалення, а саме: - послуги з поточного ремонту частини внутрішньої системи опалення Підвисоцького ліцею імені Т.Г.Шевченка Підвисоцької сільської ради Голованівського за адресою: 26122, Кіровоградська область, Голованівський район, село Підвисоке, вулиця Миру, будинок 13 (ДК 021:2015 50720000-8 Послуги з ремонту і технічного обслуговування</x:v>
      </x:c>
      <x:c r="N30" s="15" t="str">
        <x:v>https://prozorro.gov.ua/tender/UA-2026-07-07-005581-a</x:v>
      </x:c>
    </x:row>
    <x:row r="31">
      <x:c r="A31" s="14" t="n">
        <x:v>27</x:v>
      </x:c>
      <x:c r="B31" s="14" t="str">
        <x:v>Управління поліції охорони в Одеській області</x:v>
      </x:c>
      <x:c r="C31" s="14" t="str">
        <x:v>40108934</x:v>
      </x:c>
      <x:c r="D31" s="14" t="str">
        <x:v>Електромонтаж</x:v>
      </x:c>
      <x:c r="E31" s="14" t="str">
        <x:v>Pilot now</x:v>
      </x:c>
      <x:c r="F31" s="14" t="str">
        <x:v>I1</x:v>
      </x:c>
      <x:c r="G31" s="14" t="n">
        <x:v>75</x:v>
      </x:c>
      <x:c r="H31" s="14" t="n">
        <x:v>3</x:v>
      </x:c>
      <x:c r="I31" s="14" t="n">
        <x:v>3</x:v>
      </x:c>
      <x:c r="J31" s="18" t="n">
        <x:v>64923.92</x:v>
      </x:c>
      <x:c r="K31" s="19" t="n">
        <x:v>46253.387300787035</x:v>
      </x:c>
      <x:c r="L31" s="19" t="n">
        <x:v>46387</x:v>
      </x:c>
      <x:c r="M31" s="15" t="str">
        <x:v>Електромонтажні роботи</x:v>
      </x:c>
      <x:c r="N31" s="15" t="str">
        <x:v>https://prozorro.gov.ua/tender/UA-2026-08-19-005312-a</x:v>
      </x:c>
    </x:row>
    <x:row r="32">
      <x:c r="A32" s="14" t="n">
        <x:v>28</x:v>
      </x:c>
      <x:c r="B32" s="14" t="str">
        <x:v>УПРАВЛІННЯ ПОЛІЦІЇ ОХОРОНИ В ТЕРНОПІЛЬСЬКІЙ ОБЛАСТІ</x:v>
      </x:c>
      <x:c r="C32" s="14" t="str">
        <x:v>40108819</x:v>
      </x:c>
      <x:c r="D32" s="14" t="str">
        <x:v>Електромонтаж</x:v>
      </x:c>
      <x:c r="E32" s="14" t="str">
        <x:v>Pilot now</x:v>
      </x:c>
      <x:c r="F32" s="14" t="str">
        <x:v>I1</x:v>
      </x:c>
      <x:c r="G32" s="14" t="n">
        <x:v>75</x:v>
      </x:c>
      <x:c r="H32" s="14" t="n">
        <x:v>4</x:v>
      </x:c>
      <x:c r="I32" s="14" t="n">
        <x:v>2</x:v>
      </x:c>
      <x:c r="J32" s="18" t="n">
        <x:v>90652.05</x:v>
      </x:c>
      <x:c r="K32" s="19" t="n">
        <x:v>46247.32744238426</x:v>
      </x:c>
      <x:c r="L32" s="19" t="n">
        <x:v>46387</x:v>
      </x:c>
      <x:c r="M32" s="15" t="str">
        <x:v>електромонтажні роботи</x:v>
      </x:c>
      <x:c r="N32" s="15" t="str">
        <x:v>https://prozorro.gov.ua/tender/UA-2026-08-13-002834-a</x:v>
      </x:c>
    </x:row>
    <x:row r="33">
      <x:c r="A33" s="14" t="n">
        <x:v>29</x:v>
      </x:c>
      <x:c r="B33" s="14" t="str">
        <x:v>ХАРКІВСЬКА МІСЬКА ФІЛІЯ ТОВАРИСТВА З ОБМЕЖЕНОЮ ВІДПОВІДАЛЬНІСТЮ «ГАЗОРОЗПОДІЛЬНІ МЕРЕЖІ УКРАЇНИ»</x:v>
      </x:c>
      <x:c r="C33" s="14" t="str">
        <x:v>45141068</x:v>
      </x:c>
      <x:c r="D33" s="14" t="str">
        <x:v>Насосні станції</x:v>
      </x:c>
      <x:c r="E33" s="14" t="str">
        <x:v>Expansion discovery</x:v>
      </x:c>
      <x:c r="F33" s="14" t="str">
        <x:v>I2</x:v>
      </x:c>
      <x:c r="G33" s="14" t="n">
        <x:v>74</x:v>
      </x:c>
      <x:c r="H33" s="14" t="n">
        <x:v>2</x:v>
      </x:c>
      <x:c r="I33" s="14" t="n">
        <x:v>2</x:v>
      </x:c>
      <x:c r="J33" s="18" t="n">
        <x:v>4963081.18</x:v>
      </x:c>
      <x:c r="K33" s="19" t="n">
        <x:v>46231.544807418984</x:v>
      </x:c>
      <x:c r="L33" s="19" t="n">
        <x:v>46265</x:v>
      </x:c>
      <x:c r="M33" s="15" t="str">
        <x:v>ДК 021:2015-45220000-5 Інженерні та будівельні роботи. Реконструкція РП-6кВ головної насосної станції (інв. №723) шляхом розміщення та підключення когенераційних газопоршневих установок (КГПУ) за адресою : м. Харків, ****. Приєднання до ГРМ.
</x:v>
      </x:c>
      <x:c r="N33" s="15" t="str">
        <x:v>https://prozorro.gov.ua/tender/UA-2026-07-28-009128-a</x:v>
      </x:c>
    </x:row>
    <x:row r="34">
      <x:c r="A34" s="14" t="n">
        <x:v>30</x:v>
      </x:c>
      <x:c r="B34" s="14" t="str">
        <x:v>Управління поліції охорони в Херсонській області</x:v>
      </x:c>
      <x:c r="C34" s="14" t="str">
        <x:v>40108850</x:v>
      </x:c>
      <x:c r="D34" s="14" t="str">
        <x:v>Пожежогасіння</x:v>
      </x:c>
      <x:c r="E34" s="14" t="str">
        <x:v>Expansion discovery</x:v>
      </x:c>
      <x:c r="F34" s="14" t="str">
        <x:v>I2</x:v>
      </x:c>
      <x:c r="G34" s="14" t="n">
        <x:v>73</x:v>
      </x:c>
      <x:c r="H34" s="14" t="n">
        <x:v>3</x:v>
      </x:c>
      <x:c r="I34" s="14" t="n">
        <x:v>3</x:v>
      </x:c>
      <x:c r="J34" s="18" t="n">
        <x:v>399665.56</x:v>
      </x:c>
      <x:c r="K34" s="19" t="n">
        <x:v>46183.497303344906</x:v>
      </x:c>
      <x:c r="L34" s="19" t="n">
        <x:v>46387</x:v>
      </x:c>
      <x:c r="M34" s="15" t="str">
        <x:v>Монтаж системи пожежної сигналізації в будівлі хімічного цеху інв. № 11/0 АТ «Херсонська ТЕЦ»</x:v>
      </x:c>
      <x:c r="N34" s="15" t="str">
        <x:v>https://prozorro.gov.ua/tender/UA-2026-06-10-009452-a</x:v>
      </x:c>
    </x:row>
    <x:row r="35">
      <x:c r="A35" s="14" t="n">
        <x:v>31</x:v>
      </x:c>
      <x:c r="B35" s="14" t="str">
        <x:v>ПРИВАТНЕ АКЦІОНЕРНЕ ТОВАРИСТВО "КІРОВОГРАДОБЛЕНЕРГО"</x:v>
      </x:c>
      <x:c r="C35" s="14" t="str">
        <x:v>23226362</x:v>
      </x:c>
      <x:c r="D35" s="14" t="str">
        <x:v>Електромонтаж</x:v>
      </x:c>
      <x:c r="E35" s="14" t="str">
        <x:v>Pilot now</x:v>
      </x:c>
      <x:c r="F35" s="14" t="str">
        <x:v>I2</x:v>
      </x:c>
      <x:c r="G35" s="14" t="n">
        <x:v>72</x:v>
      </x:c>
      <x:c r="H35" s="14" t="n">
        <x:v>3</x:v>
      </x:c>
      <x:c r="I35" s="14" t="n">
        <x:v>3</x:v>
      </x:c>
      <x:c r="J35" s="18" t="n">
        <x:v>22117.97</x:v>
      </x:c>
      <x:c r="K35" s="19" t="n">
        <x:v>46248.38698859954</x:v>
      </x:c>
      <x:c r="L35" s="19" t="n">
        <x:v>46387</x:v>
      </x:c>
      <x:c r="M35" s="15" t="str">
        <x:v>Електромонтажні роботи</x:v>
      </x:c>
      <x:c r="N35" s="15" t="str">
        <x:v>https://prozorro.gov.ua/tender/UA-2026-08-14-005083-a</x:v>
      </x:c>
    </x:row>
    <x:row r="36">
      <x:c r="A36" s="14" t="n">
        <x:v>32</x:v>
      </x:c>
      <x:c r="B36" s="14" t="str">
        <x:v>ТОВАРИСТВО З ОБМЕЖЕНОЮ ВІДПОВІДАЛЬНІСТЮ "ГІРАЗОЛЬ"</x:v>
      </x:c>
      <x:c r="C36" s="14" t="str">
        <x:v>46227802</x:v>
      </x:c>
      <x:c r="D36" s="14" t="str">
        <x:v>Електромонтаж</x:v>
      </x:c>
      <x:c r="E36" s="14" t="str">
        <x:v>Pilot now</x:v>
      </x:c>
      <x:c r="F36" s="14" t="str">
        <x:v>I2</x:v>
      </x:c>
      <x:c r="G36" s="14" t="n">
        <x:v>72</x:v>
      </x:c>
      <x:c r="H36" s="14" t="n">
        <x:v>2</x:v>
      </x:c>
      <x:c r="I36" s="14" t="n">
        <x:v>1</x:v>
      </x:c>
      <x:c r="J36" s="18" t="n">
        <x:v>3779044</x:v>
      </x:c>
      <x:c r="K36" s="19" t="n">
        <x:v>46247.2484425</x:v>
      </x:c>
      <x:c r="L36" s="19" t="n">
        <x:v>46275</x:v>
      </x:c>
      <x:c r="M36" s="15" t="str">
        <x:v>Монтаж, пусконалагоджувальні роботи сонячної електростанції (СЕС) з системою накопичення енергії з використанням матеріалів, обладнання та комплектуючих, наданих Замовником</x:v>
      </x:c>
      <x:c r="N36" s="15" t="str">
        <x:v>https://prozorro.gov.ua/tender/UA-2026-08-13-000458-a</x:v>
      </x:c>
    </x:row>
    <x:row r="37">
      <x:c r="A37" s="14" t="n">
        <x:v>33</x:v>
      </x:c>
      <x:c r="B37" s="14" t="str">
        <x:v>ТОВАРИСТВО З ОБМЕЖЕНОЮ ВІДПОВІДАЛЬНІСТЮ "НАГЛЯД ІНЖИНІРИНГ ПРОЕКТ"</x:v>
      </x:c>
      <x:c r="C37" s="14" t="str">
        <x:v>45394450</x:v>
      </x:c>
      <x:c r="D37" s="14" t="str">
        <x:v>Теплові мережі</x:v>
      </x:c>
      <x:c r="E37" s="14" t="str">
        <x:v>Expansion discovery</x:v>
      </x:c>
      <x:c r="F37" s="14" t="str">
        <x:v>I2</x:v>
      </x:c>
      <x:c r="G37" s="14" t="n">
        <x:v>70</x:v>
      </x:c>
      <x:c r="H37" s="14" t="n">
        <x:v>3</x:v>
      </x:c>
      <x:c r="I37" s="14" t="n">
        <x:v>3</x:v>
      </x:c>
      <x:c r="J37" s="18" t="n">
        <x:v>198418.8</x:v>
      </x:c>
      <x:c r="K37" s="19" t="n">
        <x:v>46199.27758047454</x:v>
      </x:c>
      <x:c r="L37" s="19" t="n">
        <x:v>46265</x:v>
      </x:c>
      <x:c r="M37" s="15" t="str">
        <x:v>Технічний нагляд по об'єкту: Реконструкція теплових мереж зі встановленням резервного теплогенеруючого обладнання (блочно-модульної котельні) біля існуючого центрального теплового пункту у місті Суми по вул. *****</x:v>
      </x:c>
      <x:c r="N37" s="15" t="str">
        <x:v>https://prozorro.gov.ua/tender/UA-2026-06-26-001164-a</x:v>
      </x:c>
    </x:row>
    <x:row r="38">
      <x:c r="A38" s="14" t="n">
        <x:v>34</x:v>
      </x:c>
      <x:c r="B38" s="14" t="str">
        <x:v>ПРИВАТНЕ ПІДПРИЄМСТВО «ЕЛЕ­КТРО­ПРОМ­ТЕХ»</x:v>
      </x:c>
      <x:c r="C38" s="14" t="str">
        <x:v>32489197</x:v>
      </x:c>
      <x:c r="D38" s="14" t="str">
        <x:v>Електромонтаж</x:v>
      </x:c>
      <x:c r="E38" s="14" t="str">
        <x:v>Pilot now</x:v>
      </x:c>
      <x:c r="F38" s="14" t="str">
        <x:v>I2</x:v>
      </x:c>
      <x:c r="G38" s="14" t="n">
        <x:v>70</x:v>
      </x:c>
      <x:c r="H38" s="14" t="n">
        <x:v>5</x:v>
      </x:c>
      <x:c r="I38" s="14" t="n">
        <x:v>2</x:v>
      </x:c>
      <x:c r="J38" s="18" t="n">
        <x:v>349658</x:v>
      </x:c>
      <x:c r="K38" s="19" t="n">
        <x:v>46142.528413622684</x:v>
      </x:c>
      <x:c r="L38" s="19" t="n">
        <x:v>46173.530625</x:v>
      </x:c>
      <x:c r="M38" s="15" t="str">
        <x:v>Послуги по монтажу та підключенню до електричної мережі світлодіодних світильників у школі І-ІІІ ступенів №282 Деснянського району міста Києва</x:v>
      </x:c>
      <x:c r="N38" s="15" t="str">
        <x:v>https://prozorro.gov.ua/tender/UA-2026-04-30-008926-a</x:v>
      </x:c>
    </x:row>
    <x:row r="39">
      <x:c r="A39" s="14" t="n">
        <x:v>35</x:v>
      </x:c>
      <x:c r="B39" s="14" t="str">
        <x:v>ТОВАРИСТВО З ОБМЕЖЕНОЮ ВІДПОВІДАЛЬНІСТЮ "КОМФОРТ-ЕКО"</x:v>
      </x:c>
      <x:c r="C39" s="14" t="str">
        <x:v>31830396</x:v>
      </x:c>
      <x:c r="D39" s="14" t="str">
        <x:v>Водоочищення / очисні споруди</x:v>
      </x:c>
      <x:c r="E39" s="14" t="str">
        <x:v>Expansion discovery</x:v>
      </x:c>
      <x:c r="F39" s="14" t="str">
        <x:v>I2</x:v>
      </x:c>
      <x:c r="G39" s="14" t="n">
        <x:v>70</x:v>
      </x:c>
      <x:c r="H39" s="14" t="n">
        <x:v>2</x:v>
      </x:c>
      <x:c r="I39" s="14" t="n">
        <x:v>2</x:v>
      </x:c>
      <x:c r="J39" s="18" t="n">
        <x:v>686713.2</x:v>
      </x:c>
      <x:c r="K39" s="19" t="n">
        <x:v>46224.29342322917</x:v>
      </x:c>
      <x:c r="L39" s="19" t="n">
        <x:v>46387</x:v>
      </x:c>
      <x:c r="M39" s="15" t="str">
        <x:v>коригування робочого проекту "Реконструкція очисних каналізаційних споруд повної біологічної очистки м.Арциз Одеської області"</x:v>
      </x:c>
      <x:c r="N39" s="15" t="str">
        <x:v>https://prozorro.gov.ua/tender/UA-2026-07-21-001489-a</x:v>
      </x:c>
    </x:row>
    <x:row r="40">
      <x:c r="A40" s="14" t="n">
        <x:v>36</x:v>
      </x:c>
      <x:c r="B40" s="14" t="str">
        <x:v>ТОВАРИСТВО З ОБМЕЖЕНОЮ ВІДПОВІДАЛЬНІСТЮ "ДІВАЙС"</x:v>
      </x:c>
      <x:c r="C40" s="14" t="str">
        <x:v>30357952</x:v>
      </x:c>
      <x:c r="D40" s="14" t="str">
        <x:v>Газопостачання / котельні</x:v>
      </x:c>
      <x:c r="E40" s="14" t="str">
        <x:v>Expansion discovery</x:v>
      </x:c>
      <x:c r="F40" s="14" t="str">
        <x:v>I2</x:v>
      </x:c>
      <x:c r="G40" s="14" t="n">
        <x:v>70</x:v>
      </x:c>
      <x:c r="H40" s="14" t="n">
        <x:v>2</x:v>
      </x:c>
      <x:c r="I40" s="14" t="n">
        <x:v>1</x:v>
      </x:c>
      <x:c r="J40" s="18" t="n">
        <x:v>23635290.35</x:v>
      </x:c>
      <x:c r="K40" s="19" t="n">
        <x:v>46205.37939574074</x:v>
      </x:c>
      <x:c r="L40" s="19" t="n">
        <x:v>46356.916655092595</x:v>
      </x:c>
      <x:c r="M40" s="15" t="str">
        <x:v>Реконструкція (відновлення) теплових мереж на ділянці від ТЕЦ-3 до МК 9501ВСК1 по просп. Л.Ландау, 179 в м.Харкові. Ділянка від МК 9500СК1 до КП9 (код ДК: 021:2015-45454000-4-Реконструкція )</x:v>
      </x:c>
      <x:c r="N40" s="15" t="str">
        <x:v>https://prozorro.gov.ua/tender/UA-2026-06-16-011498-a</x:v>
      </x:c>
    </x:row>
    <x:row r="41">
      <x:c r="A41" s="14" t="n">
        <x:v>37</x:v>
      </x:c>
      <x:c r="B41" s="14" t="str">
        <x:v>ТОВАРИСТВО З ОБМЕЖЕНОЮ ВІДПОВІДАЛЬНІСТЮ "ОЛІР"</x:v>
      </x:c>
      <x:c r="C41" s="14" t="str">
        <x:v>32263898</x:v>
      </x:c>
      <x:c r="D41" s="14" t="str">
        <x:v>Газопостачання / котельні</x:v>
      </x:c>
      <x:c r="E41" s="14" t="str">
        <x:v>Expansion discovery</x:v>
      </x:c>
      <x:c r="F41" s="14" t="str">
        <x:v>I2</x:v>
      </x:c>
      <x:c r="G41" s="14" t="n">
        <x:v>70</x:v>
      </x:c>
      <x:c r="H41" s="14" t="n">
        <x:v>2</x:v>
      </x:c>
      <x:c r="I41" s="14" t="n">
        <x:v>1</x:v>
      </x:c>
      <x:c r="J41" s="18" t="n">
        <x:v>47369224.31</x:v>
      </x:c>
      <x:c r="K41" s="19" t="n">
        <x:v>46203.48953586806</x:v>
      </x:c>
      <x:c r="L41" s="19" t="n">
        <x:v>46280</x:v>
      </x:c>
      <x:c r="M41" s="15" t="str">
        <x:v>Монтаж комплектного обладнання установки водопідготовки для підживлення водогрійних котлів та теплових мереж продуктивністю 100 м3/год для котельні КМК в приміщенні котельні по вулиці Криворіжсталі, 2м, з розробкою технічної документації, м. Кривий Ріг, Дніпропетровська область</x:v>
      </x:c>
      <x:c r="N41" s="15" t="str">
        <x:v>https://prozorro.gov.ua/tender/UA-2026-06-30-009204-a</x:v>
      </x:c>
    </x:row>
    <x:row r="42">
      <x:c r="A42" s="14" t="n">
        <x:v>38</x:v>
      </x:c>
      <x:c r="B42" s="14" t="str">
        <x:v>ФОП Струк Сергій Васильович</x:v>
      </x:c>
      <x:c r="C42" s="14" t="str">
        <x:v>2984501813</x:v>
      </x:c>
      <x:c r="D42" s="14" t="str">
        <x:v>HVAC / ОВіК</x:v>
      </x:c>
      <x:c r="E42" s="14" t="str">
        <x:v>Pilot now</x:v>
      </x:c>
      <x:c r="F42" s="14" t="str">
        <x:v>I2</x:v>
      </x:c>
      <x:c r="G42" s="14" t="n">
        <x:v>69</x:v>
      </x:c>
      <x:c r="H42" s="14" t="n">
        <x:v>3</x:v>
      </x:c>
      <x:c r="I42" s="14" t="n">
        <x:v>3</x:v>
      </x:c>
      <x:c r="J42" s="18" t="n">
        <x:v>44060</x:v>
      </x:c>
      <x:c r="K42" s="19" t="n">
        <x:v>46224.505549525464</x:v>
      </x:c>
      <x:c r="L42" s="19" t="n">
        <x:v>46387</x:v>
      </x:c>
      <x:c r="M42" s="15" t="str">
        <x:v>Послуги монтажу систем кондиціювання та вентиляції</x:v>
      </x:c>
      <x:c r="N42" s="15" t="str">
        <x:v>https://prozorro.gov.ua/tender/UA-2026-07-21-008345-a</x:v>
      </x:c>
    </x:row>
    <x:row r="43">
      <x:c r="A43" s="14" t="n">
        <x:v>39</x:v>
      </x:c>
      <x:c r="B43" s="14" t="str">
        <x:v>ТОВАРИСТВО З ОБМЕЖЕНОЮ ВІДПОВІДАЛЬНІСТЮ "ТДС БУД ІНВЕСТ"</x:v>
      </x:c>
      <x:c r="C43" s="14" t="str">
        <x:v>37432564</x:v>
      </x:c>
      <x:c r="D43" s="14" t="str">
        <x:v>ГНБ / безтраншейні роботи</x:v>
      </x:c>
      <x:c r="E43" s="14" t="str">
        <x:v>Expansion discovery</x:v>
      </x:c>
      <x:c r="F43" s="14" t="str">
        <x:v>I2</x:v>
      </x:c>
      <x:c r="G43" s="14" t="n">
        <x:v>69</x:v>
      </x:c>
      <x:c r="H43" s="14" t="n">
        <x:v>2</x:v>
      </x:c>
      <x:c r="I43" s="14" t="n">
        <x:v>1</x:v>
      </x:c>
      <x:c r="J43" s="18" t="n">
        <x:v>4895068.13</x:v>
      </x:c>
      <x:c r="K43" s="19" t="n">
        <x:v>46245.45911127315</x:v>
      </x:c>
      <x:c r="L43" s="19" t="n">
        <x:v>46325</x:v>
      </x:c>
      <x:c r="M43" s="15" t="str">
        <x:v>Реконструкція аварійної ділянки напірного колектора (2 нитки) методом горизонтально-направленого буріння по вул. Гостомельське шосе в м. Ірпінь, Київської області.</x:v>
      </x:c>
      <x:c r="N43" s="15" t="str">
        <x:v>https://prozorro.gov.ua/tender/UA-2026-08-11-007150-a</x:v>
      </x:c>
    </x:row>
    <x:row r="44">
      <x:c r="A44" s="14" t="n">
        <x:v>40</x:v>
      </x:c>
      <x:c r="B44" s="14" t="str">
        <x:v>КОМУНАЛЬНЕ ПІДПРИЄМСТВО "ІРПІНЬЖИТЛОІНВЕСТБУД"</x:v>
      </x:c>
      <x:c r="C44" s="14" t="str">
        <x:v>35023634</x:v>
      </x:c>
      <x:c r="D44" s="14" t="str">
        <x:v>ГНБ / безтраншейні роботи</x:v>
      </x:c>
      <x:c r="E44" s="14" t="str">
        <x:v>Expansion discovery</x:v>
      </x:c>
      <x:c r="F44" s="14" t="str">
        <x:v>I2</x:v>
      </x:c>
      <x:c r="G44" s="14" t="n">
        <x:v>68</x:v>
      </x:c>
      <x:c r="H44" s="14" t="n">
        <x:v>3</x:v>
      </x:c>
      <x:c r="I44" s="14" t="n">
        <x:v>2</x:v>
      </x:c>
      <x:c r="J44" s="18" t="n">
        <x:v>296465.88</x:v>
      </x:c>
      <x:c r="K44" s="19" t="n">
        <x:v>46212.49047722222</x:v>
      </x:c>
      <x:c r="L44" s="19" t="n">
        <x:v>46295</x:v>
      </x:c>
      <x:c r="M44" s="15" t="str">
        <x:v> Технічний нагляд  по об'єкту: "Реконструкція із заміною теплової мережі по вул.Привокзальна площа,5,м.Ірпінь" (частина робіт)</x:v>
      </x:c>
      <x:c r="N44" s="15" t="str">
        <x:v>https://prozorro.gov.ua/tender/UA-2026-07-09-007496-a</x:v>
      </x:c>
    </x:row>
    <x:row r="45">
      <x:c r="A45" s="14" t="n">
        <x:v>41</x:v>
      </x:c>
      <x:c r="B45" s="14" t="str">
        <x:v>Дочірнє підприємство «УкрСіверБуд» закритого акціонерного товариства «ДСК»</x:v>
      </x:c>
      <x:c r="C45" s="14" t="str">
        <x:v>30042170</x:v>
      </x:c>
      <x:c r="D45" s="14" t="str">
        <x:v>Насосні станції</x:v>
      </x:c>
      <x:c r="E45" s="14" t="str">
        <x:v>Expansion discovery</x:v>
      </x:c>
      <x:c r="F45" s="14" t="str">
        <x:v>I2</x:v>
      </x:c>
      <x:c r="G45" s="14" t="n">
        <x:v>68</x:v>
      </x:c>
      <x:c r="H45" s="14" t="n">
        <x:v>1</x:v>
      </x:c>
      <x:c r="I45" s="14" t="n">
        <x:v>1</x:v>
      </x:c>
      <x:c r="J45" s="18" t="n">
        <x:v>120011040.84</x:v>
      </x:c>
      <x:c r="K45" s="19" t="n">
        <x:v>46227.46661451389</x:v>
      </x:c>
      <x:c r="L45" s="19" t="n">
        <x:v>46371.51025462963</x:v>
      </x:c>
      <x:c r="M45" s="15" t="str">
        <x:v>Виконання робіт по об’єкту: «Реконструкція водопровідної насосної станції «Подусівка» КП «Чернігівводоканал», розташованої на землях Новобілоуської ОТГ Чернігівської області Чернігівського району» 1 черга будівництва» (код ДК 021:2015 – 45000000-7 Будівельні роботи та поточний ремонт)</x:v>
      </x:c>
      <x:c r="N45" s="15" t="str">
        <x:v>https://prozorro.gov.ua/tender/UA-2026-07-24-006850-a</x:v>
      </x:c>
    </x:row>
    <x:row r="46">
      <x:c r="A46" s="14" t="n">
        <x:v>42</x:v>
      </x:c>
      <x:c r="B46" s="14" t="str">
        <x:v>ПП Полтава Будкомплекс</x:v>
      </x:c>
      <x:c r="C46" s="14" t="str">
        <x:v>40154823</x:v>
      </x:c>
      <x:c r="D46" s="14" t="str">
        <x:v>Теплові мережі</x:v>
      </x:c>
      <x:c r="E46" s="14" t="str">
        <x:v>Expansion discovery</x:v>
      </x:c>
      <x:c r="F46" s="14" t="str">
        <x:v>I2</x:v>
      </x:c>
      <x:c r="G46" s="14" t="n">
        <x:v>68</x:v>
      </x:c>
      <x:c r="H46" s="14" t="n">
        <x:v>1</x:v>
      </x:c>
      <x:c r="I46" s="14" t="n">
        <x:v>1</x:v>
      </x:c>
      <x:c r="J46" s="18" t="n">
        <x:v>10943185</x:v>
      </x:c>
      <x:c r="K46" s="19" t="n">
        <x:v>46231.50997222222</x:v>
      </x:c>
      <x:c r="L46" s="19" t="n">
        <x:v>46327.56765046297</x:v>
      </x:c>
      <x:c r="M46" s="15" t="str">
        <x:v>Реконструкція з’єднувальної ділянки теплової мережі ТК4-ТК5-ТК6-ТК8-ТК13 між котельнями по  вул. Покровська, 2-А та вул. Покровська, 37 в м. Решетилівка Полтавської області.</x:v>
      </x:c>
      <x:c r="N46" s="15" t="str">
        <x:v>https://prozorro.gov.ua/tender/UA-2026-07-09-008782-a</x:v>
      </x:c>
    </x:row>
    <x:row r="47">
      <x:c r="A47" s="14" t="n">
        <x:v>43</x:v>
      </x:c>
      <x:c r="B47" s="14" t="str">
        <x:v>ПРИВАТНЕ АКЦІОНЕРНЕ ТОВАРИСТВО "БРОВАРСЬКЕ ШЛЯХОВО-БУДІВЕЛЬНЕ УПРАВЛІННЯ № 50"</x:v>
      </x:c>
      <x:c r="C47" s="14" t="str">
        <x:v>05408668</x:v>
      </x:c>
      <x:c r="D47" s="14" t="str">
        <x:v>Мости / інфраструктура</x:v>
      </x:c>
      <x:c r="E47" s="14" t="str">
        <x:v>Expansion discovery</x:v>
      </x:c>
      <x:c r="F47" s="14" t="str">
        <x:v>I2</x:v>
      </x:c>
      <x:c r="G47" s="14" t="n">
        <x:v>68</x:v>
      </x:c>
      <x:c r="H47" s="14" t="n">
        <x:v>1</x:v>
      </x:c>
      <x:c r="I47" s="14" t="n">
        <x:v>1</x:v>
      </x:c>
      <x:c r="J47" s="18" t="n">
        <x:v>135000000</x:v>
      </x:c>
      <x:c r="K47" s="19" t="n">
        <x:v>46216.335399791664</x:v>
      </x:c>
      <x:c r="L47" s="19" t="n">
        <x:v>46752</x:v>
      </x:c>
      <x:c r="M47" s="15" t="str">
        <x:v>Капітальний ремонт мосту на автомобільній дорозі загального користування місцевого значення О100720 Васильків - Княжичі - Лука - Гореничі - /М06/ км 20+119</x:v>
      </x:c>
      <x:c r="N47" s="15" t="str">
        <x:v>https://prozorro.gov.ua/tender/UA-2026-06-11-013816-a</x:v>
      </x:c>
    </x:row>
    <x:row r="48">
      <x:c r="A48" s="14" t="n">
        <x:v>44</x:v>
      </x:c>
      <x:c r="B48" s="14" t="str">
        <x:v>ПРИВАТНЕ ПІДПРИЄМСТВО "СІНТА - СЕРВІС"</x:v>
      </x:c>
      <x:c r="C48" s="14" t="str">
        <x:v>33542869</x:v>
      </x:c>
      <x:c r="D48" s="14" t="str">
        <x:v>Зовнішні мережі</x:v>
      </x:c>
      <x:c r="E48" s="14" t="str">
        <x:v>Expansion discovery</x:v>
      </x:c>
      <x:c r="F48" s="14" t="str">
        <x:v>I2</x:v>
      </x:c>
      <x:c r="G48" s="14" t="n">
        <x:v>68</x:v>
      </x:c>
      <x:c r="H48" s="14" t="n">
        <x:v>1</x:v>
      </x:c>
      <x:c r="I48" s="14" t="n">
        <x:v>1</x:v>
      </x:c>
      <x:c r="J48" s="18" t="n">
        <x:v>76970000</x:v>
      </x:c>
      <x:c r="K48" s="19" t="n">
        <x:v>46231.56358947916</x:v>
      </x:c>
      <x:c r="L48" s="19" t="n">
        <x:v>46746</x:v>
      </x:c>
      <x:c r="M48" s="15" t="str">
        <x:v>Нове будівництво зовнішніх інженерних мереж з підключенням до збірно-розбірних комплексних споруд Закарпатської області</x:v>
      </x:c>
      <x:c r="N48" s="15" t="str">
        <x:v>https://prozorro.gov.ua/tender/UA-2026-07-14-000809-a</x:v>
      </x:c>
    </x:row>
    <x:row r="49">
      <x:c r="A49" s="14" t="n">
        <x:v>45</x:v>
      </x:c>
      <x:c r="B49" s="14" t="str">
        <x:v>ТОВ "ВАЛЕОБУД"</x:v>
      </x:c>
      <x:c r="C49" s="14" t="str">
        <x:v>42591801</x:v>
      </x:c>
      <x:c r="D49" s="14" t="str">
        <x:v>Зовнішні мережі</x:v>
      </x:c>
      <x:c r="E49" s="14" t="str">
        <x:v>Expansion discovery</x:v>
      </x:c>
      <x:c r="F49" s="14" t="str">
        <x:v>I2</x:v>
      </x:c>
      <x:c r="G49" s="14" t="n">
        <x:v>68</x:v>
      </x:c>
      <x:c r="H49" s="14" t="n">
        <x:v>1</x:v>
      </x:c>
      <x:c r="I49" s="14" t="n">
        <x:v>1</x:v>
      </x:c>
      <x:c r="J49" s="18" t="n">
        <x:v>30262320.8</x:v>
      </x:c>
      <x:c r="K49" s="19" t="n">
        <x:v>46225.34587831019</x:v>
      </x:c>
      <x:c r="L49" s="19" t="n">
        <x:v>46387</x:v>
      </x:c>
      <x:c r="M49" s="15" t="str">
        <x:v>Будівництво багатоквартирних житлових будинків соціального призначення та дошкільного навчального закладу в другому мікрорайоні житлового району «Масани» у м. Чернігів на земельних ділянках, які перебувають в постійному користуванні: зовнішні інженерні мережі електропостачання</x:v>
      </x:c>
      <x:c r="N49" s="15" t="str">
        <x:v>https://prozorro.gov.ua/tender/UA-2026-07-07-006705-a</x:v>
      </x:c>
    </x:row>
    <x:row r="50">
      <x:c r="A50" s="14" t="n">
        <x:v>46</x:v>
      </x:c>
      <x:c r="B50" s="14" t="str">
        <x:v>ТОВ "ОДЕСАГРОГАЗ"</x:v>
      </x:c>
      <x:c r="C50" s="14" t="str">
        <x:v>35205975</x:v>
      </x:c>
      <x:c r="D50" s="14" t="str">
        <x:v>Теплові мережі</x:v>
      </x:c>
      <x:c r="E50" s="14" t="str">
        <x:v>Expansion discovery</x:v>
      </x:c>
      <x:c r="F50" s="14" t="str">
        <x:v>I2</x:v>
      </x:c>
      <x:c r="G50" s="14" t="n">
        <x:v>68</x:v>
      </x:c>
      <x:c r="H50" s="14" t="n">
        <x:v>1</x:v>
      </x:c>
      <x:c r="I50" s="14" t="n">
        <x:v>1</x:v>
      </x:c>
      <x:c r="J50" s="18" t="n">
        <x:v>10977744</x:v>
      </x:c>
      <x:c r="K50" s="19" t="n">
        <x:v>46216.2145549537</x:v>
      </x:c>
      <x:c r="L50" s="19" t="n">
        <x:v>46326</x:v>
      </x:c>
      <x:c r="M50" s="15" t="str">
        <x:v>Реконструкція теплової мережі на ділянці від камери К1 (вул.Торгова, 2А) до камери К-9 (вул.Шевченка, 10)  в м.Чорноморськ Одеського району Одеської області. Коригування.</x:v>
      </x:c>
      <x:c r="N50" s="15" t="str">
        <x:v>https://prozorro.gov.ua/tender/UA-2026-06-22-007158-a</x:v>
      </x:c>
    </x:row>
    <x:row r="51">
      <x:c r="A51" s="14" t="n">
        <x:v>47</x:v>
      </x:c>
      <x:c r="B51" s="14" t="str">
        <x:v>ТОВ "ЮІСіЕй"</x:v>
      </x:c>
      <x:c r="C51" s="14" t="str">
        <x:v>37139449</x:v>
      </x:c>
      <x:c r="D51" s="14" t="str">
        <x:v>Насосні станції</x:v>
      </x:c>
      <x:c r="E51" s="14" t="str">
        <x:v>Expansion discovery</x:v>
      </x:c>
      <x:c r="F51" s="14" t="str">
        <x:v>I2</x:v>
      </x:c>
      <x:c r="G51" s="14" t="n">
        <x:v>68</x:v>
      </x:c>
      <x:c r="H51" s="14" t="n">
        <x:v>1</x:v>
      </x:c>
      <x:c r="I51" s="14" t="n">
        <x:v>1</x:v>
      </x:c>
      <x:c r="J51" s="18" t="n">
        <x:v>11184065.74</x:v>
      </x:c>
      <x:c r="K51" s="19" t="n">
        <x:v>46252.53412481482</x:v>
      </x:c>
      <x:c r="L51" s="19" t="n">
        <x:v>46371.57699074074</x:v>
      </x:c>
      <x:c r="M51" s="15" t="str">
        <x:v>Виконання проектно - вишукувальних робіт по об'єкту: "Реконструкція каналізаційної насосної станції №1 в частині влаштування інженерного захисту технологічного обладнання" (ДК 021:2015: 71250000-5 - Архітектурні, інженерні та геодезичні послуги)</x:v>
      </x:c>
      <x:c r="N51" s="15" t="str">
        <x:v>https://prozorro.gov.ua/tender/UA-2026-08-18-010447-a</x:v>
      </x:c>
    </x:row>
    <x:row r="52">
      <x:c r="A52" s="14" t="n">
        <x:v>48</x:v>
      </x:c>
      <x:c r="B52" s="14" t="str">
        <x:v>ТОВ Брот</x:v>
      </x:c>
      <x:c r="C52" s="14" t="str">
        <x:v>38712319</x:v>
      </x:c>
      <x:c r="D52" s="14" t="str">
        <x:v>Зовнішні мережі</x:v>
      </x:c>
      <x:c r="E52" s="14" t="str">
        <x:v>Expansion discovery</x:v>
      </x:c>
      <x:c r="F52" s="14" t="str">
        <x:v>I2</x:v>
      </x:c>
      <x:c r="G52" s="14" t="n">
        <x:v>68</x:v>
      </x:c>
      <x:c r="H52" s="14" t="n">
        <x:v>1</x:v>
      </x:c>
      <x:c r="I52" s="14" t="n">
        <x:v>1</x:v>
      </x:c>
      <x:c r="J52" s="18" t="n">
        <x:v>14307849</x:v>
      </x:c>
      <x:c r="K52" s="19" t="n">
        <x:v>46230.5999233912</x:v>
      </x:c>
      <x:c r="L52" s="19" t="n">
        <x:v>46387</x:v>
      </x:c>
      <x:c r="M52" s="15" t="str">
        <x:v>Нове будівництво котельні та зовнішніх інженерних мереж для дитячого садка в мікрорайоні «Каскад» у м. Івано-Франківську</x:v>
      </x:c>
      <x:c r="N52" s="15" t="str">
        <x:v>https://prozorro.gov.ua/tender/UA-2026-07-01-008648-a</x:v>
      </x:c>
    </x:row>
    <x:row r="53">
      <x:c r="A53" s="14" t="n">
        <x:v>49</x:v>
      </x:c>
      <x:c r="B53" s="14" t="str">
        <x:v>ТОВАРИСТВО З ОБМЕЖЕНОЮ ВІДПОВІДАЛЬНІСТЮ "Б.С.ГРУП"</x:v>
      </x:c>
      <x:c r="C53" s="14" t="str">
        <x:v>41348332</x:v>
      </x:c>
      <x:c r="D53" s="14" t="str">
        <x:v>Мости / інфраструктура</x:v>
      </x:c>
      <x:c r="E53" s="14" t="str">
        <x:v>Expansion discovery</x:v>
      </x:c>
      <x:c r="F53" s="14" t="str">
        <x:v>I2</x:v>
      </x:c>
      <x:c r="G53" s="14" t="n">
        <x:v>68</x:v>
      </x:c>
      <x:c r="H53" s="14" t="n">
        <x:v>1</x:v>
      </x:c>
      <x:c r="I53" s="14" t="n">
        <x:v>1</x:v>
      </x:c>
      <x:c r="J53" s="18" t="n">
        <x:v>43825744.84</x:v>
      </x:c>
      <x:c r="K53" s="19" t="n">
        <x:v>46253.45469856481</x:v>
      </x:c>
      <x:c r="L53" s="19" t="n">
        <x:v>46752</x:v>
      </x:c>
      <x:c r="M53" s="15" t="str">
        <x:v>Будівництво трубопроводів, ліній зв’язку та електропередач, шосе, доріг, аеродромів і залізничних доріг; вирівнювання поверхонь за кодом ДК 021:2015 - 45230000-8 (послуги з поточного ремонту Південного мосту через р. Дніпро, правобережної естакади “В” Південного мостового переходу (з боку мосту ім. Є. О. Патона) та правобережної естакади “Н” Південного мостового переходу (з боку с. Корчувате), а саме на Південному мосту через р. Дніпро»)</x:v>
      </x:c>
      <x:c r="N53" s="15" t="str">
        <x:v>https://prozorro.gov.ua/tender/UA-2026-08-06-011717-a</x:v>
      </x:c>
    </x:row>
    <x:row r="54">
      <x:c r="A54" s="14" t="n">
        <x:v>50</x:v>
      </x:c>
      <x:c r="B54" s="14" t="str">
        <x:v>ТОВАРИСТВО З ОБМЕЖЕНОЮ ВІДПОВІДАЛЬНІСТЮ "ДВА Т ГРУП"</x:v>
      </x:c>
      <x:c r="C54" s="14" t="str">
        <x:v>43280292</x:v>
      </x:c>
      <x:c r="D54" s="14" t="str">
        <x:v>Зовнішні мережі</x:v>
      </x:c>
      <x:c r="E54" s="14" t="str">
        <x:v>Expansion discovery</x:v>
      </x:c>
      <x:c r="F54" s="14" t="str">
        <x:v>I2</x:v>
      </x:c>
      <x:c r="G54" s="14" t="n">
        <x:v>68</x:v>
      </x:c>
      <x:c r="H54" s="14" t="n">
        <x:v>1</x:v>
      </x:c>
      <x:c r="I54" s="14" t="n">
        <x:v>1</x:v>
      </x:c>
      <x:c r="J54" s="18" t="n">
        <x:v>26495193.6</x:v>
      </x:c>
      <x:c r="K54" s="19" t="n">
        <x:v>46216.38532724537</x:v>
      </x:c>
      <x:c r="L54" s="19" t="n">
        <x:v>46434</x:v>
      </x:c>
      <x:c r="M54" s="15" t="str">
        <x:v>Виконання будівельних робіт по об’єкту: «Нове будівництво зовнішніх інженерних мереж водовідведення, військове містечко № 20, с. Немирів, Львівська обл.» </x:v>
      </x:c>
      <x:c r="N54" s="15" t="str">
        <x:v>https://prozorro.gov.ua/tender/UA-2026-06-30-003598-a</x:v>
      </x:c>
    </x:row>
    <x:row r="55">
      <x:c r="A55" s="14" t="n">
        <x:v>51</x:v>
      </x:c>
      <x:c r="B55" s="14" t="str">
        <x:v>Товариство з обмеженою відповідальністю "Еверест-С"</x:v>
      </x:c>
      <x:c r="C55" s="14" t="str">
        <x:v>33526166</x:v>
      </x:c>
      <x:c r="D55" s="14" t="str">
        <x:v>Насосні станції</x:v>
      </x:c>
      <x:c r="E55" s="14" t="str">
        <x:v>Expansion discovery</x:v>
      </x:c>
      <x:c r="F55" s="14" t="str">
        <x:v>I2</x:v>
      </x:c>
      <x:c r="G55" s="14" t="n">
        <x:v>68</x:v>
      </x:c>
      <x:c r="H55" s="14" t="n">
        <x:v>1</x:v>
      </x:c>
      <x:c r="I55" s="14" t="n">
        <x:v>1</x:v>
      </x:c>
      <x:c r="J55" s="18" t="n">
        <x:v>12049878</x:v>
      </x:c>
      <x:c r="K55" s="19" t="n">
        <x:v>46217.39329100694</x:v>
      </x:c>
      <x:c r="L55" s="19" t="n">
        <x:v>46356.60386574074</x:v>
      </x:c>
      <x:c r="M55" s="15" t="str">
        <x:v>за кодом ДК 021:2015 (CPV): 45450000-6 - Інші завершальні будівельні роботи («Реконструкція каналізаційної насосної станції КНС-2 по вул. Романа Шухевича, 1а в м. Конотоп Сумської області (Коригування)")</x:v>
      </x:c>
      <x:c r="N55" s="15" t="str">
        <x:v>https://prozorro.gov.ua/tender/UA-2026-06-26-010661-a</x:v>
      </x:c>
    </x:row>
    <x:row r="56">
      <x:c r="A56" s="14" t="n">
        <x:v>52</x:v>
      </x:c>
      <x:c r="B56" s="14" t="str">
        <x:v>ТОВАРИСТВО З ОБМЕЖЕНОЮ ВІДПОВІДАЛЬНІСТЮ "СТАЛЬКОНСТРУКЦІЯ ЛТД"</x:v>
      </x:c>
      <x:c r="C56" s="14" t="str">
        <x:v>38158090</x:v>
      </x:c>
      <x:c r="D56" s="14" t="str">
        <x:v>Теплові мережі</x:v>
      </x:c>
      <x:c r="E56" s="14" t="str">
        <x:v>Expansion discovery</x:v>
      </x:c>
      <x:c r="F56" s="14" t="str">
        <x:v>I2</x:v>
      </x:c>
      <x:c r="G56" s="14" t="n">
        <x:v>68</x:v>
      </x:c>
      <x:c r="H56" s="14" t="n">
        <x:v>1</x:v>
      </x:c>
      <x:c r="I56" s="14" t="n">
        <x:v>1</x:v>
      </x:c>
      <x:c r="J56" s="18" t="n">
        <x:v>31769068.55</x:v>
      </x:c>
      <x:c r="K56" s="19" t="n">
        <x:v>46246.52815922454</x:v>
      </x:c>
      <x:c r="L56" s="19" t="n">
        <x:v>46326</x:v>
      </x:c>
      <x:c r="M56" s="15" t="str">
        <x:v>Реконструкція будівлі котло-турбінної **** комунального підприємства «Харківські теплові мережі» після ракетного обстрілу (інв. № 010088) за адресою: м. Харків, вул. ********** (код ДК 021:2015 – 45453000-4 "Реконструкція"). </x:v>
      </x:c>
      <x:c r="N56" s="15" t="str">
        <x:v>https://prozorro.gov.ua/tender/UA-2026-08-12-009355-a</x:v>
      </x:c>
    </x:row>
    <x:row r="57">
      <x:c r="A57" s="14" t="n">
        <x:v>53</x:v>
      </x:c>
      <x:c r="B57" s="14" t="str">
        <x:v>ТОМАКОВА НАТАЛІЯ ОЛЕКСАНДРІВНА</x:v>
      </x:c>
      <x:c r="C57" s="14" t="str">
        <x:v>2702929704</x:v>
      </x:c>
      <x:c r="D57" s="14" t="str">
        <x:v>Теплові мережі</x:v>
      </x:c>
      <x:c r="E57" s="14" t="str">
        <x:v>Expansion discovery</x:v>
      </x:c>
      <x:c r="F57" s="14" t="str">
        <x:v>I2</x:v>
      </x:c>
      <x:c r="G57" s="14" t="n">
        <x:v>67</x:v>
      </x:c>
      <x:c r="H57" s="14" t="n">
        <x:v>3</x:v>
      </x:c>
      <x:c r="I57" s="14" t="n">
        <x:v>3</x:v>
      </x:c>
      <x:c r="J57" s="18" t="n">
        <x:v>165540</x:v>
      </x:c>
      <x:c r="K57" s="19" t="n">
        <x:v>46203.33054814815</x:v>
      </x:c>
      <x:c r="L57" s="19" t="n">
        <x:v>46387</x:v>
      </x:c>
      <x:c r="M57" s="15" t="str">
        <x:v>Роботи по розробці проектно-коштторисної документації  по обєкту "Реконструкція ділянки теплової мережі аварійного теплопостачання  споживачів шляхом кільцевого зєднання  між тепловими мережами котельні інв. № 26 та котельні інв № 19м.Біла Церква Київської області </x:v>
      </x:c>
      <x:c r="N57" s="15" t="str">
        <x:v>https://prozorro.gov.ua/tender/UA-2026-06-30-003014-a</x:v>
      </x:c>
    </x:row>
    <x:row r="58">
      <x:c r="A58" s="14" t="n">
        <x:v>54</x:v>
      </x:c>
      <x:c r="B58" s="14" t="str">
        <x:v>КАПАРНИК АНДРІЙ ІГОРОВИЧ</x:v>
      </x:c>
      <x:c r="C58" s="14" t="str">
        <x:v>2257106876</x:v>
      </x:c>
      <x:c r="D58" s="14" t="str">
        <x:v>Водоочищення / очисні споруди</x:v>
      </x:c>
      <x:c r="E58" s="14" t="str">
        <x:v>Expansion discovery</x:v>
      </x:c>
      <x:c r="F58" s="14" t="str">
        <x:v>I2</x:v>
      </x:c>
      <x:c r="G58" s="14" t="n">
        <x:v>67</x:v>
      </x:c>
      <x:c r="H58" s="14" t="n">
        <x:v>2</x:v>
      </x:c>
      <x:c r="I58" s="14" t="n">
        <x:v>2</x:v>
      </x:c>
      <x:c r="J58" s="18" t="n">
        <x:v>1480096.54</x:v>
      </x:c>
      <x:c r="K58" s="19" t="n">
        <x:v>46217.52279150463</x:v>
      </x:c>
      <x:c r="L58" s="19" t="n">
        <x:v>46387</x:v>
      </x:c>
      <x:c r="M58" s="15" t="str">
        <x:v>Послуги з інженерного проектування, роботи по виготовленню проектно-кошторисної документації по об’єкту «Реконструкція очисних споруд продуктивність 300 м3/добу в м. Монастириська, вул. Грушевського, 8-Д, Чортківського району Тернопільської області»</x:v>
      </x:c>
      <x:c r="N58" s="15" t="str">
        <x:v>https://prozorro.gov.ua/tender/UA-2026-07-14-009316-a</x:v>
      </x:c>
    </x:row>
    <x:row r="59">
      <x:c r="A59" s="14" t="n">
        <x:v>55</x:v>
      </x:c>
      <x:c r="B59" s="14" t="str">
        <x:v>ТОВ "Техенергохім"</x:v>
      </x:c>
      <x:c r="C59" s="14" t="str">
        <x:v>22161169</x:v>
      </x:c>
      <x:c r="D59" s="14" t="str">
        <x:v>Водоочищення / очисні споруди</x:v>
      </x:c>
      <x:c r="E59" s="14" t="str">
        <x:v>Expansion discovery</x:v>
      </x:c>
      <x:c r="F59" s="14" t="str">
        <x:v>I2</x:v>
      </x:c>
      <x:c r="G59" s="14" t="n">
        <x:v>67</x:v>
      </x:c>
      <x:c r="H59" s="14" t="n">
        <x:v>2</x:v>
      </x:c>
      <x:c r="I59" s="14" t="n">
        <x:v>2</x:v>
      </x:c>
      <x:c r="J59" s="18" t="n">
        <x:v>1865665</x:v>
      </x:c>
      <x:c r="K59" s="19" t="n">
        <x:v>46182.49519430556</x:v>
      </x:c>
      <x:c r="L59" s="19" t="n">
        <x:v>46419</x:v>
      </x:c>
      <x:c r="M59" s="15" t="str">
        <x:v>ДК 021:2015- 71320000– 7  Послуги  з  розробки проєктно — кошторисної документації  а  саме :   «Реконструкція насосної станції водопостачання мкрн. «Північний» за адресою: м. Миколаїв, вул. Архітектора Старова, 3/1»</x:v>
      </x:c>
      <x:c r="N59" s="15" t="str">
        <x:v>https://prozorro.gov.ua/tender/UA-2026-05-21-003112-a</x:v>
      </x:c>
    </x:row>
    <x:row r="60">
      <x:c r="A60" s="14" t="n">
        <x:v>56</x:v>
      </x:c>
      <x:c r="B60" s="14" t="str">
        <x:v>ТОВАРИСТВО З ОБМЕЖЕНОЮ ВІДПОВІДАЛЬНІСТЮ "ЕНЕРГОЕКСПЛУАТАЦІЯ"</x:v>
      </x:c>
      <x:c r="C60" s="14" t="str">
        <x:v>39090788</x:v>
      </x:c>
      <x:c r="D60" s="14" t="str">
        <x:v>Електромонтаж</x:v>
      </x:c>
      <x:c r="E60" s="14" t="str">
        <x:v>Pilot now</x:v>
      </x:c>
      <x:c r="F60" s="14" t="str">
        <x:v>I2</x:v>
      </x:c>
      <x:c r="G60" s="14" t="n">
        <x:v>67</x:v>
      </x:c>
      <x:c r="H60" s="14" t="n">
        <x:v>3</x:v>
      </x:c>
      <x:c r="I60" s="14" t="n">
        <x:v>2</x:v>
      </x:c>
      <x:c r="J60" s="18" t="n">
        <x:v>74550</x:v>
      </x:c>
      <x:c r="K60" s="19" t="n">
        <x:v>46244.53717113426</x:v>
      </x:c>
      <x:c r="L60" s="19" t="n">
        <x:v>46295</x:v>
      </x:c>
      <x:c r="M60" s="15" t="str">
        <x:v>ДК 021:2015: 653200002 - Експлуатація електричних установок
(Електровимірювальні роботи 0,4 кВ: замір опору контуру заземлення, заміри перехідного опору заземлення обладнання, заміри опору ізоляції електропроводки, заміри петлі фаза-нуль електрообладнання Замовника)
</x:v>
      </x:c>
      <x:c r="N60" s="15" t="str">
        <x:v>https://prozorro.gov.ua/tender/UA-2026-07-30-009341-a</x:v>
      </x:c>
    </x:row>
    <x:row r="61">
      <x:c r="A61" s="14" t="n">
        <x:v>57</x:v>
      </x:c>
      <x:c r="B61" s="14" t="str">
        <x:v>Фізична особа- підприємець Лукащук Роман Віталійович</x:v>
      </x:c>
      <x:c r="C61" s="14" t="str">
        <x:v>3003213534</x:v>
      </x:c>
      <x:c r="D61" s="14" t="str">
        <x:v>Сонячна енергетика</x:v>
      </x:c>
      <x:c r="E61" s="14" t="str">
        <x:v>Expansion discovery</x:v>
      </x:c>
      <x:c r="F61" s="14" t="str">
        <x:v>I2</x:v>
      </x:c>
      <x:c r="G61" s="14" t="n">
        <x:v>67</x:v>
      </x:c>
      <x:c r="H61" s="14" t="n">
        <x:v>2</x:v>
      </x:c>
      <x:c r="I61" s="14" t="n">
        <x:v>2</x:v>
      </x:c>
      <x:c r="J61" s="18" t="n">
        <x:v>680000</x:v>
      </x:c>
      <x:c r="K61" s="19" t="n">
        <x:v>46230.407862685184</x:v>
      </x:c>
      <x:c r="L61" s="19" t="n">
        <x:v>46280</x:v>
      </x:c>
      <x:c r="M61" s="15" t="str">
        <x:v>Роботи з виготовлення проектно-кошторисної документації на: Капітальний ремонт будівлі навчального корпусу № 1, на вул. Соборна, 11 у м. Рівне (Монтаж сонячної електростанції)</x:v>
      </x:c>
      <x:c r="N61" s="15" t="str">
        <x:v>https://prozorro.gov.ua/tender/UA-2026-07-27-004982-a</x:v>
      </x:c>
    </x:row>
    <x:row r="62">
      <x:c r="A62" s="14" t="n">
        <x:v>58</x:v>
      </x:c>
      <x:c r="B62" s="14" t="str">
        <x:v>МАЛЕ ПРИВАТНЕ ПІДПРИЄМСТВО "ЕЛЕКТРОСЕРВІС"</x:v>
      </x:c>
      <x:c r="C62" s="14" t="str">
        <x:v>22051653</x:v>
      </x:c>
      <x:c r="D62" s="14" t="str">
        <x:v>Електромонтаж</x:v>
      </x:c>
      <x:c r="E62" s="14" t="str">
        <x:v>Pilot now</x:v>
      </x:c>
      <x:c r="F62" s="14" t="str">
        <x:v>I2</x:v>
      </x:c>
      <x:c r="G62" s="14" t="n">
        <x:v>67</x:v>
      </x:c>
      <x:c r="H62" s="14" t="n">
        <x:v>5</x:v>
      </x:c>
      <x:c r="I62" s="14" t="n">
        <x:v>1</x:v>
      </x:c>
      <x:c r="J62" s="18" t="n">
        <x:v>69846</x:v>
      </x:c>
      <x:c r="K62" s="19" t="n">
        <x:v>46231.54679755787</x:v>
      </x:c>
      <x:c r="L62" s="19" t="n">
        <x:v>46265</x:v>
      </x:c>
      <x:c r="M62" s="15" t="str">
        <x:v>Послуги з технічного огляду та випробувань - електровимірювальних робіт - вимірювання опору заземлюючих пристроїв, вимірювання перехідного опору між заземлюючим пристроєм та заземленими елементами, вимірювання повного опору ланцюга петлі "фаза-нуль", вимірювання опору ізоляції кабелів, проводів, силової та освітлювальної електропроводки, ізоляції електрообладнання до 1 кВ приміщень: Ліцею №1 імені Лесі Українки Звягельської міської ради</x:v>
      </x:c>
      <x:c r="N62" s="15" t="str">
        <x:v>https://prozorro.gov.ua/tender/UA-2026-07-28-010186-a</x:v>
      </x:c>
    </x:row>
    <x:row r="63">
      <x:c r="A63" s="14" t="n">
        <x:v>59</x:v>
      </x:c>
      <x:c r="B63" s="14" t="str">
        <x:v>ПРИВАТНЕ ПІДПРИЄМСТВО "ЕНЕРГО-СЕРВІС ПРОЕКТ"</x:v>
      </x:c>
      <x:c r="C63" s="14" t="str">
        <x:v>34417433</x:v>
      </x:c>
      <x:c r="D63" s="14" t="str">
        <x:v>Електромонтаж</x:v>
      </x:c>
      <x:c r="E63" s="14" t="str">
        <x:v>Pilot now</x:v>
      </x:c>
      <x:c r="F63" s="14" t="str">
        <x:v>I2</x:v>
      </x:c>
      <x:c r="G63" s="14" t="n">
        <x:v>67</x:v>
      </x:c>
      <x:c r="H63" s="14" t="n">
        <x:v>4</x:v>
      </x:c>
      <x:c r="I63" s="14" t="n">
        <x:v>1</x:v>
      </x:c>
      <x:c r="J63" s="18" t="n">
        <x:v>32465.5</x:v>
      </x:c>
      <x:c r="K63" s="19" t="n">
        <x:v>46258.25709982639</x:v>
      </x:c>
      <x:c r="L63" s="19" t="n">
        <x:v>46295</x:v>
      </x:c>
      <x:c r="M63" s="15" t="str">
        <x:v>Вимірювання опору розтікання струму заземлюючих пристроїв (блискавкозахистів), вимір опору розтікання струму основних заземлювачів (контур заземлення), перевірка наявності металічного зв'язку між заземлювачами та заземлюючими елементами (опір перехідних контактів, мережі, захисних пристроїв), вимір опору ізоляції кабелів, електричних проводок і ізоляції апаратів, занесення даних по результатам проведення електровимірювальних та випробувальних робіт на об’єкти до “Технічного звіту» з відповідними висновками в протоколах, передбачених правилами «ПБЕЕС»</x:v>
      </x:c>
      <x:c r="N63" s="15" t="str">
        <x:v>https://prozorro.gov.ua/tender/UA-2026-08-24-000441-a</x:v>
      </x:c>
    </x:row>
    <x:row r="64">
      <x:c r="A64" s="14" t="n">
        <x:v>60</x:v>
      </x:c>
      <x:c r="B64" s="14" t="str">
        <x:v>ТОВ "Гранд інжиніринг Україна"</x:v>
      </x:c>
      <x:c r="C64" s="14" t="str">
        <x:v>36577370</x:v>
      </x:c>
      <x:c r="D64" s="14" t="str">
        <x:v>Газопостачання / котельні</x:v>
      </x:c>
      <x:c r="E64" s="14" t="str">
        <x:v>Expansion discovery</x:v>
      </x:c>
      <x:c r="F64" s="14" t="str">
        <x:v>I2</x:v>
      </x:c>
      <x:c r="G64" s="14" t="n">
        <x:v>66</x:v>
      </x:c>
      <x:c r="H64" s="14" t="n">
        <x:v>3</x:v>
      </x:c>
      <x:c r="I64" s="14" t="n">
        <x:v>3</x:v>
      </x:c>
      <x:c r="J64" s="18" t="n">
        <x:v>69010</x:v>
      </x:c>
      <x:c r="K64" s="19" t="n">
        <x:v>46156.48084564815</x:v>
      </x:c>
      <x:c r="L64" s="19" t="n">
        <x:v>46296.4825</x:v>
      </x:c>
      <x:c r="M64" s="15" t="str">
        <x:v>Роботи по демонтажу, державній повірці у відповідній лабораторії  та монтажу  лічильника газу, GPRS модему  ТКБ  в котельні  №2 ліцею.</x:v>
      </x:c>
      <x:c r="N64" s="15" t="str">
        <x:v>https://prozorro.gov.ua/tender/UA-2026-05-14-009008-a</x:v>
      </x:c>
    </x:row>
    <x:row r="65">
      <x:c r="A65" s="14" t="n">
        <x:v>61</x:v>
      </x:c>
      <x:c r="B65" s="14" t="str">
        <x:v>АТ " Тернопільобленерго" Підволочиський РЕМ</x:v>
      </x:c>
      <x:c r="C65" s="14" t="str">
        <x:v>00130725</x:v>
      </x:c>
      <x:c r="D65" s="14" t="str">
        <x:v>Електромонтаж</x:v>
      </x:c>
      <x:c r="E65" s="14" t="str">
        <x:v>Pilot now</x:v>
      </x:c>
      <x:c r="F65" s="14" t="str">
        <x:v>I2</x:v>
      </x:c>
      <x:c r="G65" s="14" t="n">
        <x:v>66</x:v>
      </x:c>
      <x:c r="H65" s="14" t="n">
        <x:v>2</x:v>
      </x:c>
      <x:c r="I65" s="14" t="n">
        <x:v>2</x:v>
      </x:c>
      <x:c r="J65" s="18" t="n">
        <x:v>112928.18</x:v>
      </x:c>
      <x:c r="K65" s="19" t="n">
        <x:v>46251.498970740744</x:v>
      </x:c>
      <x:c r="L65" s="19" t="n">
        <x:v>46387</x:v>
      </x:c>
      <x:c r="M65" s="15" t="str">
        <x:v>Електромонтажні роботи</x:v>
      </x:c>
      <x:c r="N65" s="15" t="str">
        <x:v>https://prozorro.gov.ua/tender/UA-2026-08-17-008334-a</x:v>
      </x:c>
    </x:row>
    <x:row r="66">
      <x:c r="A66" s="14" t="n">
        <x:v>62</x:v>
      </x:c>
      <x:c r="B66" s="14" t="str">
        <x:v>ТзОВ " Е.Т.Е.ПРО"</x:v>
      </x:c>
      <x:c r="C66" s="14" t="str">
        <x:v>41868819</x:v>
      </x:c>
      <x:c r="D66" s="14" t="str">
        <x:v>Водоочищення / очисні споруди</x:v>
      </x:c>
      <x:c r="E66" s="14" t="str">
        <x:v>Expansion discovery</x:v>
      </x:c>
      <x:c r="F66" s="14" t="str">
        <x:v>I2</x:v>
      </x:c>
      <x:c r="G66" s="14" t="n">
        <x:v>66</x:v>
      </x:c>
      <x:c r="H66" s="14" t="n">
        <x:v>2</x:v>
      </x:c>
      <x:c r="I66" s="14" t="n">
        <x:v>2</x:v>
      </x:c>
      <x:c r="J66" s="18" t="n">
        <x:v>274295.9</x:v>
      </x:c>
      <x:c r="K66" s="19" t="n">
        <x:v>46237.51469081019</x:v>
      </x:c>
      <x:c r="L66" s="19" t="n">
        <x:v>46387.5571412037</x:v>
      </x:c>
      <x:c r="M66" s="15" t="str">
        <x:v>Виготовлення проектно-кошторисної документації по об’єкту: « Реконструкція каналізаційних очисних споруд селища Дашава Стрийського району Львівської області. Коригування.»</x:v>
      </x:c>
      <x:c r="N66" s="15" t="str">
        <x:v>https://prozorro.gov.ua/tender/UA-2026-08-03-008135-a</x:v>
      </x:c>
    </x:row>
    <x:row r="67">
      <x:c r="A67" s="14" t="n">
        <x:v>63</x:v>
      </x:c>
      <x:c r="B67" s="14" t="str">
        <x:v>ТОВ  "Охорона-Комплекс-Придунав'є"</x:v>
      </x:c>
      <x:c r="C67" s="14" t="str">
        <x:v>32370184</x:v>
      </x:c>
      <x:c r="D67" s="14" t="str">
        <x:v>Пожежогасіння</x:v>
      </x:c>
      <x:c r="E67" s="14" t="str">
        <x:v>Expansion discovery</x:v>
      </x:c>
      <x:c r="F67" s="14" t="str">
        <x:v>I2</x:v>
      </x:c>
      <x:c r="G67" s="14" t="n">
        <x:v>66</x:v>
      </x:c>
      <x:c r="H67" s="14" t="n">
        <x:v>2</x:v>
      </x:c>
      <x:c r="I67" s="14" t="n">
        <x:v>2</x:v>
      </x:c>
      <x:c r="J67" s="18" t="n">
        <x:v>214315.32</x:v>
      </x:c>
      <x:c r="K67" s="19" t="n">
        <x:v>46258.39639957176</x:v>
      </x:c>
      <x:c r="L67" s="19" t="n">
        <x:v>46326.439467592594</x:v>
      </x:c>
      <x:c r="M67" s="15" t="str">
        <x:v>Монтаж й установка системи пожежної  сигналізації в приміщеннях будівлі інв.№117/3 військової частини А2372 за адресою: Одеська область, Ізмаїльський район, с.Лощинівка, В/ч А2372</x:v>
      </x:c>
      <x:c r="N67" s="15" t="str">
        <x:v>https://prozorro.gov.ua/tender/UA-2026-08-24-004546-a</x:v>
      </x:c>
    </x:row>
    <x:row r="68">
      <x:c r="A68" s="14" t="n">
        <x:v>64</x:v>
      </x:c>
      <x:c r="B68" s="14" t="str">
        <x:v>ТОВ"СПЕЦ-КЛІМАТ-КОНТРОЛЬ"</x:v>
      </x:c>
      <x:c r="C68" s="14" t="str">
        <x:v>38017969</x:v>
      </x:c>
      <x:c r="D68" s="14" t="str">
        <x:v>HVAC / ОВіК</x:v>
      </x:c>
      <x:c r="E68" s="14" t="str">
        <x:v>Pilot now</x:v>
      </x:c>
      <x:c r="F68" s="14" t="str">
        <x:v>I2</x:v>
      </x:c>
      <x:c r="G68" s="14" t="n">
        <x:v>66</x:v>
      </x:c>
      <x:c r="H68" s="14" t="n">
        <x:v>2</x:v>
      </x:c>
      <x:c r="I68" s="14" t="n">
        <x:v>2</x:v>
      </x:c>
      <x:c r="J68" s="18" t="n">
        <x:v>195699.28</x:v>
      </x:c>
      <x:c r="K68" s="19" t="n">
        <x:v>46239.278659386575</x:v>
      </x:c>
      <x:c r="L68" s="19" t="n">
        <x:v>46387</x:v>
      </x:c>
      <x:c r="M68" s="15" t="str">
        <x:v>Послуги з поточного ремонту монтажу систем вентиляції за адресою: с.Нова Долина, вул.Г.Кудряшова,1А</x:v>
      </x:c>
      <x:c r="N68" s="15" t="str">
        <x:v>https://prozorro.gov.ua/tender/UA-2026-08-05-001219-a</x:v>
      </x:c>
    </x:row>
    <x:row r="69">
      <x:c r="A69" s="14" t="n">
        <x:v>65</x:v>
      </x:c>
      <x:c r="B69" s="14" t="str">
        <x:v>ТОВАРИСТВО З ОБМЕЖЕНОЮ ВІДПОВІДАЛЬНІСТЮ "АЛЬТІУС-ПРОМ"</x:v>
      </x:c>
      <x:c r="C69" s="14" t="str">
        <x:v>41481664</x:v>
      </x:c>
      <x:c r="D69" s="14" t="str">
        <x:v>Мости / інфраструктура</x:v>
      </x:c>
      <x:c r="E69" s="14" t="str">
        <x:v>Expansion discovery</x:v>
      </x:c>
      <x:c r="F69" s="14" t="str">
        <x:v>I2</x:v>
      </x:c>
      <x:c r="G69" s="14" t="n">
        <x:v>66</x:v>
      </x:c>
      <x:c r="H69" s="14" t="n">
        <x:v>2</x:v>
      </x:c>
      <x:c r="I69" s="14" t="n">
        <x:v>2</x:v>
      </x:c>
      <x:c r="J69" s="18" t="n">
        <x:v>413102.85</x:v>
      </x:c>
      <x:c r="K69" s="19" t="n">
        <x:v>46240.360261932874</x:v>
      </x:c>
      <x:c r="L69" s="19" t="n">
        <x:v>46387</x:v>
      </x:c>
      <x:c r="M69" s="15" t="str">
        <x:v>Архітектурні, інженерні та планувальні послуги за кодом ДК 021:2015 - 71240000-2 (послуги з проєктування об’єкту: «Послуги з ремонту мосту пішохідного через р. Либідь до ТЕЦ - 5»)</x:v>
      </x:c>
      <x:c r="N69" s="15" t="str">
        <x:v>https://prozorro.gov.ua/tender/UA-2026-07-24-003218-a</x:v>
      </x:c>
    </x:row>
    <x:row r="70">
      <x:c r="A70" s="14" t="n">
        <x:v>66</x:v>
      </x:c>
      <x:c r="B70" s="14" t="str">
        <x:v>ТОВАРИСТВО З ОБМЕЖЕНОЮ ВІДПОВІДАЛЬНІСТЮ "ВИРОБНИЧО-КОМЕРЦІЙНЕ ПІДПРИЄМСТВО "СУЧАСНІ ЕНЕРГЕТИЧНІ ТЕХНОЛОГІЇ"</x:v>
      </x:c>
      <x:c r="C70" s="14" t="str">
        <x:v>40395711</x:v>
      </x:c>
      <x:c r="D70" s="14" t="str">
        <x:v>Сонячна енергетика</x:v>
      </x:c>
      <x:c r="E70" s="14" t="str">
        <x:v>Expansion discovery</x:v>
      </x:c>
      <x:c r="F70" s="14" t="str">
        <x:v>I2</x:v>
      </x:c>
      <x:c r="G70" s="14" t="n">
        <x:v>66</x:v>
      </x:c>
      <x:c r="H70" s="14" t="n">
        <x:v>2</x:v>
      </x:c>
      <x:c r="I70" s="14" t="n">
        <x:v>2</x:v>
      </x:c>
      <x:c r="J70" s="18" t="n">
        <x:v>120852</x:v>
      </x:c>
      <x:c r="K70" s="19" t="n">
        <x:v>46219.321427800925</x:v>
      </x:c>
      <x:c r="L70" s="19" t="n">
        <x:v>46387</x:v>
      </x:c>
      <x:c r="M70" s="15" t="str">
        <x:v>монтаж сонячної електростанції</x:v>
      </x:c>
      <x:c r="N70" s="15" t="str">
        <x:v>https://prozorro.gov.ua/tender/UA-2026-07-16-002118-a</x:v>
      </x:c>
    </x:row>
    <x:row r="71">
      <x:c r="A71" s="14" t="n">
        <x:v>67</x:v>
      </x:c>
      <x:c r="B71" s="14" t="str">
        <x:v>ТОВАРИСТВО З ОБМЕЖЕНОЮ ВІДПОВІДАЛЬНІСТЮ "КОВЧЕГ ІНЖЕНЕРИНГ"</x:v>
      </x:c>
      <x:c r="C71" s="14" t="str">
        <x:v>42743490</x:v>
      </x:c>
      <x:c r="D71" s="14" t="str">
        <x:v>Зовнішні мережі</x:v>
      </x:c>
      <x:c r="E71" s="14" t="str">
        <x:v>Expansion discovery</x:v>
      </x:c>
      <x:c r="F71" s="14" t="str">
        <x:v>I2</x:v>
      </x:c>
      <x:c r="G71" s="14" t="n">
        <x:v>66</x:v>
      </x:c>
      <x:c r="H71" s="14" t="n">
        <x:v>2</x:v>
      </x:c>
      <x:c r="I71" s="14" t="n">
        <x:v>2</x:v>
      </x:c>
      <x:c r="J71" s="18" t="n">
        <x:v>147264</x:v>
      </x:c>
      <x:c r="K71" s="19" t="n">
        <x:v>46240.50336412037</x:v>
      </x:c>
      <x:c r="L71" s="19" t="n">
        <x:v>46381</x:v>
      </x:c>
      <x:c r="M71" s="15" t="str">
        <x:v>Авторський нагляд за роботами на об’єкті: "Нове будівництво зовнішніх інженерних мереж водовідведення, військове містечко № 20, с. Немирів, Львівська обл."</x:v>
      </x:c>
      <x:c r="N71" s="15" t="str">
        <x:v>https://prozorro.gov.ua/tender/UA-2026-08-06-008231-a</x:v>
      </x:c>
    </x:row>
    <x:row r="72">
      <x:c r="A72" s="14" t="n">
        <x:v>68</x:v>
      </x:c>
      <x:c r="B72" s="14" t="str">
        <x:v>ТОВАРИСТВО З ОБМЕЖЕНОЮ ВІДПОВІДАЛЬНІСТЮ "ОХТИРКАПРОМЕНЕРГО"</x:v>
      </x:c>
      <x:c r="C72" s="14" t="str">
        <x:v>42563329</x:v>
      </x:c>
      <x:c r="D72" s="14" t="str">
        <x:v>Сонячна енергетика</x:v>
      </x:c>
      <x:c r="E72" s="14" t="str">
        <x:v>Expansion discovery</x:v>
      </x:c>
      <x:c r="F72" s="14" t="str">
        <x:v>I2</x:v>
      </x:c>
      <x:c r="G72" s="14" t="n">
        <x:v>66</x:v>
      </x:c>
      <x:c r="H72" s="14" t="n">
        <x:v>2</x:v>
      </x:c>
      <x:c r="I72" s="14" t="n">
        <x:v>2</x:v>
      </x:c>
      <x:c r="J72" s="18" t="n">
        <x:v>440800</x:v>
      </x:c>
      <x:c r="K72" s="19" t="n">
        <x:v>46237.27468818287</x:v>
      </x:c>
      <x:c r="L72" s="19" t="n">
        <x:v>46264</x:v>
      </x:c>
      <x:c r="M72" s="15" t="str">
        <x:v>Послуги з монтажу та підключення комплекту електрообладнання сонячної електростанції (монтаж сонячних панелей, монтаж та підключення АКБ та інвертора) у Пологівській гімназії Чернеччинської сільської ради Охтирського району Сумської області за адресою: вул. Лозового, 50, с. Пологи Охтирського району Сумської області за кодом ДК 021:2015 - 45310000-3 - Електромонтажні роботи</x:v>
      </x:c>
      <x:c r="N72" s="15" t="str">
        <x:v>https://prozorro.gov.ua/tender/UA-2026-07-23-007593-a</x:v>
      </x:c>
    </x:row>
    <x:row r="73">
      <x:c r="A73" s="14" t="n">
        <x:v>69</x:v>
      </x:c>
      <x:c r="B73" s="14" t="str">
        <x:v>ТОВАРИСТВО З ОБМЕЖЕНОЮ ВІДПОВІДАЛЬНІСТЮ "ТЕРМОСТАНДАРТ"</x:v>
      </x:c>
      <x:c r="C73" s="14" t="str">
        <x:v>33165192</x:v>
      </x:c>
      <x:c r="D73" s="14" t="str">
        <x:v>HVAC / ОВіК</x:v>
      </x:c>
      <x:c r="E73" s="14" t="str">
        <x:v>Pilot now</x:v>
      </x:c>
      <x:c r="F73" s="14" t="str">
        <x:v>I2</x:v>
      </x:c>
      <x:c r="G73" s="14" t="n">
        <x:v>66</x:v>
      </x:c>
      <x:c r="H73" s="14" t="n">
        <x:v>2</x:v>
      </x:c>
      <x:c r="I73" s="14" t="n">
        <x:v>2</x:v>
      </x:c>
      <x:c r="J73" s="18" t="n">
        <x:v>318161.67</x:v>
      </x:c>
      <x:c r="K73" s="19" t="n">
        <x:v>46251.33581399306</x:v>
      </x:c>
      <x:c r="L73" s="19" t="n">
        <x:v>46376</x:v>
      </x:c>
      <x:c r="M73" s="15" t="str">
        <x:v>Послуги з поточного ремонту систем припливно - витяжної вентиляції (кондиціювання) , демонтажу -монтажу та технічному обслуговуванню кондиціонерів за кодом ДК 021:2015 - 50730000-1 «Послуги з ремонту і технічного обслуговування охолоджувальних установок»</x:v>
      </x:c>
      <x:c r="N73" s="15" t="str">
        <x:v>https://prozorro.gov.ua/tender/UA-2026-08-04-003638-a</x:v>
      </x:c>
    </x:row>
    <x:row r="74">
      <x:c r="A74" s="14" t="n">
        <x:v>70</x:v>
      </x:c>
      <x:c r="B74" s="14" t="str">
        <x:v>ТОВАРИСТВО З ОБМЕЖЕНОЮ ВІДПОВІДАЛЬНІСТЮ «КОМПАНІЯ «СЕРВІСГРУПП ПЛЮС»</x:v>
      </x:c>
      <x:c r="C74" s="14" t="str">
        <x:v>43774597</x:v>
      </x:c>
      <x:c r="D74" s="14" t="str">
        <x:v>Зовнішні мережі</x:v>
      </x:c>
      <x:c r="E74" s="14" t="str">
        <x:v>Expansion discovery</x:v>
      </x:c>
      <x:c r="F74" s="14" t="str">
        <x:v>I2</x:v>
      </x:c>
      <x:c r="G74" s="14" t="n">
        <x:v>66</x:v>
      </x:c>
      <x:c r="H74" s="14" t="n">
        <x:v>2</x:v>
      </x:c>
      <x:c r="I74" s="14" t="n">
        <x:v>2</x:v>
      </x:c>
      <x:c r="J74" s="18" t="n">
        <x:v>201822</x:v>
      </x:c>
      <x:c r="K74" s="19" t="n">
        <x:v>46254.35159587963</x:v>
      </x:c>
      <x:c r="L74" s="19" t="n">
        <x:v>46433</x:v>
      </x:c>
      <x:c r="M74" s="15" t="str">
        <x:v>Авторський нагляд за роботами на об’єкті: "Нове будівництво зовнішніх інженерних мереж електропостачання, військове містечко № 20, с. Немирів, Львівська обл."</x:v>
      </x:c>
      <x:c r="N74" s="15" t="str">
        <x:v>https://prozorro.gov.ua/tender/UA-2026-08-20-003924-a</x:v>
      </x:c>
    </x:row>
    <x:row r="75">
      <x:c r="A75" s="14" t="n">
        <x:v>71</x:v>
      </x:c>
      <x:c r="B75" s="14" t="str">
        <x:v>Товариство з обмеженою відповідальністю «Обслуговування Будівництво Експлуатація Споруд Зв’язку»</x:v>
      </x:c>
      <x:c r="C75" s="14" t="str">
        <x:v>34167688</x:v>
      </x:c>
      <x:c r="D75" s="14" t="str">
        <x:v>ГНБ / безтраншейні роботи</x:v>
      </x:c>
      <x:c r="E75" s="14" t="str">
        <x:v>Expansion discovery</x:v>
      </x:c>
      <x:c r="F75" s="14" t="str">
        <x:v>I2</x:v>
      </x:c>
      <x:c r="G75" s="14" t="n">
        <x:v>66</x:v>
      </x:c>
      <x:c r="H75" s="14" t="n">
        <x:v>2</x:v>
      </x:c>
      <x:c r="I75" s="14" t="n">
        <x:v>2</x:v>
      </x:c>
      <x:c r="J75" s="18" t="n">
        <x:v>174680</x:v>
      </x:c>
      <x:c r="K75" s="19" t="n">
        <x:v>46251.51434275463</x:v>
      </x:c>
      <x:c r="L75" s="19" t="n">
        <x:v>46387</x:v>
      </x:c>
      <x:c r="M75" s="15" t="str">
        <x:v>Комплекс будівельних робіт щодо влаштування переходу методом горизонтально-направленого буріння</x:v>
      </x:c>
      <x:c r="N75" s="15" t="str">
        <x:v>https://prozorro.gov.ua/tender/UA-2026-08-17-009018-a</x:v>
      </x:c>
    </x:row>
    <x:row r="76">
      <x:c r="A76" s="14" t="n">
        <x:v>72</x:v>
      </x:c>
      <x:c r="B76" s="14" t="str">
        <x:v>Управління капітального будівництва Чернігівської міської ради</x:v>
      </x:c>
      <x:c r="C76" s="14" t="str">
        <x:v>05517729</x:v>
      </x:c>
      <x:c r="D76" s="14" t="str">
        <x:v>Насосні станції</x:v>
      </x:c>
      <x:c r="E76" s="14" t="str">
        <x:v>Expansion discovery</x:v>
      </x:c>
      <x:c r="F76" s="14" t="str">
        <x:v>I2</x:v>
      </x:c>
      <x:c r="G76" s="14" t="n">
        <x:v>66</x:v>
      </x:c>
      <x:c r="H76" s="14" t="n">
        <x:v>2</x:v>
      </x:c>
      <x:c r="I76" s="14" t="n">
        <x:v>2</x:v>
      </x:c>
      <x:c r="J76" s="18" t="n">
        <x:v>485745.09</x:v>
      </x:c>
      <x:c r="K76" s="19" t="n">
        <x:v>46240.36500672454</x:v>
      </x:c>
      <x:c r="L76" s="19" t="n">
        <x:v>46752.40704861111</x:v>
      </x:c>
      <x:c r="M76" s="15" t="str">
        <x:v>Здійснення технічного нагляду за виконанням будівельних робіт на об"єкті будівництва: "Реконструкція електричної мережі водопровідної насосної станції №3 "Бобровиця", розташованої на землях Киселівської ТГ Чернігівського р-ну комплекс будівель та споруд №1 з встановленням когенераційної установки як альтернативного джерела електроживлення"</x:v>
      </x:c>
      <x:c r="N76" s="15" t="str">
        <x:v>https://prozorro.gov.ua/tender/UA-2026-08-06-004070-a</x:v>
      </x:c>
    </x:row>
    <x:row r="77">
      <x:c r="A77" s="14" t="n">
        <x:v>73</x:v>
      </x:c>
      <x:c r="B77" s="14" t="str">
        <x:v>Фізична особа підприємець Гречаниченко Микола Миколайович</x:v>
      </x:c>
      <x:c r="C77" s="14" t="str">
        <x:v>3086618552</x:v>
      </x:c>
      <x:c r="D77" s="14" t="str">
        <x:v>Сонячна енергетика</x:v>
      </x:c>
      <x:c r="E77" s="14" t="str">
        <x:v>Expansion discovery</x:v>
      </x:c>
      <x:c r="F77" s="14" t="str">
        <x:v>I2</x:v>
      </x:c>
      <x:c r="G77" s="14" t="n">
        <x:v>66</x:v>
      </x:c>
      <x:c r="H77" s="14" t="n">
        <x:v>2</x:v>
      </x:c>
      <x:c r="I77" s="14" t="n">
        <x:v>2</x:v>
      </x:c>
      <x:c r="J77" s="18" t="n">
        <x:v>135044</x:v>
      </x:c>
      <x:c r="K77" s="19" t="n">
        <x:v>46248.4419971875</x:v>
      </x:c>
      <x:c r="L77" s="19" t="n">
        <x:v>46387</x:v>
      </x:c>
      <x:c r="M77" s="15" t="str">
        <x:v>Послуги з розробки проектно - кошторисної документації по об'єкту "Монтаж та встановлення резервного джерела живлення сонячної електростанції (СЕС) на покрівлях будівлі корпусу №4 та покрівлі поліклінічного корпусу, за адресою: м. Суми, вул. Марка Вовчка, 2"</x:v>
      </x:c>
      <x:c r="N77" s="15" t="str">
        <x:v>https://prozorro.gov.ua/tender/UA-2026-08-14-006586-a</x:v>
      </x:c>
    </x:row>
    <x:row r="78">
      <x:c r="A78" s="14" t="n">
        <x:v>74</x:v>
      </x:c>
      <x:c r="B78" s="14" t="str">
        <x:v>Фізична особа-підприємець Кремінський Владислав Олександрович</x:v>
      </x:c>
      <x:c r="C78" s="14" t="str">
        <x:v>3164514254</x:v>
      </x:c>
      <x:c r="D78" s="14" t="str">
        <x:v>Водоочищення / очисні споруди</x:v>
      </x:c>
      <x:c r="E78" s="14" t="str">
        <x:v>Expansion discovery</x:v>
      </x:c>
      <x:c r="F78" s="14" t="str">
        <x:v>I2</x:v>
      </x:c>
      <x:c r="G78" s="14" t="n">
        <x:v>66</x:v>
      </x:c>
      <x:c r="H78" s="14" t="n">
        <x:v>2</x:v>
      </x:c>
      <x:c r="I78" s="14" t="n">
        <x:v>2</x:v>
      </x:c>
      <x:c r="J78" s="18" t="n">
        <x:v>499262.47</x:v>
      </x:c>
      <x:c r="K78" s="19" t="n">
        <x:v>46245.59813092592</x:v>
      </x:c>
      <x:c r="L78" s="19" t="n">
        <x:v>46265</x:v>
      </x:c>
      <x:c r="M78" s="15" t="str">
        <x:v>Роботи з коригування проектно-кошторисної документації по об’єкту: «Реконструкція КНС на території очисних споруд, розташованих за адресою: Одеська обл., Одеський район, Таїровська територіальна громада, смт. Таїрове, вулиця Набережна, б.16. Коригування» (згідно з показником четвертого знаку національного класифікатора України ДК 021:2015: 71320000-7 Послуги з інженерного проектування)  </x:v>
      </x:c>
      <x:c r="N78" s="15" t="str">
        <x:v>https://prozorro.gov.ua/tender/UA-2026-08-11-012301-a</x:v>
      </x:c>
    </x:row>
    <x:row r="79">
      <x:c r="A79" s="14" t="n">
        <x:v>75</x:v>
      </x:c>
      <x:c r="B79" s="14" t="str">
        <x:v>ПРИВАТНЕ ПІДПРИЄМСТВО "СПЕЦСЕРВІС"</x:v>
      </x:c>
      <x:c r="C79" s="14" t="str">
        <x:v>30518990</x:v>
      </x:c>
      <x:c r="D79" s="14" t="str">
        <x:v>HVAC / ОВіК</x:v>
      </x:c>
      <x:c r="E79" s="14" t="str">
        <x:v>Pilot now</x:v>
      </x:c>
      <x:c r="F79" s="14" t="str">
        <x:v>I2</x:v>
      </x:c>
      <x:c r="G79" s="14" t="n">
        <x:v>66</x:v>
      </x:c>
      <x:c r="H79" s="14" t="n">
        <x:v>2</x:v>
      </x:c>
      <x:c r="I79" s="14" t="n">
        <x:v>1</x:v>
      </x:c>
      <x:c r="J79" s="18" t="n">
        <x:v>2386825</x:v>
      </x:c>
      <x:c r="K79" s="19" t="n">
        <x:v>46163.54218483796</x:v>
      </x:c>
      <x:c r="L79" s="19" t="n">
        <x:v>46367.51802083333</x:v>
      </x:c>
      <x:c r="M79" s="15" t="str">
        <x:v>Послуги з технічного обслуговування систем вентиляції (технічне обслуговування, демонтаж, переміщення, монтаж та пусконалагодження кондиціонерів) для забезпечення належних умов функціонування об’єктів Головного управління ДПС у Запорізькій області</x:v>
      </x:c>
      <x:c r="N79" s="15" t="str">
        <x:v>https://prozorro.gov.ua/tender/UA-2026-05-06-008852-a</x:v>
      </x:c>
    </x:row>
    <x:row r="80">
      <x:c r="A80" s="14" t="n">
        <x:v>76</x:v>
      </x:c>
      <x:c r="B80" s="14" t="str">
        <x:v>ПРИВАТНЕ ПІДПРИЄМСТВО "ЕКОХІМСЕРВІС"</x:v>
      </x:c>
      <x:c r="C80" s="14" t="str">
        <x:v>39365715</x:v>
      </x:c>
      <x:c r="D80" s="14" t="str">
        <x:v>Водоочищення / очисні споруди</x:v>
      </x:c>
      <x:c r="E80" s="14" t="str">
        <x:v>Expansion discovery</x:v>
      </x:c>
      <x:c r="F80" s="14" t="str">
        <x:v>I2</x:v>
      </x:c>
      <x:c r="G80" s="14" t="n">
        <x:v>65</x:v>
      </x:c>
      <x:c r="H80" s="14" t="n">
        <x:v>2</x:v>
      </x:c>
      <x:c r="I80" s="14" t="n">
        <x:v>1</x:v>
      </x:c>
      <x:c r="J80" s="18" t="n">
        <x:v>1534517.03</x:v>
      </x:c>
      <x:c r="K80" s="19" t="n">
        <x:v>46254.59984137731</x:v>
      </x:c>
      <x:c r="L80" s="19" t="n">
        <x:v>46387</x:v>
      </x:c>
      <x:c r="M80" s="15" t="str">
        <x:v>Розробка проектно-кошторисної документації з отриманням позитивного експертного звіту по об’єкту: «Реконструкція каналізаційних очисних споруд КП ПОР «ПОЛТАВАВОДОКАНАЛ» по вул. Івана Посяди в м. Зіньків Полтавського району Полтавської області»</x:v>
      </x:c>
      <x:c r="N80" s="15" t="str">
        <x:v>https://prozorro.gov.ua/tender/UA-2026-08-20-012943-a</x:v>
      </x:c>
    </x:row>
    <x:row r="81">
      <x:c r="A81" s="14" t="n">
        <x:v>77</x:v>
      </x:c>
      <x:c r="B81" s="14" t="str">
        <x:v>ТОВАРИСТВО З ОБМЕЖЕНОЮ ВІДПОВІДАЛЬНІСТЮ "ВІКТОРІЯ-ФЕЛІЗ"</x:v>
      </x:c>
      <x:c r="C81" s="14" t="str">
        <x:v>31146326</x:v>
      </x:c>
      <x:c r="D81" s="14" t="str">
        <x:v>ВОЛЗ / телеком</x:v>
      </x:c>
      <x:c r="E81" s="14" t="str">
        <x:v>Expansion discovery</x:v>
      </x:c>
      <x:c r="F81" s="14" t="str">
        <x:v>I2</x:v>
      </x:c>
      <x:c r="G81" s="14" t="n">
        <x:v>64</x:v>
      </x:c>
      <x:c r="H81" s="14" t="n">
        <x:v>2</x:v>
      </x:c>
      <x:c r="I81" s="14" t="n">
        <x:v>2</x:v>
      </x:c>
      <x:c r="J81" s="18" t="n">
        <x:v>909120</x:v>
      </x:c>
      <x:c r="K81" s="19" t="n">
        <x:v>46139.29344980324</x:v>
      </x:c>
      <x:c r="L81" s="19" t="n">
        <x:v>46326</x:v>
      </x:c>
      <x:c r="M81" s="15" t="str">
        <x:v>Розробку ПКД "Нове будівництво ВОЛЗ (монтаж технічних засобів телекомунікацій) на ділянці: РВБ Світловодських ЕМ – дільниця Світловодських ЕМ, м. Світловодськ Олександрійський район, Кіровоградська область" (пункт 5.3 Інвестиційної Програми 2026)</x:v>
      </x:c>
      <x:c r="N81" s="15" t="str">
        <x:v>https://prozorro.gov.ua/tender/UA-2026-04-27-001548-a</x:v>
      </x:c>
    </x:row>
    <x:row r="82">
      <x:c r="A82" s="14" t="n">
        <x:v>78</x:v>
      </x:c>
      <x:c r="B82" s="14" t="str">
        <x:v>ПРИВАТНЕ АКЦІОНЕРНЕ ТОВАРИСТВО «УКРГІДРОПРОЕКТ»</x:v>
      </x:c>
      <x:c r="C82" s="14" t="str">
        <x:v>00114117</x:v>
      </x:c>
      <x:c r="D82" s="14" t="str">
        <x:v>Ремонт і підсилення бетону</x:v>
      </x:c>
      <x:c r="E82" s="14" t="str">
        <x:v>Expansion discovery</x:v>
      </x:c>
      <x:c r="F82" s="14" t="str">
        <x:v>I2</x:v>
      </x:c>
      <x:c r="G82" s="14" t="n">
        <x:v>64</x:v>
      </x:c>
      <x:c r="H82" s="14" t="n">
        <x:v>3</x:v>
      </x:c>
      <x:c r="I82" s="14" t="n">
        <x:v>1</x:v>
      </x:c>
      <x:c r="J82" s="18" t="n">
        <x:v>16181326.8</x:v>
      </x:c>
      <x:c r="K82" s="19" t="n">
        <x:v>46063.44981295139</x:v>
      </x:c>
      <x:c r="L82" s="19" t="n">
        <x:v>46203</x:v>
      </x:c>
      <x:c r="M82" s="15" t="str">
        <x:v>ДК 021:2015 код 71310000-4 Консультаційні послуги у галузях інженерії та будівництва (Проведення експертизи проєкту: «Протидроновий захист будівлі ГЕС. Підсилення залізобетонних конструкцій філії "Кременчуцька ГЕС" ПрАТ "Укргідроенерго". Реконструкція»)</x:v>
      </x:c>
      <x:c r="N82" s="15" t="str">
        <x:v>https://prozorro.gov.ua/tender/UA-2026-02-10-007738-a</x:v>
      </x:c>
    </x:row>
    <x:row r="83">
      <x:c r="A83" s="14" t="n">
        <x:v>79</x:v>
      </x:c>
      <x:c r="B83" s="14" t="str">
        <x:v>ТОВ "БЕРГ ГРУПП"</x:v>
      </x:c>
      <x:c r="C83" s="14" t="str">
        <x:v>44980668</x:v>
      </x:c>
      <x:c r="D83" s="14" t="str">
        <x:v>ГНБ / безтраншейні роботи</x:v>
      </x:c>
      <x:c r="E83" s="14" t="str">
        <x:v>Expansion discovery</x:v>
      </x:c>
      <x:c r="F83" s="14" t="str">
        <x:v>I2</x:v>
      </x:c>
      <x:c r="G83" s="14" t="n">
        <x:v>64</x:v>
      </x:c>
      <x:c r="H83" s="14" t="n">
        <x:v>1</x:v>
      </x:c>
      <x:c r="I83" s="14" t="n">
        <x:v>1</x:v>
      </x:c>
      <x:c r="J83" s="18" t="n">
        <x:v>4801000</x:v>
      </x:c>
      <x:c r="K83" s="19" t="n">
        <x:v>46246.239263993055</x:v>
      </x:c>
      <x:c r="L83" s="19" t="n">
        <x:v>46752</x:v>
      </x:c>
      <x:c r="M83" s="15" t="str">
        <x:v>26П-299_45230000-8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(ЛОТ №1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Харківської, Полтавської та Дніпропетровської областей)); (ЛОТ №2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Львівської та Івано-Франківської областей))</x:v>
      </x:c>
      <x:c r="N83" s="15" t="str">
        <x:v>https://prozorro.gov.ua/tender/UA-2026-07-01-004063-a</x:v>
      </x:c>
    </x:row>
    <x:row r="84">
      <x:c r="A84" s="14" t="n">
        <x:v>80</x:v>
      </x:c>
      <x:c r="B84" s="14" t="str">
        <x:v>ТОВ "БІОАЛЬЯНС-ЕНЕРГІЯ"</x:v>
      </x:c>
      <x:c r="C84" s="14" t="str">
        <x:v>41809596</x:v>
      </x:c>
      <x:c r="D84" s="14" t="str">
        <x:v>Насосні станції</x:v>
      </x:c>
      <x:c r="E84" s="14" t="str">
        <x:v>Expansion discovery</x:v>
      </x:c>
      <x:c r="F84" s="14" t="str">
        <x:v>I2</x:v>
      </x:c>
      <x:c r="G84" s="14" t="n">
        <x:v>64</x:v>
      </x:c>
      <x:c r="H84" s="14" t="n">
        <x:v>1</x:v>
      </x:c>
      <x:c r="I84" s="14" t="n">
        <x:v>1</x:v>
      </x:c>
      <x:c r="J84" s="18" t="n">
        <x:v>2047572</x:v>
      </x:c>
      <x:c r="K84" s="19" t="n">
        <x:v>46255.48288792824</x:v>
      </x:c>
      <x:c r="L84" s="19" t="n">
        <x:v>46310.74144675926</x:v>
      </x:c>
      <x:c r="M84" s="15" t="str">
        <x:v>«Реконструкція системи електропостачання насосної станції 2-го підйому КП «Сквир-водоканал» по вул. Залізничній, 57 в м. Сквира з додатковим встановленням системи альтернативного електропостачання (сонячні панелі, інвертор і акумуляторні батареї)" ДК 021:2015 – 45310000-3 — Електромонтажні роботи</x:v>
      </x:c>
      <x:c r="N84" s="15" t="str">
        <x:v>https://prozorro.gov.ua/tender/UA-2026-07-30-010966-a</x:v>
      </x:c>
    </x:row>
    <x:row r="85">
      <x:c r="A85" s="14" t="n">
        <x:v>81</x:v>
      </x:c>
      <x:c r="B85" s="14" t="str">
        <x:v>ТОВ "ВВС-ЛТД"</x:v>
      </x:c>
      <x:c r="C85" s="14" t="str">
        <x:v>39555742</x:v>
      </x:c>
      <x:c r="D85" s="14" t="str">
        <x:v>Мости / інфраструктура</x:v>
      </x:c>
      <x:c r="E85" s="14" t="str">
        <x:v>Expansion discovery</x:v>
      </x:c>
      <x:c r="F85" s="14" t="str">
        <x:v>I2</x:v>
      </x:c>
      <x:c r="G85" s="14" t="n">
        <x:v>64</x:v>
      </x:c>
      <x:c r="H85" s="14" t="n">
        <x:v>1</x:v>
      </x:c>
      <x:c r="I85" s="14" t="n">
        <x:v>1</x:v>
      </x:c>
      <x:c r="J85" s="18" t="n">
        <x:v>2111844.12</x:v>
      </x:c>
      <x:c r="K85" s="19" t="n">
        <x:v>46241.47802741898</x:v>
      </x:c>
      <x:c r="L85" s="19" t="n">
        <x:v>46745</x:v>
      </x:c>
      <x:c r="M85" s="15" t="str">
        <x:v>«Капітальний ремонт пішохідного мосту через річку Устя в районі стадіону "Авангард" у місті Рівному»</x:v>
      </x:c>
      <x:c r="N85" s="15" t="str">
        <x:v>https://prozorro.gov.ua/tender/UA-2026-07-23-009360-a</x:v>
      </x:c>
    </x:row>
    <x:row r="86">
      <x:c r="A86" s="14" t="n">
        <x:v>82</x:v>
      </x:c>
      <x:c r="B86" s="14" t="str">
        <x:v>ТОВ СК ГРУПС</x:v>
      </x:c>
      <x:c r="C86" s="14" t="str">
        <x:v>37621413</x:v>
      </x:c>
      <x:c r="D86" s="14" t="str">
        <x:v>Насосні станції</x:v>
      </x:c>
      <x:c r="E86" s="14" t="str">
        <x:v>Expansion discovery</x:v>
      </x:c>
      <x:c r="F86" s="14" t="str">
        <x:v>I2</x:v>
      </x:c>
      <x:c r="G86" s="14" t="n">
        <x:v>64</x:v>
      </x:c>
      <x:c r="H86" s="14" t="n">
        <x:v>1</x:v>
      </x:c>
      <x:c r="I86" s="14" t="n">
        <x:v>1</x:v>
      </x:c>
      <x:c r="J86" s="18" t="n">
        <x:v>9893727.4</x:v>
      </x:c>
      <x:c r="K86" s="19" t="n">
        <x:v>46223.48230456019</x:v>
      </x:c>
      <x:c r="L86" s="19" t="n">
        <x:v>46387</x:v>
      </x:c>
      <x:c r="M86" s="15" t="str">
        <x:v>Реконструкція будівлі хлораторної  (літ. Б-1) під цех з виробництва низькоконцентрованого  гіпохлориту натрію на території водопровідної насосної станції "Ігрень" КП "Дніпроводоканал" по вул. Кокчетавській, 60 Н у м. Дніпрі (Код ДК 021:2015 45450000-6 – Інші завершальні будівельні роботи)</x:v>
      </x:c>
      <x:c r="N86" s="15" t="str">
        <x:v>https://prozorro.gov.ua/tender/UA-2026-06-26-004632-a</x:v>
      </x:c>
    </x:row>
    <x:row r="87">
      <x:c r="A87" s="14" t="n">
        <x:v>83</x:v>
      </x:c>
      <x:c r="B87" s="14" t="str">
        <x:v>ТОВАРИСТВО З ОБМЕЖЕНОЮ ВІДПОВІДАЛЬНІСТЮ "БУДІВЕЛЬНО-МОНТАЖНЕ ПІДПРИЄМСТВО-164"</x:v>
      </x:c>
      <x:c r="C87" s="14" t="str">
        <x:v>33608607</x:v>
      </x:c>
      <x:c r="D87" s="14" t="str">
        <x:v>Теплові мережі</x:v>
      </x:c>
      <x:c r="E87" s="14" t="str">
        <x:v>Expansion discovery</x:v>
      </x:c>
      <x:c r="F87" s="14" t="str">
        <x:v>I2</x:v>
      </x:c>
      <x:c r="G87" s="14" t="n">
        <x:v>64</x:v>
      </x:c>
      <x:c r="H87" s="14" t="n">
        <x:v>1</x:v>
      </x:c>
      <x:c r="I87" s="14" t="n">
        <x:v>1</x:v>
      </x:c>
      <x:c r="J87" s="18" t="n">
        <x:v>5451000</x:v>
      </x:c>
      <x:c r="K87" s="19" t="n">
        <x:v>46247.58374289352</x:v>
      </x:c>
      <x:c r="L87" s="19" t="n">
        <x:v>46325.916655092595</x:v>
      </x:c>
      <x:c r="M87" s="15" t="str">
        <x:v>Реконструкція (відновлення) теплових мереж від ЦТП 4/12 по вул. Тимошенко, 17/1 на ділянці  ТК1-ТК2-ТК3-ТК4 в м. Харкові (код ДК 021:2015 – 45454000 -4 - Реконструкція)
</x:v>
      </x:c>
      <x:c r="N87" s="15" t="str">
        <x:v>https://prozorro.gov.ua/tender/UA-2026-07-22-009419-a</x:v>
      </x:c>
    </x:row>
    <x:row r="88">
      <x:c r="A88" s="14" t="n">
        <x:v>84</x:v>
      </x:c>
      <x:c r="B88" s="14" t="str">
        <x:v>Товариство з обмеженою відповідальністю «ЧЕРКАСИ ІНВЕСТ ГРУП»</x:v>
      </x:c>
      <x:c r="C88" s="14" t="str">
        <x:v>45970582</x:v>
      </x:c>
      <x:c r="D88" s="14" t="str">
        <x:v>Водоочищення / очисні споруди</x:v>
      </x:c>
      <x:c r="E88" s="14" t="str">
        <x:v>Expansion discovery</x:v>
      </x:c>
      <x:c r="F88" s="14" t="str">
        <x:v>I2</x:v>
      </x:c>
      <x:c r="G88" s="14" t="n">
        <x:v>64</x:v>
      </x:c>
      <x:c r="H88" s="14" t="n">
        <x:v>1</x:v>
      </x:c>
      <x:c r="I88" s="14" t="n">
        <x:v>1</x:v>
      </x:c>
      <x:c r="J88" s="18" t="n">
        <x:v>3126183.07</x:v>
      </x:c>
      <x:c r="K88" s="19" t="n">
        <x:v>46248.494667569445</x:v>
      </x:c>
      <x:c r="L88" s="19" t="n">
        <x:v>46387.53597222222</x:v>
      </x:c>
      <x:c r="M88" s="15" t="str">
        <x:v>Реконструкція з влаштуванням гідроізоляції очисних споруд стаціонару Шполянської центральної районної лікарні імені братів М. С. і О. С. Коломійченків по вул. Амосова, 10 в м. Шпола Черкаської області</x:v>
      </x:c>
      <x:c r="N88" s="15" t="str">
        <x:v>https://prozorro.gov.ua/tender/UA-2026-08-14-008241-a</x:v>
      </x:c>
    </x:row>
    <x:row r="89">
      <x:c r="A89" s="14" t="n">
        <x:v>85</x:v>
      </x:c>
      <x:c r="B89" s="14" t="str">
        <x:v>Фізична особа-підприємець Ткаченко Микола Григорович </x:v>
      </x:c>
      <x:c r="C89" s="14" t="str">
        <x:v>2832903953</x:v>
      </x:c>
      <x:c r="D89" s="14" t="str">
        <x:v>Електромонтаж</x:v>
      </x:c>
      <x:c r="E89" s="14" t="str">
        <x:v>Pilot now</x:v>
      </x:c>
      <x:c r="F89" s="14" t="str">
        <x:v>I2</x:v>
      </x:c>
      <x:c r="G89" s="14" t="n">
        <x:v>64</x:v>
      </x:c>
      <x:c r="H89" s="14" t="n">
        <x:v>6</x:v>
      </x:c>
      <x:c r="I89" s="14" t="n">
        <x:v>1</x:v>
      </x:c>
      <x:c r="J89" s="18" t="n">
        <x:v>78878</x:v>
      </x:c>
      <x:c r="K89" s="19" t="n">
        <x:v>46248.342335520836</x:v>
      </x:c>
      <x:c r="L89" s="19" t="n">
        <x:v>46387</x:v>
      </x:c>
      <x:c r="M89" s="15" t="str">
        <x:v>Послуги з обслуговування електромереж (перевірка системи заземлення, електровимірювальні роботи, виготовлення технічної документації).</x:v>
      </x:c>
      <x:c r="N89" s="15" t="str">
        <x:v>https://prozorro.gov.ua/tender/UA-2026-08-14-002841-a</x:v>
      </x:c>
    </x:row>
    <x:row r="90">
      <x:c r="A90" s="14" t="n">
        <x:v>86</x:v>
      </x:c>
      <x:c r="B90" s="14" t="str">
        <x:v>Товариство з обмеженою відповідальністю «УкрМонтажБудІнвест»</x:v>
      </x:c>
      <x:c r="C90" s="14" t="str">
        <x:v>44176751</x:v>
      </x:c>
      <x:c r="D90" s="14" t="str">
        <x:v>ГНБ / безтраншейні роботи</x:v>
      </x:c>
      <x:c r="E90" s="14" t="str">
        <x:v>Expansion discovery</x:v>
      </x:c>
      <x:c r="F90" s="14" t="str">
        <x:v>I2</x:v>
      </x:c>
      <x:c r="G90" s="14" t="n">
        <x:v>64</x:v>
      </x:c>
      <x:c r="H90" s="14" t="n">
        <x:v>6</x:v>
      </x:c>
      <x:c r="I90" s="14" t="n">
        <x:v>0</x:v>
      </x:c>
      <x:c r="J90" s="18" t="n">
        <x:v>28901700.31</x:v>
      </x:c>
      <x:c r="K90" s="19" t="n">
        <x:v>46107.36592069444</x:v>
      </x:c>
      <x:c r="L90" s="19" t="n">
        <x:v>46142.32439814815</x:v>
      </x:c>
      <x:c r="M90" s="15" t="str">
        <x:v>Послуги з заміни  трубопроводу із поліетиленових труб ПЕ100, SDR-17, діаметром 90 мм та діаметром 110 мм, загальною протяжністю 245м методом горизонтально направленого буріння при реконструкції ділянки водопровідної мережі по  вул. Карбана протяжністю 1100 м в м. Миргород, Полтавської області</x:v>
      </x:c>
      <x:c r="N90" s="15" t="str">
        <x:v>https://prozorro.gov.ua/tender/UA-2026-03-26-003194-a</x:v>
      </x:c>
    </x:row>
    <x:row r="91">
      <x:c r="A91" s="14" t="n">
        <x:v>87</x:v>
      </x:c>
      <x:c r="B91" s="14" t="str">
        <x:v>ПЕРЕМА ОЛЕКСАНДР ГЕННАДІЙОВИЧ</x:v>
      </x:c>
      <x:c r="C91" s="14" t="str">
        <x:v>3048600754</x:v>
      </x:c>
      <x:c r="D91" s="14" t="str">
        <x:v>Електромонтаж</x:v>
      </x:c>
      <x:c r="E91" s="14" t="str">
        <x:v>Pilot now</x:v>
      </x:c>
      <x:c r="F91" s="14" t="str">
        <x:v>I2</x:v>
      </x:c>
      <x:c r="G91" s="14" t="n">
        <x:v>63</x:v>
      </x:c>
      <x:c r="H91" s="14" t="n">
        <x:v>2</x:v>
      </x:c>
      <x:c r="I91" s="14" t="n">
        <x:v>2</x:v>
      </x:c>
      <x:c r="J91" s="18" t="n">
        <x:v>174140</x:v>
      </x:c>
      <x:c r="K91" s="19" t="n">
        <x:v>46244.416225</x:v>
      </x:c>
      <x:c r="L91" s="19" t="n">
        <x:v>46387</x:v>
      </x:c>
      <x:c r="M91" s="15" t="str">
        <x:v>Електромонтажні роботи</x:v>
      </x:c>
      <x:c r="N91" s="15" t="str">
        <x:v>https://prozorro.gov.ua/tender/UA-2026-08-10-005042-a</x:v>
      </x:c>
    </x:row>
    <x:row r="92">
      <x:c r="A92" s="14" t="n">
        <x:v>88</x:v>
      </x:c>
      <x:c r="B92" s="14" t="str">
        <x:v>УПРАВЛІННЯ ПОЛІЦІЇ ОХОРОНИ У ВІННИЦЬКІЙ ОБЛАСТІ</x:v>
      </x:c>
      <x:c r="C92" s="14" t="str">
        <x:v>40109131</x:v>
      </x:c>
      <x:c r="D92" s="14" t="str">
        <x:v>Пожежогасіння</x:v>
      </x:c>
      <x:c r="E92" s="14" t="str">
        <x:v>Expansion discovery</x:v>
      </x:c>
      <x:c r="F92" s="14" t="str">
        <x:v>I2</x:v>
      </x:c>
      <x:c r="G92" s="14" t="n">
        <x:v>63</x:v>
      </x:c>
      <x:c r="H92" s="14" t="n">
        <x:v>2</x:v>
      </x:c>
      <x:c r="I92" s="14" t="n">
        <x:v>2</x:v>
      </x:c>
      <x:c r="J92" s="18" t="n">
        <x:v>105137</x:v>
      </x:c>
      <x:c r="K92" s="19" t="n">
        <x:v>46203.47039357639</x:v>
      </x:c>
      <x:c r="L92" s="19" t="n">
        <x:v>46387</x:v>
      </x:c>
      <x:c r="M92" s="15" t="str">
        <x:v>послуги з монтажу системи пожежної сигналізації</x:v>
      </x:c>
      <x:c r="N92" s="15" t="str">
        <x:v>https://prozorro.gov.ua/tender/UA-2026-06-30-008172-a</x:v>
      </x:c>
    </x:row>
    <x:row r="93">
      <x:c r="A93" s="14" t="n">
        <x:v>89</x:v>
      </x:c>
      <x:c r="B93" s="14" t="str">
        <x:v>ФОП Іщенко Олександр Олександрович</x:v>
      </x:c>
      <x:c r="C93" s="14" t="str">
        <x:v>3844609655</x:v>
      </x:c>
      <x:c r="D93" s="14" t="str">
        <x:v>Безпека / СКУД / CCTV</x:v>
      </x:c>
      <x:c r="E93" s="14" t="str">
        <x:v>Expansion discovery</x:v>
      </x:c>
      <x:c r="F93" s="14" t="str">
        <x:v>I2</x:v>
      </x:c>
      <x:c r="G93" s="14" t="n">
        <x:v>63</x:v>
      </x:c>
      <x:c r="H93" s="14" t="n">
        <x:v>2</x:v>
      </x:c>
      <x:c r="I93" s="14" t="n">
        <x:v>2</x:v>
      </x:c>
      <x:c r="J93" s="18" t="n">
        <x:v>156078.6</x:v>
      </x:c>
      <x:c r="K93" s="19" t="n">
        <x:v>46258.25381439815</x:v>
      </x:c>
      <x:c r="L93" s="19" t="n">
        <x:v>46387</x:v>
      </x:c>
      <x:c r="M93" s="15" t="str">
        <x:v>Облаштування споруди цивільного захисту в підвальному приміщенні житлового будинку за адресою: просп. Свободи, буд. 94/28 у м. Кременчуці Полтавської області (придбання та монтаж обладнання для встановлення системи контролю доступу)</x:v>
      </x:c>
      <x:c r="N93" s="15" t="str">
        <x:v>https://prozorro.gov.ua/tender/UA-2026-08-24-000407-a</x:v>
      </x:c>
    </x:row>
    <x:row r="94">
      <x:c r="A94" s="14" t="n">
        <x:v>90</x:v>
      </x:c>
      <x:c r="B94" s="14" t="str">
        <x:v>ФОП СІБЕЛЕВ ДМИТРО ПАВЛОВИЧ</x:v>
      </x:c>
      <x:c r="C94" s="14" t="str">
        <x:v>1999921033</x:v>
      </x:c>
      <x:c r="D94" s="14" t="str">
        <x:v>HVAC / ОВіК</x:v>
      </x:c>
      <x:c r="E94" s="14" t="str">
        <x:v>Pilot now</x:v>
      </x:c>
      <x:c r="F94" s="14" t="str">
        <x:v>I2</x:v>
      </x:c>
      <x:c r="G94" s="14" t="n">
        <x:v>63</x:v>
      </x:c>
      <x:c r="H94" s="14" t="n">
        <x:v>2</x:v>
      </x:c>
      <x:c r="I94" s="14" t="n">
        <x:v>2</x:v>
      </x:c>
      <x:c r="J94" s="18" t="n">
        <x:v>194076.12</x:v>
      </x:c>
      <x:c r="K94" s="19" t="n">
        <x:v>46244.39313237269</x:v>
      </x:c>
      <x:c r="L94" s="19" t="n">
        <x:v>46387</x:v>
      </x:c>
      <x:c r="M94" s="15" t="str">
        <x:v>Послуги з монтажу системи вентиляції на харчоблоці Хмельницького закладу дошкільної освіти № 43 "Горобинка" за адресою: м.Хмельницький, вул.Молодіжна б.5/2 (додаткові послуги)</x:v>
      </x:c>
      <x:c r="N94" s="15" t="str">
        <x:v>https://prozorro.gov.ua/tender/UA-2026-08-10-004460-a</x:v>
      </x:c>
    </x:row>
    <x:row r="95">
      <x:c r="A95" s="14" t="n">
        <x:v>91</x:v>
      </x:c>
      <x:c r="B95" s="14" t="str">
        <x:v>КОМУНАЛЬНЕ ПІДПРИЄМСТВО "ТЕХНАГЛЯД"</x:v>
      </x:c>
      <x:c r="C95" s="14" t="str">
        <x:v>35883420</x:v>
      </x:c>
      <x:c r="D95" s="14" t="str">
        <x:v>HVAC / ОВіК</x:v>
      </x:c>
      <x:c r="E95" s="14" t="str">
        <x:v>Pilot now</x:v>
      </x:c>
      <x:c r="F95" s="14" t="str">
        <x:v>I2</x:v>
      </x:c>
      <x:c r="G95" s="14" t="n">
        <x:v>62</x:v>
      </x:c>
      <x:c r="H95" s="14" t="n">
        <x:v>2</x:v>
      </x:c>
      <x:c r="I95" s="14" t="n">
        <x:v>2</x:v>
      </x:c>
      <x:c r="J95" s="18" t="n">
        <x:v>3279.05</x:v>
      </x:c>
      <x:c r="K95" s="19" t="n">
        <x:v>46246.282276770835</x:v>
      </x:c>
      <x:c r="L95" s="19" t="n">
        <x:v>46387</x:v>
      </x:c>
      <x:c r="M95" s="15" t="str">
        <x:v>Технічного нагляду та контролю за наданням послуг на об'єкті: "Послуги з монтажу системи вентиляції на харчоблоці Хмельницького закладу дошкільної освіти №43 "Горобинка" за адресою : м. Хмельницький, вул. Молодіжна 5/2 " згідно договору підряду №28  від 31.03.2026 року </x:v>
      </x:c>
      <x:c r="N95" s="15" t="str">
        <x:v>https://prozorro.gov.ua/tender/UA-2026-08-12-001207-a</x:v>
      </x:c>
    </x:row>
    <x:row r="96">
      <x:c r="A96" s="14" t="n">
        <x:v>92</x:v>
      </x:c>
      <x:c r="B96" s="14" t="str">
        <x:v>Товариство з обмеженою відповідальністю  "ЕКОСФЕРА-ЗАХІД"</x:v>
      </x:c>
      <x:c r="C96" s="14" t="str">
        <x:v>44184736</x:v>
      </x:c>
      <x:c r="D96" s="14" t="str">
        <x:v>HVAC / ОВіК</x:v>
      </x:c>
      <x:c r="E96" s="14" t="str">
        <x:v>Pilot now</x:v>
      </x:c>
      <x:c r="F96" s="14" t="str">
        <x:v>I2</x:v>
      </x:c>
      <x:c r="G96" s="14" t="n">
        <x:v>62</x:v>
      </x:c>
      <x:c r="H96" s="14" t="n">
        <x:v>2</x:v>
      </x:c>
      <x:c r="I96" s="14" t="n">
        <x:v>2</x:v>
      </x:c>
      <x:c r="J96" s="18" t="n">
        <x:v>35500</x:v>
      </x:c>
      <x:c r="K96" s="19" t="n">
        <x:v>46217.59277798611</x:v>
      </x:c>
      <x:c r="L96" s="19" t="n">
        <x:v>46387</x:v>
      </x:c>
      <x:c r="M96" s="15" t="str">
        <x:v>Монтаж систем вентиляції та кондиціонування повітря (45331200-8 Встановлення вентиляційних систем і систем кондиціонування повітря) код за ДК 021-2015:45330000-9 Водопровідні та санітарно-технічні роботи</x:v>
      </x:c>
      <x:c r="N96" s="15" t="str">
        <x:v>https://prozorro.gov.ua/tender/UA-2026-07-14-011551-a</x:v>
      </x:c>
    </x:row>
    <x:row r="97">
      <x:c r="A97" s="14" t="n">
        <x:v>93</x:v>
      </x:c>
      <x:c r="B97" s="14" t="str">
        <x:v>ТОВАРИСТВО З ОБМЕЖЕНОЮ ВІДПОВІДАЛЬНІСТЮ "БЕЗПЕКА 2017"</x:v>
      </x:c>
      <x:c r="C97" s="14" t="str">
        <x:v>41481392</x:v>
      </x:c>
      <x:c r="D97" s="14" t="str">
        <x:v>Безпека / СКУД / CCTV</x:v>
      </x:c>
      <x:c r="E97" s="14" t="str">
        <x:v>Expansion discovery</x:v>
      </x:c>
      <x:c r="F97" s="14" t="str">
        <x:v>I2</x:v>
      </x:c>
      <x:c r="G97" s="14" t="n">
        <x:v>62</x:v>
      </x:c>
      <x:c r="H97" s="14" t="n">
        <x:v>2</x:v>
      </x:c>
      <x:c r="I97" s="14" t="n">
        <x:v>2</x:v>
      </x:c>
      <x:c r="J97" s="18" t="n">
        <x:v>51236.91</x:v>
      </x:c>
      <x:c r="K97" s="19" t="n">
        <x:v>46238.461832719906</x:v>
      </x:c>
      <x:c r="L97" s="19" t="n">
        <x:v>46387</x:v>
      </x:c>
      <x:c r="M97" s="15" t="str">
        <x:v>Монтаж систем відеоспостереження</x:v>
      </x:c>
      <x:c r="N97" s="15" t="str">
        <x:v>https://prozorro.gov.ua/tender/UA-2026-08-04-007032-a</x:v>
      </x:c>
    </x:row>
    <x:row r="98">
      <x:c r="A98" s="14" t="n">
        <x:v>94</x:v>
      </x:c>
      <x:c r="B98" s="14" t="str">
        <x:v>ТОВАРИСТВО З ОБМЕЖЕНОЮ ВІДПОВІДАЛЬНІСТЮ "ВЕНБЕСТ"</x:v>
      </x:c>
      <x:c r="C98" s="14" t="str">
        <x:v>30310579</x:v>
      </x:c>
      <x:c r="D98" s="14" t="str">
        <x:v>Пожежогасіння</x:v>
      </x:c>
      <x:c r="E98" s="14" t="str">
        <x:v>Expansion discovery</x:v>
      </x:c>
      <x:c r="F98" s="14" t="str">
        <x:v>I2</x:v>
      </x:c>
      <x:c r="G98" s="14" t="n">
        <x:v>62</x:v>
      </x:c>
      <x:c r="H98" s="14" t="n">
        <x:v>2</x:v>
      </x:c>
      <x:c r="I98" s="14" t="n">
        <x:v>2</x:v>
      </x:c>
      <x:c r="J98" s="18" t="n">
        <x:v>11106</x:v>
      </x:c>
      <x:c r="K98" s="19" t="n">
        <x:v>46230.27137549769</x:v>
      </x:c>
      <x:c r="L98" s="19" t="n">
        <x:v>46387</x:v>
      </x:c>
      <x:c r="M98" s="15" t="str">
        <x:v>Монтаж та пусконалагодження системи пожежної сигналізації</x:v>
      </x:c>
      <x:c r="N98" s="15" t="str">
        <x:v>https://prozorro.gov.ua/tender/UA-2026-07-27-000791-a</x:v>
      </x:c>
    </x:row>
    <x:row r="99">
      <x:c r="A99" s="14" t="n">
        <x:v>95</x:v>
      </x:c>
      <x:c r="B99" s="14" t="str">
        <x:v>Управління поліції охорони в м. Києві</x:v>
      </x:c>
      <x:c r="C99" s="14" t="str">
        <x:v>40109147</x:v>
      </x:c>
      <x:c r="D99" s="14" t="str">
        <x:v>Пожежогасіння</x:v>
      </x:c>
      <x:c r="E99" s="14" t="str">
        <x:v>Expansion discovery</x:v>
      </x:c>
      <x:c r="F99" s="14" t="str">
        <x:v>I2</x:v>
      </x:c>
      <x:c r="G99" s="14" t="n">
        <x:v>62</x:v>
      </x:c>
      <x:c r="H99" s="14" t="n">
        <x:v>2</x:v>
      </x:c>
      <x:c r="I99" s="14" t="n">
        <x:v>2</x:v>
      </x:c>
      <x:c r="J99" s="18" t="n">
        <x:v>45490.5</x:v>
      </x:c>
      <x:c r="K99" s="19" t="n">
        <x:v>46240.40369259259</x:v>
      </x:c>
      <x:c r="L99" s="19" t="n">
        <x:v>46387.44572916667</x:v>
      </x:c>
      <x:c r="M99" s="15" t="str">
        <x:v>Монтаж, пусконалагоджування системи пожежної сигналізації</x:v>
      </x:c>
      <x:c r="N99" s="15" t="str">
        <x:v>https://prozorro.gov.ua/tender/UA-2026-08-06-005265-a</x:v>
      </x:c>
    </x:row>
    <x:row r="100">
      <x:c r="A100" s="14" t="n">
        <x:v>96</x:v>
      </x:c>
      <x:c r="B100" s="14" t="str">
        <x:v>ФОП Ступак Олексій Олександрович</x:v>
      </x:c>
      <x:c r="C100" s="14" t="str">
        <x:v>2961310955</x:v>
      </x:c>
      <x:c r="D100" s="14" t="str">
        <x:v>Безпека / СКУД / CCTV</x:v>
      </x:c>
      <x:c r="E100" s="14" t="str">
        <x:v>Expansion discovery</x:v>
      </x:c>
      <x:c r="F100" s="14" t="str">
        <x:v>I2</x:v>
      </x:c>
      <x:c r="G100" s="14" t="n">
        <x:v>62</x:v>
      </x:c>
      <x:c r="H100" s="14" t="n">
        <x:v>2</x:v>
      </x:c>
      <x:c r="I100" s="14" t="n">
        <x:v>2</x:v>
      </x:c>
      <x:c r="J100" s="18" t="n">
        <x:v>20404.4</x:v>
      </x:c>
      <x:c r="K100" s="19" t="n">
        <x:v>46231.32512318287</x:v>
      </x:c>
      <x:c r="L100" s="19" t="n">
        <x:v>46387</x:v>
      </x:c>
      <x:c r="M100" s="15" t="str">
        <x:v>Монтаж системи вентиляції</x:v>
      </x:c>
      <x:c r="N100" s="15" t="str">
        <x:v>https://prozorro.gov.ua/tender/UA-2026-07-28-002616-a</x:v>
      </x:c>
    </x:row>
    <x:row r="101">
      <x:c r="A101" s="14" t="n">
        <x:v>97</x:v>
      </x:c>
      <x:c r="B101" s="14" t="str">
        <x:v>ПП "ЛЕС"</x:v>
      </x:c>
      <x:c r="C101" s="14" t="str">
        <x:v>36828486</x:v>
      </x:c>
      <x:c r="D101" s="14" t="str">
        <x:v>Зовнішні мережі</x:v>
      </x:c>
      <x:c r="E101" s="14" t="str">
        <x:v>Expansion discovery</x:v>
      </x:c>
      <x:c r="F101" s="14" t="str">
        <x:v>I2</x:v>
      </x:c>
      <x:c r="G101" s="14" t="n">
        <x:v>62</x:v>
      </x:c>
      <x:c r="H101" s="14" t="n">
        <x:v>1</x:v>
      </x:c>
      <x:c r="I101" s="14" t="n">
        <x:v>1</x:v>
      </x:c>
      <x:c r="J101" s="18" t="n">
        <x:v>29630025.76</x:v>
      </x:c>
      <x:c r="K101" s="19" t="n">
        <x:v>46197.37506895833</x:v>
      </x:c>
      <x:c r="L101" s="19" t="n">
        <x:v>46508</x:v>
      </x:c>
      <x:c r="M101" s="15" t="str">
        <x:v>Виконання будівельно-монтажних робіт по об’єкту: 
“Нове будівництво зовнішніх інженерних мереж електропостачання військового містечка №50, село Мала Любаша, Рівненська область” (І черга)</x:v>
      </x:c>
      <x:c r="N101" s="15" t="str">
        <x:v>https://prozorro.gov.ua/tender/UA-2026-05-20-013626-a</x:v>
      </x:c>
    </x:row>
    <x:row r="102">
      <x:c r="A102" s="14" t="n">
        <x:v>98</x:v>
      </x:c>
      <x:c r="B102" s="14" t="str">
        <x:v>ПрАТ Агробудмеханізація</x:v>
      </x:c>
      <x:c r="C102" s="14" t="str">
        <x:v>13708491</x:v>
      </x:c>
      <x:c r="D102" s="14" t="str">
        <x:v>Зовнішні мережі</x:v>
      </x:c>
      <x:c r="E102" s="14" t="str">
        <x:v>Expansion discovery</x:v>
      </x:c>
      <x:c r="F102" s="14" t="str">
        <x:v>I2</x:v>
      </x:c>
      <x:c r="G102" s="14" t="n">
        <x:v>62</x:v>
      </x:c>
      <x:c r="H102" s="14" t="n">
        <x:v>1</x:v>
      </x:c>
      <x:c r="I102" s="14" t="n">
        <x:v>1</x:v>
      </x:c>
      <x:c r="J102" s="18" t="n">
        <x:v>24229978</x:v>
      </x:c>
      <x:c r="K102" s="19" t="n">
        <x:v>46209.46728862268</x:v>
      </x:c>
      <x:c r="L102" s="19" t="n">
        <x:v>46539</x:v>
      </x:c>
      <x:c r="M102" s="15" t="str">
        <x:v>Нове будівництво зовнішніх інженерних мереж з підключенням збірно-розбірних комплексних споруд в Київській області</x:v>
      </x:c>
      <x:c r="N102" s="15" t="str">
        <x:v>https://prozorro.gov.ua/tender/UA-2026-06-22-012842-a</x:v>
      </x:c>
    </x:row>
    <x:row r="103">
      <x:c r="A103" s="14" t="n">
        <x:v>99</x:v>
      </x:c>
      <x:c r="B103" s="14" t="str">
        <x:v>ТОВ "Енергосервісна компанія "Адамсон""</x:v>
      </x:c>
      <x:c r="C103" s="14" t="str">
        <x:v>39314325</x:v>
      </x:c>
      <x:c r="D103" s="14" t="str">
        <x:v>Теплові мережі</x:v>
      </x:c>
      <x:c r="E103" s="14" t="str">
        <x:v>Expansion discovery</x:v>
      </x:c>
      <x:c r="F103" s="14" t="str">
        <x:v>I2</x:v>
      </x:c>
      <x:c r="G103" s="14" t="n">
        <x:v>62</x:v>
      </x:c>
      <x:c r="H103" s="14" t="n">
        <x:v>1</x:v>
      </x:c>
      <x:c r="I103" s="14" t="n">
        <x:v>1</x:v>
      </x:c>
      <x:c r="J103" s="18" t="n">
        <x:v>40016067.22</x:v>
      </x:c>
      <x:c r="K103" s="19" t="n">
        <x:v>46162.57350153935</x:v>
      </x:c>
      <x:c r="L103" s="19" t="n">
        <x:v>46295</x:v>
      </x:c>
      <x:c r="M103" s="15" t="str">
        <x:v>Реконструкція ЦТП в котельню із встановленням газових котлів та реконструкцією теплових мереж на вул. Сахарова, 30-А у м. Івано-Франківську</x:v>
      </x:c>
      <x:c r="N103" s="15" t="str">
        <x:v>https://prozorro.gov.ua/tender/UA-2026-04-29-006326-a</x:v>
      </x:c>
    </x:row>
    <x:row r="104">
      <x:c r="A104" s="14" t="n">
        <x:v>100</x:v>
      </x:c>
      <x:c r="B104" s="14" t="str">
        <x:v>ТОВ "МОРАДА"</x:v>
      </x:c>
      <x:c r="C104" s="14" t="str">
        <x:v>46063758</x:v>
      </x:c>
      <x:c r="D104" s="14" t="str">
        <x:v>Мости / інфраструктура</x:v>
      </x:c>
      <x:c r="E104" s="14" t="str">
        <x:v>Expansion discovery</x:v>
      </x:c>
      <x:c r="F104" s="14" t="str">
        <x:v>I2</x:v>
      </x:c>
      <x:c r="G104" s="14" t="n">
        <x:v>62</x:v>
      </x:c>
      <x:c r="H104" s="14" t="n">
        <x:v>1</x:v>
      </x:c>
      <x:c r="I104" s="14" t="n">
        <x:v>1</x:v>
      </x:c>
      <x:c r="J104" s="18" t="n">
        <x:v>11160113.51</x:v>
      </x:c>
      <x:c r="K104" s="19" t="n">
        <x:v>46161.63035443287</x:v>
      </x:c>
      <x:c r="L104" s="19" t="n">
        <x:v>46387</x:v>
      </x:c>
      <x:c r="M104" s="15" t="str">
        <x:v>Послуги з благоустрою - поточний ремонт мостів та шляхопроводів</x:v>
      </x:c>
      <x:c r="N104" s="15" t="str">
        <x:v>https://prozorro.gov.ua/tender/UA-2026-05-08-013164-a</x:v>
      </x:c>
    </x:row>
    <x:row r="105">
      <x:c r="A105" s="14" t="n">
        <x:v>101</x:v>
      </x:c>
      <x:c r="B105" s="14" t="str">
        <x:v>ТОВ "ПСК Енергобуд"</x:v>
      </x:c>
      <x:c r="C105" s="14" t="str">
        <x:v>36191288</x:v>
      </x:c>
      <x:c r="D105" s="14" t="str">
        <x:v>Насосні станції</x:v>
      </x:c>
      <x:c r="E105" s="14" t="str">
        <x:v>Expansion discovery</x:v>
      </x:c>
      <x:c r="F105" s="14" t="str">
        <x:v>I2</x:v>
      </x:c>
      <x:c r="G105" s="14" t="n">
        <x:v>62</x:v>
      </x:c>
      <x:c r="H105" s="14" t="n">
        <x:v>1</x:v>
      </x:c>
      <x:c r="I105" s="14" t="n">
        <x:v>1</x:v>
      </x:c>
      <x:c r="J105" s="18" t="n">
        <x:v>14741526</x:v>
      </x:c>
      <x:c r="K105" s="19" t="n">
        <x:v>46165.554012291665</x:v>
      </x:c>
      <x:c r="L105" s="19" t="n">
        <x:v>46356.916655092595</x:v>
      </x:c>
      <x:c r="M105" s="15" t="str">
        <x:v>"Реконструкція РП-6 кВ насосної станції № 28 (інв.№2258) шляхом підключення до мереж КП "ХТМ" (ТЕЦ-4) за адресою: м. Харків, *** (КП "Харківводоканал"). Коригування" (код ДК: 021:2015-45454000-4-Реконструкція )
</x:v>
      </x:c>
      <x:c r="N105" s="15" t="str">
        <x:v>https://prozorro.gov.ua/tender/UA-2026-04-30-010755-a</x:v>
      </x:c>
    </x:row>
    <x:row r="106">
      <x:c r="A106" s="14" t="n">
        <x:v>102</x:v>
      </x:c>
      <x:c r="B106" s="14" t="str">
        <x:v>ТОВ "СТЕЙДЖ АЛЬЯНС"</x:v>
      </x:c>
      <x:c r="C106" s="14" t="str">
        <x:v>43209597</x:v>
      </x:c>
      <x:c r="D106" s="14" t="str">
        <x:v>Насосні станції</x:v>
      </x:c>
      <x:c r="E106" s="14" t="str">
        <x:v>Expansion discovery</x:v>
      </x:c>
      <x:c r="F106" s="14" t="str">
        <x:v>I2</x:v>
      </x:c>
      <x:c r="G106" s="14" t="n">
        <x:v>62</x:v>
      </x:c>
      <x:c r="H106" s="14" t="n">
        <x:v>1</x:v>
      </x:c>
      <x:c r="I106" s="14" t="n">
        <x:v>1</x:v>
      </x:c>
      <x:c r="J106" s="18" t="n">
        <x:v>45473135</x:v>
      </x:c>
      <x:c r="K106" s="19" t="n">
        <x:v>46189.52603324074</x:v>
      </x:c>
      <x:c r="L106" s="19" t="n">
        <x:v>46382</x:v>
      </x:c>
      <x:c r="M106" s="15" t="str">
        <x:v>Реконструкція систем водопостачання та водовідведення м. Дніпро. Водопровідна насосна станція №4, вул. Кутузова, 6Н. (Код ДК 021:2015 45230000-8 - Будівництво трубопроводів, ліній зв’язку та електропередач, шосе, доріг, аеродромів і залізничних доріг; вирівнювання поверхонь)</x:v>
      </x:c>
      <x:c r="N106" s="15" t="str">
        <x:v>https://prozorro.gov.ua/tender/UA-2026-05-15-008760-a</x:v>
      </x:c>
    </x:row>
    <x:row r="107">
      <x:c r="A107" s="14" t="n">
        <x:v>103</x:v>
      </x:c>
      <x:c r="B107" s="14" t="str">
        <x:v>Товариство з обмеженою відповідальністю "МІСТПРОЕКТ"</x:v>
      </x:c>
      <x:c r="C107" s="14" t="str">
        <x:v>31483723</x:v>
      </x:c>
      <x:c r="D107" s="14" t="str">
        <x:v>Мости / інфраструктура</x:v>
      </x:c>
      <x:c r="E107" s="14" t="str">
        <x:v>Expansion discovery</x:v>
      </x:c>
      <x:c r="F107" s="14" t="str">
        <x:v>I2</x:v>
      </x:c>
      <x:c r="G107" s="14" t="n">
        <x:v>62</x:v>
      </x:c>
      <x:c r="H107" s="14" t="n">
        <x:v>1</x:v>
      </x:c>
      <x:c r="I107" s="14" t="n">
        <x:v>1</x:v>
      </x:c>
      <x:c r="J107" s="18" t="n">
        <x:v>11483640</x:v>
      </x:c>
      <x:c r="K107" s="19" t="n">
        <x:v>46161.51756497685</x:v>
      </x:c>
      <x:c r="L107" s="19" t="n">
        <x:v>46387</x:v>
      </x:c>
      <x:c r="M107" s="15" t="str">
        <x:v>Архітектурні, інженерні та планувальні послуги за кодом ДК 021:2015 - 71240000-2 (послуги з проєктування об’єкту: «Поточний ремонт тротуарів Північного мосту через р. Дніпро та мосту через р. Десенка»)</x:v>
      </x:c>
      <x:c r="N107" s="15" t="str">
        <x:v>https://prozorro.gov.ua/tender/UA-2026-05-08-009065-a</x:v>
      </x:c>
    </x:row>
    <x:row r="108">
      <x:c r="A108" s="14" t="n">
        <x:v>104</x:v>
      </x:c>
      <x:c r="B108" s="14" t="str">
        <x:v>Товариство з обмеженою відповідальністю «БК Домінант»</x:v>
      </x:c>
      <x:c r="C108" s="14" t="str">
        <x:v>40442698</x:v>
      </x:c>
      <x:c r="D108" s="14" t="str">
        <x:v>Насосні станції</x:v>
      </x:c>
      <x:c r="E108" s="14" t="str">
        <x:v>Expansion discovery</x:v>
      </x:c>
      <x:c r="F108" s="14" t="str">
        <x:v>I2</x:v>
      </x:c>
      <x:c r="G108" s="14" t="n">
        <x:v>62</x:v>
      </x:c>
      <x:c r="H108" s="14" t="n">
        <x:v>1</x:v>
      </x:c>
      <x:c r="I108" s="14" t="n">
        <x:v>1</x:v>
      </x:c>
      <x:c r="J108" s="18" t="n">
        <x:v>24838875.38</x:v>
      </x:c>
      <x:c r="K108" s="19" t="n">
        <x:v>46203.54539540509</x:v>
      </x:c>
      <x:c r="L108" s="19" t="n">
        <x:v>46752.585231481484</x:v>
      </x:c>
      <x:c r="M108" s="15" t="str">
        <x:v>Виконання робіт по об'єкту: "Реконструкція електричної мережі каналізаційної насосної станції №1, розташованої у місті Чернігові з встановленням когенераційної установки як альтернативного джерела живлення" (ДК 021:2015: 5000000-7 - Будівельні роботи та поточний ремонт)</x:v>
      </x:c>
      <x:c r="N108" s="15" t="str">
        <x:v>https://prozorro.gov.ua/tender/UA-2026-06-30-011765-a</x:v>
      </x:c>
    </x:row>
    <x:row r="109">
      <x:c r="A109" s="14" t="n">
        <x:v>105</x:v>
      </x:c>
      <x:c r="B109" s="14" t="str">
        <x:v>ТОВАРИСТВО З ОБМЕЖЕНОЮ ВІДПОВІДАЛЬНІСТЮ "УКРАЇНСЬКА МІЖРЕГІОНАЛЬНА БУДІВЕЛЬНА ЕКСПЕРТИЗА"</x:v>
      </x:c>
      <x:c r="C109" s="14" t="str">
        <x:v>39330499</x:v>
      </x:c>
      <x:c r="D109" s="14" t="str">
        <x:v>Водоочищення / очисні споруди</x:v>
      </x:c>
      <x:c r="E109" s="14" t="str">
        <x:v>Expansion discovery</x:v>
      </x:c>
      <x:c r="F109" s="14" t="str">
        <x:v>I2</x:v>
      </x:c>
      <x:c r="G109" s="14" t="n">
        <x:v>61</x:v>
      </x:c>
      <x:c r="H109" s="14" t="n">
        <x:v>2</x:v>
      </x:c>
      <x:c r="I109" s="14" t="n">
        <x:v>1</x:v>
      </x:c>
      <x:c r="J109" s="18" t="n">
        <x:v>246427.23</x:v>
      </x:c>
      <x:c r="K109" s="19" t="n">
        <x:v>46251.394478125</x:v>
      </x:c>
      <x:c r="L109" s="19" t="n">
        <x:v>46270</x:v>
      </x:c>
      <x:c r="M109" s="15" t="str">
        <x:v>Проведення експертизи проекту: Реконструкція очисних споруд каналізації с. Біла Криниця Рівненського району, Рівненської області </x:v>
      </x:c>
      <x:c r="N109" s="15" t="str">
        <x:v>https://prozorro.gov.ua/tender/UA-2026-08-17-002380-a</x:v>
      </x:c>
    </x:row>
    <x:row r="110">
      <x:c r="A110" s="14" t="n">
        <x:v>106</x:v>
      </x:c>
      <x:c r="B110" s="14" t="str">
        <x:v>ТОВАРИСТВО З ОБМЕЖЕНОЮ ВІДПОВІДАЛЬНІСТЮ "БЕЗПЕКА-ІФ"</x:v>
      </x:c>
      <x:c r="C110" s="14" t="str">
        <x:v>37262401</x:v>
      </x:c>
      <x:c r="D110" s="14" t="str">
        <x:v>Безпека / СКУД / CCTV</x:v>
      </x:c>
      <x:c r="E110" s="14" t="str">
        <x:v>Expansion discovery</x:v>
      </x:c>
      <x:c r="F110" s="14" t="str">
        <x:v>I2</x:v>
      </x:c>
      <x:c r="G110" s="14" t="n">
        <x:v>60</x:v>
      </x:c>
      <x:c r="H110" s="14" t="n">
        <x:v>2</x:v>
      </x:c>
      <x:c r="I110" s="14" t="n">
        <x:v>2</x:v>
      </x:c>
      <x:c r="J110" s="18" t="n">
        <x:v>180848.18</x:v>
      </x:c>
      <x:c r="K110" s="19" t="n">
        <x:v>46141.50274150463</x:v>
      </x:c>
      <x:c r="L110" s="19" t="n">
        <x:v>46387</x:v>
      </x:c>
      <x:c r="M110" s="15" t="str">
        <x:v>Послуги з монтажу та налаштування системи контролю доступу КНП "Дитяча лікарня Надвірнянського району" м. Надвірна, вул. Небесної Сотні, 24а</x:v>
      </x:c>
      <x:c r="N110" s="15" t="str">
        <x:v>https://prozorro.gov.ua/tender/UA-2026-04-29-008735-a</x:v>
      </x:c>
    </x:row>
    <x:row r="111">
      <x:c r="A111" s="14" t="n">
        <x:v>107</x:v>
      </x:c>
      <x:c r="B111" s="14" t="str">
        <x:v>ТОВАРИСТВО З ОБМЕЖЕНОЮ ВІДПОВІДАЛЬНІСТЮ "БК НД-ГРУП"</x:v>
      </x:c>
      <x:c r="C111" s="14" t="str">
        <x:v>40392710</x:v>
      </x:c>
      <x:c r="D111" s="14" t="str">
        <x:v>Мости / інфраструктура</x:v>
      </x:c>
      <x:c r="E111" s="14" t="str">
        <x:v>Expansion discovery</x:v>
      </x:c>
      <x:c r="F111" s="14" t="str">
        <x:v>I2</x:v>
      </x:c>
      <x:c r="G111" s="14" t="n">
        <x:v>60</x:v>
      </x:c>
      <x:c r="H111" s="14" t="n">
        <x:v>2</x:v>
      </x:c>
      <x:c r="I111" s="14" t="n">
        <x:v>2</x:v>
      </x:c>
      <x:c r="J111" s="18" t="n">
        <x:v>279159.23</x:v>
      </x:c>
      <x:c r="K111" s="19" t="n">
        <x:v>46143.35628107639</x:v>
      </x:c>
      <x:c r="L111" s="19" t="n">
        <x:v>46387</x:v>
      </x:c>
      <x:c r="M111" s="15" t="str">
        <x:v>поточнй ремонт підїзду до мосту через річку Бучанка в м. Ірпінь</x:v>
      </x:c>
      <x:c r="N111" s="15" t="str">
        <x:v>https://prozorro.gov.ua/tender/UA-2026-05-01-004394-a</x:v>
      </x:c>
    </x:row>
    <x:row r="112">
      <x:c r="A112" s="14" t="n">
        <x:v>108</x:v>
      </x:c>
      <x:c r="B112" s="14" t="str">
        <x:v>ТОВАРИСТВО З ОБМЕЖЕНОЮ ВІДПОВІДАЛЬНІСТЮ "ТРЕЙДІНГ АССОШІЕЙШН АІМДЖИ"</x:v>
      </x:c>
      <x:c r="C112" s="14" t="str">
        <x:v>39839464</x:v>
      </x:c>
      <x:c r="D112" s="14" t="str">
        <x:v>Зовнішні мережі</x:v>
      </x:c>
      <x:c r="E112" s="14" t="str">
        <x:v>Expansion discovery</x:v>
      </x:c>
      <x:c r="F112" s="14" t="str">
        <x:v>I2</x:v>
      </x:c>
      <x:c r="G112" s="14" t="n">
        <x:v>60</x:v>
      </x:c>
      <x:c r="H112" s="14" t="n">
        <x:v>2</x:v>
      </x:c>
      <x:c r="I112" s="14" t="n">
        <x:v>2</x:v>
      </x:c>
      <x:c r="J112" s="18" t="n">
        <x:v>174440</x:v>
      </x:c>
      <x:c r="K112" s="19" t="n">
        <x:v>46190.44083119213</x:v>
      </x:c>
      <x:c r="L112" s="19" t="n">
        <x:v>46746</x:v>
      </x:c>
      <x:c r="M112" s="15" t="str">
        <x:v>Авторський нагляд за роботами на об’єкті: “Нове будівництво зовнішніх інженерних мереж електропостачання, військове містечко № 7, с. Тетерівка, Житомирська обл.”</x:v>
      </x:c>
      <x:c r="N112" s="15" t="str">
        <x:v>https://prozorro.gov.ua/tender/UA-2026-06-17-007129-a</x:v>
      </x:c>
    </x:row>
    <x:row r="113">
      <x:c r="A113" s="14" t="n">
        <x:v>109</x:v>
      </x:c>
      <x:c r="B113" s="14" t="str">
        <x:v>ПРИВАТНЕ ПІДПРИЄМСТВО "УКРСЕРВІСПРОЕКТ"</x:v>
      </x:c>
      <x:c r="C113" s="14" t="str">
        <x:v>36514593</x:v>
      </x:c>
      <x:c r="D113" s="14" t="str">
        <x:v>Водоочищення / очисні споруди</x:v>
      </x:c>
      <x:c r="E113" s="14" t="str">
        <x:v>Expansion discovery</x:v>
      </x:c>
      <x:c r="F113" s="14" t="str">
        <x:v>I2</x:v>
      </x:c>
      <x:c r="G113" s="14" t="n">
        <x:v>60</x:v>
      </x:c>
      <x:c r="H113" s="14" t="n">
        <x:v>1</x:v>
      </x:c>
      <x:c r="I113" s="14" t="n">
        <x:v>1</x:v>
      </x:c>
      <x:c r="J113" s="18" t="n">
        <x:v>1399150</x:v>
      </x:c>
      <x:c r="K113" s="19" t="n">
        <x:v>46226.50821959491</x:v>
      </x:c>
      <x:c r="L113" s="19" t="n">
        <x:v>46387</x:v>
      </x:c>
      <x:c r="M113" s="15" t="str">
        <x:v>Відкоригування проектно-кошторисної документації з отриманням позитивного звіту експертизи по об"єкту:"Реконструкція каналізаційних очисних споруд смт.Підволочиськ Тернопільської області "Коригування.</x:v>
      </x:c>
      <x:c r="N113" s="15" t="str">
        <x:v>https://prozorro.gov.ua/tender/UA-2026-07-23-008618-a</x:v>
      </x:c>
    </x:row>
    <x:row r="114">
      <x:c r="A114" s="14" t="n">
        <x:v>110</x:v>
      </x:c>
      <x:c r="B114" s="14" t="str">
        <x:v>ТОВ "Інагротранс"</x:v>
      </x:c>
      <x:c r="C114" s="14" t="str">
        <x:v>31143004</x:v>
      </x:c>
      <x:c r="D114" s="14" t="str">
        <x:v>Теплові мережі</x:v>
      </x:c>
      <x:c r="E114" s="14" t="str">
        <x:v>Expansion discovery</x:v>
      </x:c>
      <x:c r="F114" s="14" t="str">
        <x:v>I2</x:v>
      </x:c>
      <x:c r="G114" s="14" t="n">
        <x:v>60</x:v>
      </x:c>
      <x:c r="H114" s="14" t="n">
        <x:v>1</x:v>
      </x:c>
      <x:c r="I114" s="14" t="n">
        <x:v>1</x:v>
      </x:c>
      <x:c r="J114" s="18" t="n">
        <x:v>581064</x:v>
      </x:c>
      <x:c r="K114" s="19" t="n">
        <x:v>46252.53838293981</x:v>
      </x:c>
      <x:c r="L114" s="19" t="n">
        <x:v>46387.61451388889</x:v>
      </x:c>
      <x:c r="M114" s="15" t="str">
        <x:v>«Труби  сталеві електрозварні  в асортименті для реконструкції теплових мереж» КОД ДК 021:2015 — 44160000-9 Магістралі, трубопроводи, труби, обсадні труби, тюбінги та супутні вироби</x:v>
      </x:c>
      <x:c r="N114" s="15" t="str">
        <x:v>https://prozorro.gov.ua/tender/UA-2026-08-08-000508-a</x:v>
      </x:c>
    </x:row>
    <x:row r="115">
      <x:c r="A115" s="14" t="n">
        <x:v>111</x:v>
      </x:c>
      <x:c r="B115" s="14" t="str">
        <x:v>ТОВ "КУБІК ГРУП"</x:v>
      </x:c>
      <x:c r="C115" s="14" t="str">
        <x:v>44554976</x:v>
      </x:c>
      <x:c r="D115" s="14" t="str">
        <x:v>Безпека / СКУД / CCTV</x:v>
      </x:c>
      <x:c r="E115" s="14" t="str">
        <x:v>Expansion discovery</x:v>
      </x:c>
      <x:c r="F115" s="14" t="str">
        <x:v>I2</x:v>
      </x:c>
      <x:c r="G115" s="14" t="n">
        <x:v>60</x:v>
      </x:c>
      <x:c r="H115" s="14" t="n">
        <x:v>1</x:v>
      </x:c>
      <x:c r="I115" s="14" t="n">
        <x:v>1</x:v>
      </x:c>
      <x:c r="J115" s="18" t="n">
        <x:v>1709746.56</x:v>
      </x:c>
      <x:c r="K115" s="19" t="n">
        <x:v>46219.32686769676</x:v>
      </x:c>
      <x:c r="L115" s="19" t="n">
        <x:v>46341</x:v>
      </x:c>
      <x:c r="M115" s="15" t="str">
        <x:v>Обладнання та матеріали для монтажу систем охорони та відеоспостереження</x:v>
      </x:c>
      <x:c r="N115" s="15" t="str">
        <x:v>https://prozorro.gov.ua/tender/UA-2026-07-06-002008-a</x:v>
      </x:c>
    </x:row>
    <x:row r="116">
      <x:c r="A116" s="14" t="n">
        <x:v>112</x:v>
      </x:c>
      <x:c r="B116" s="14" t="str">
        <x:v>ТОВ "Светолюкс-Электромонтаж"</x:v>
      </x:c>
      <x:c r="C116" s="14" t="str">
        <x:v>30975988</x:v>
      </x:c>
      <x:c r="D116" s="14" t="str">
        <x:v>Електромонтаж</x:v>
      </x:c>
      <x:c r="E116" s="14" t="str">
        <x:v>Pilot now</x:v>
      </x:c>
      <x:c r="F116" s="14" t="str">
        <x:v>I2</x:v>
      </x:c>
      <x:c r="G116" s="14" t="n">
        <x:v>60</x:v>
      </x:c>
      <x:c r="H116" s="14" t="n">
        <x:v>1</x:v>
      </x:c>
      <x:c r="I116" s="14" t="n">
        <x:v>1</x:v>
      </x:c>
      <x:c r="J116" s="18" t="n">
        <x:v>1349221.1</x:v>
      </x:c>
      <x:c r="K116" s="19" t="n">
        <x:v>46251.46483991898</x:v>
      </x:c>
      <x:c r="L116" s="19" t="n">
        <x:v>46387</x:v>
      </x:c>
      <x:c r="M116" s="15" t="str">
        <x:v>Послуги з монтажу електричних мереж та електричного обладнання в патернах причалів</x:v>
      </x:c>
      <x:c r="N116" s="15" t="str">
        <x:v>https://prozorro.gov.ua/tender/UA-2026-07-31-004646-a</x:v>
      </x:c>
    </x:row>
    <x:row r="117">
      <x:c r="A117" s="14" t="n">
        <x:v>113</x:v>
      </x:c>
      <x:c r="B117" s="14" t="str">
        <x:v>ТОВ "Юнібуденергосервіс"</x:v>
      </x:c>
      <x:c r="C117" s="14" t="str">
        <x:v>46201412</x:v>
      </x:c>
      <x:c r="D117" s="14" t="str">
        <x:v>Водоочищення / очисні споруди</x:v>
      </x:c>
      <x:c r="E117" s="14" t="str">
        <x:v>Expansion discovery</x:v>
      </x:c>
      <x:c r="F117" s="14" t="str">
        <x:v>I2</x:v>
      </x:c>
      <x:c r="G117" s="14" t="n">
        <x:v>60</x:v>
      </x:c>
      <x:c r="H117" s="14" t="n">
        <x:v>1</x:v>
      </x:c>
      <x:c r="I117" s="14" t="n">
        <x:v>1</x:v>
      </x:c>
      <x:c r="J117" s="18" t="n">
        <x:v>869628.35</x:v>
      </x:c>
      <x:c r="K117" s="19" t="n">
        <x:v>46216.47863283565</x:v>
      </x:c>
      <x:c r="L117" s="19" t="n">
        <x:v>46387</x:v>
      </x:c>
      <x:c r="M117" s="15" t="str">
        <x:v>Виготовлення проектно-кошторисної документації по об’єкту: «Реконструкція біологічних очисних споруд каналізації м. Остер Чернігівської області. Коригування, згідно ЄЗС ДК 021:2015: 71320000-7- послуги з інженерного проектування</x:v>
      </x:c>
      <x:c r="N117" s="15" t="str">
        <x:v>https://prozorro.gov.ua/tender/UA-2026-07-13-006735-a</x:v>
      </x:c>
    </x:row>
    <x:row r="118">
      <x:c r="A118" s="14" t="n">
        <x:v>114</x:v>
      </x:c>
      <x:c r="B118" s="14" t="str">
        <x:v>ТОВАРИСТВО З ОБМЕЖЕНОЮ ВІДПОВІДАЛЬНІСТЮ "БУДІВЕЛЬНА КОМПАНІЯ "ГЕКСАГОН"</x:v>
      </x:c>
      <x:c r="C118" s="14" t="str">
        <x:v>42802738</x:v>
      </x:c>
      <x:c r="D118" s="14" t="str">
        <x:v>Теплові мережі</x:v>
      </x:c>
      <x:c r="E118" s="14" t="str">
        <x:v>Expansion discovery</x:v>
      </x:c>
      <x:c r="F118" s="14" t="str">
        <x:v>I2</x:v>
      </x:c>
      <x:c r="G118" s="14" t="n">
        <x:v>60</x:v>
      </x:c>
      <x:c r="H118" s="14" t="n">
        <x:v>1</x:v>
      </x:c>
      <x:c r="I118" s="14" t="n">
        <x:v>1</x:v>
      </x:c>
      <x:c r="J118" s="18" t="n">
        <x:v>545977.93</x:v>
      </x:c>
      <x:c r="K118" s="19" t="n">
        <x:v>46220.2418265625</x:v>
      </x:c>
      <x:c r="L118" s="19" t="n">
        <x:v>46296</x:v>
      </x:c>
      <x:c r="M118" s="15" t="str">
        <x:v>Коригування робочого проєкту «Реконструкція ділянки теплової мережі по вул. Базарна від ТК2к17 до ТК2к22 у м. Одесі»</x:v>
      </x:c>
      <x:c r="N118" s="15" t="str">
        <x:v>https://prozorro.gov.ua/tender/UA-2026-07-17-000299-a</x:v>
      </x:c>
    </x:row>
    <x:row r="119">
      <x:c r="A119" s="14" t="n">
        <x:v>115</x:v>
      </x:c>
      <x:c r="B119" s="14" t="str">
        <x:v>ТОВАРИСТВО З ОБМЕЖЕНОЮ ВІДПОВІДАЛЬНІСТЮ "МІЛПРОД"</x:v>
      </x:c>
      <x:c r="C119" s="14" t="str">
        <x:v>45502185</x:v>
      </x:c>
      <x:c r="D119" s="14" t="str">
        <x:v>HVAC / ОВіК</x:v>
      </x:c>
      <x:c r="E119" s="14" t="str">
        <x:v>Pilot now</x:v>
      </x:c>
      <x:c r="F119" s="14" t="str">
        <x:v>I2</x:v>
      </x:c>
      <x:c r="G119" s="14" t="n">
        <x:v>60</x:v>
      </x:c>
      <x:c r="H119" s="14" t="n">
        <x:v>1</x:v>
      </x:c>
      <x:c r="I119" s="14" t="n">
        <x:v>1</x:v>
      </x:c>
      <x:c r="J119" s="18" t="n">
        <x:v>1109564.45</x:v>
      </x:c>
      <x:c r="K119" s="19" t="n">
        <x:v>46226.50163167824</x:v>
      </x:c>
      <x:c r="L119" s="19" t="n">
        <x:v>46387</x:v>
      </x:c>
      <x:c r="M119" s="15" t="str">
        <x:v>Роботи з постачання та монтажу системи кондиціювання та вентиляції у будівлі № 100, що знаходиться за адресою: м. Київ, проспект Академіка Глушкова, 1 (ДК 021:2015: 45331200-8 Встановлення вентиляційних систем і систем кондиціонування повітря)</x:v>
      </x:c>
      <x:c r="N119" s="15" t="str">
        <x:v>https://prozorro.gov.ua/tender/UA-2026-07-07-008541-a</x:v>
      </x:c>
    </x:row>
    <x:row r="120">
      <x:c r="A120" s="14" t="n">
        <x:v>116</x:v>
      </x:c>
      <x:c r="B120" s="14" t="str">
        <x:v>ТОВАРИСТВО З ОБМЕЖЕНОЮ ВІДПОВІДАЛЬНІСТЮ "МК-ГРАНД 2015"</x:v>
      </x:c>
      <x:c r="C120" s="14" t="str">
        <x:v>41291234</x:v>
      </x:c>
      <x:c r="D120" s="14" t="str">
        <x:v>Водоочищення / очисні споруди</x:v>
      </x:c>
      <x:c r="E120" s="14" t="str">
        <x:v>Expansion discovery</x:v>
      </x:c>
      <x:c r="F120" s="14" t="str">
        <x:v>I2</x:v>
      </x:c>
      <x:c r="G120" s="14" t="n">
        <x:v>60</x:v>
      </x:c>
      <x:c r="H120" s="14" t="n">
        <x:v>1</x:v>
      </x:c>
      <x:c r="I120" s="14" t="n">
        <x:v>1</x:v>
      </x:c>
      <x:c r="J120" s="18" t="n">
        <x:v>683148</x:v>
      </x:c>
      <x:c r="K120" s="19" t="n">
        <x:v>46255.28362246528</x:v>
      </x:c>
      <x:c r="L120" s="19" t="n">
        <x:v>46387</x:v>
      </x:c>
      <x:c r="M120" s="15" t="str">
        <x:v>Коригування проєктної документації по об'єкту: "Реконструкція каналізаційних очисних споруд (аеротенки та повітродувна станція з повітроводом) в м. Глухів, вул. Жужоми, 51 (Коригування)"</x:v>
      </x:c>
      <x:c r="N120" s="15" t="str">
        <x:v>https://prozorro.gov.ua/tender/UA-2026-08-21-001303-a</x:v>
      </x:c>
    </x:row>
    <x:row r="121">
      <x:c r="A121" s="14" t="n">
        <x:v>117</x:v>
      </x:c>
      <x:c r="B121" s="14" t="str">
        <x:v>ТОВАРИСТВО З ОБМЕЖЕНОЮ ВІДПОВІДАЛЬНІСТЮ "СОЛАРС РЕ ЕНЕРДЖІ ГРУП"</x:v>
      </x:c>
      <x:c r="C121" s="14" t="str">
        <x:v>43124592</x:v>
      </x:c>
      <x:c r="D121" s="14" t="str">
        <x:v>Сонячна енергетика</x:v>
      </x:c>
      <x:c r="E121" s="14" t="str">
        <x:v>Expansion discovery</x:v>
      </x:c>
      <x:c r="F121" s="14" t="str">
        <x:v>I2</x:v>
      </x:c>
      <x:c r="G121" s="14" t="n">
        <x:v>60</x:v>
      </x:c>
      <x:c r="H121" s="14" t="n">
        <x:v>1</x:v>
      </x:c>
      <x:c r="I121" s="14" t="n">
        <x:v>1</x:v>
      </x:c>
      <x:c r="J121" s="18" t="n">
        <x:v>1513029</x:v>
      </x:c>
      <x:c r="K121" s="19" t="n">
        <x:v>46237.284989594904</x:v>
      </x:c>
      <x:c r="L121" s="19" t="n">
        <x:v>46326</x:v>
      </x:c>
      <x:c r="M121" s="15" t="str">
        <x:v>«Реконструкція системи електропостачання (монтаж дахової сонячної електростанції для власних потреб) філії опорного закладу Початкова школа Ліцею імені Героїв 68-го батальйону Перечинської міської ради по вул. Ужанська, 9 в м. Перечин, Ужгородського району, Закарпатської області»</x:v>
      </x:c>
      <x:c r="N121" s="15" t="str">
        <x:v>https://prozorro.gov.ua/tender/UA-2026-07-14-002107-a</x:v>
      </x:c>
    </x:row>
    <x:row r="122">
      <x:c r="A122" s="14" t="n">
        <x:v>118</x:v>
      </x:c>
      <x:c r="B122" s="14" t="str">
        <x:v>ТОВАРИСТВО З ОБМЕЖЕНОЮ ВІДПОВІДАЛЬНІСТЮ "УКРЕНЕРГОПРОМ - 3"</x:v>
      </x:c>
      <x:c r="C122" s="14" t="str">
        <x:v>31564943</x:v>
      </x:c>
      <x:c r="D122" s="14" t="str">
        <x:v>Водоочищення / очисні споруди</x:v>
      </x:c>
      <x:c r="E122" s="14" t="str">
        <x:v>Expansion discovery</x:v>
      </x:c>
      <x:c r="F122" s="14" t="str">
        <x:v>I2</x:v>
      </x:c>
      <x:c r="G122" s="14" t="n">
        <x:v>60</x:v>
      </x:c>
      <x:c r="H122" s="14" t="n">
        <x:v>1</x:v>
      </x:c>
      <x:c r="I122" s="14" t="n">
        <x:v>1</x:v>
      </x:c>
      <x:c r="J122" s="18" t="n">
        <x:v>620400</x:v>
      </x:c>
      <x:c r="K122" s="19" t="n">
        <x:v>46240.554719837965</x:v>
      </x:c>
      <x:c r="L122" s="19" t="n">
        <x:v>46387</x:v>
      </x:c>
      <x:c r="M122" s="15" t="str">
        <x:v>Реконструкція системи електропостачання комплексу очисних споруд КП "Міськводоканал" Сумської міської ради (СМР) з влаштуванням підключення когенераційної установки GENTEС, KE-MNG 700-BR за адресою м. Суми, вул. Лихвинська стінка, 40</x:v>
      </x:c>
      <x:c r="N122" s="15" t="str">
        <x:v>https://prozorro.gov.ua/tender/UA-2026-08-06-010034-a</x:v>
      </x:c>
    </x:row>
    <x:row r="123">
      <x:c r="A123" s="14" t="n">
        <x:v>119</x:v>
      </x:c>
      <x:c r="B123" s="14" t="str">
        <x:v>УПРАВЛІННЯ ПОЛІЦІЇ ОХОРОНИ В ЖИТОМИРСЬКІЙ ОБЛАСТІ</x:v>
      </x:c>
      <x:c r="C123" s="14" t="str">
        <x:v>40109091</x:v>
      </x:c>
      <x:c r="D123" s="14" t="str">
        <x:v>Електромонтаж</x:v>
      </x:c>
      <x:c r="E123" s="14" t="str">
        <x:v>Pilot now</x:v>
      </x:c>
      <x:c r="F123" s="14" t="str">
        <x:v>I2</x:v>
      </x:c>
      <x:c r="G123" s="14" t="n">
        <x:v>60</x:v>
      </x:c>
      <x:c r="H123" s="14" t="n">
        <x:v>2</x:v>
      </x:c>
      <x:c r="I123" s="14" t="n">
        <x:v>1</x:v>
      </x:c>
      <x:c r="J123" s="18" t="n">
        <x:v>14657.3</x:v>
      </x:c>
      <x:c r="K123" s="19" t="n">
        <x:v>46245.3436465162</x:v>
      </x:c>
      <x:c r="L123" s="19" t="n">
        <x:v>46265</x:v>
      </x:c>
      <x:c r="M123" s="15" t="str">
        <x:v>Електромонтажні роботи</x:v>
      </x:c>
      <x:c r="N123" s="15" t="str">
        <x:v>https://prozorro.gov.ua/tender/UA-2026-08-11-003514-a</x:v>
      </x:c>
    </x:row>
    <x:row r="124">
      <x:c r="A124" s="14" t="n">
        <x:v>120</x:v>
      </x:c>
      <x:c r="B124" s="14" t="str">
        <x:v>ГРИГА АНДРІЙ ПЕТРОВИЧ</x:v>
      </x:c>
      <x:c r="C124" s="14" t="str">
        <x:v>2852611378</x:v>
      </x:c>
      <x:c r="D124" s="14" t="str">
        <x:v>Безпека / СКУД / CCTV</x:v>
      </x:c>
      <x:c r="E124" s="14" t="str">
        <x:v>Expansion discovery</x:v>
      </x:c>
      <x:c r="F124" s="14" t="str">
        <x:v>I2</x:v>
      </x:c>
      <x:c r="G124" s="14" t="n">
        <x:v>59</x:v>
      </x:c>
      <x:c r="H124" s="14" t="n">
        <x:v>2</x:v>
      </x:c>
      <x:c r="I124" s="14" t="n">
        <x:v>2</x:v>
      </x:c>
      <x:c r="J124" s="18" t="n">
        <x:v>52270</x:v>
      </x:c>
      <x:c r="K124" s="19" t="n">
        <x:v>46252.384626122686</x:v>
      </x:c>
      <x:c r="L124" s="19" t="n">
        <x:v>46387</x:v>
      </x:c>
      <x:c r="M124" s="15" t="str">
        <x:v>Монтаж системи відеоспостереження</x:v>
      </x:c>
      <x:c r="N124" s="15" t="str">
        <x:v>https://prozorro.gov.ua/tender/UA-2026-08-18-005084-a</x:v>
      </x:c>
    </x:row>
    <x:row r="125">
      <x:c r="A125" s="14" t="n">
        <x:v>121</x:v>
      </x:c>
      <x:c r="B125" s="14" t="str">
        <x:v>КОНДРАТЮК ВОЛОДИМИР ОЛЕГОВИЧ</x:v>
      </x:c>
      <x:c r="C125" s="14" t="str">
        <x:v>3231213712</x:v>
      </x:c>
      <x:c r="D125" s="14" t="str">
        <x:v>HVAC / ОВіК</x:v>
      </x:c>
      <x:c r="E125" s="14" t="str">
        <x:v>Pilot now</x:v>
      </x:c>
      <x:c r="F125" s="14" t="str">
        <x:v>I2</x:v>
      </x:c>
      <x:c r="G125" s="14" t="n">
        <x:v>59</x:v>
      </x:c>
      <x:c r="H125" s="14" t="n">
        <x:v>2</x:v>
      </x:c>
      <x:c r="I125" s="14" t="n">
        <x:v>2</x:v>
      </x:c>
      <x:c r="J125" s="18" t="n">
        <x:v>8900</x:v>
      </x:c>
      <x:c r="K125" s="19" t="n">
        <x:v>46245.520564108796</x:v>
      </x:c>
      <x:c r="L125" s="19" t="n">
        <x:v>46387</x:v>
      </x:c>
      <x:c r="M125" s="15" t="str">
        <x:v>Послуги із демонтажу та монтажу теплового лічильника па період проведення ремонтних робіт в системі опалення для ЗДО № 16</x:v>
      </x:c>
      <x:c r="N125" s="15" t="str">
        <x:v>https://prozorro.gov.ua/tender/UA-2026-08-11-009745-a</x:v>
      </x:c>
    </x:row>
    <x:row r="126">
      <x:c r="A126" s="14" t="n">
        <x:v>122</x:v>
      </x:c>
      <x:c r="B126" s="14" t="str">
        <x:v>Фізична особа-підприємець Перерва Олександр Іванович</x:v>
      </x:c>
      <x:c r="C126" s="14" t="str">
        <x:v>2481811590</x:v>
      </x:c>
      <x:c r="D126" s="14" t="str">
        <x:v>Безпека / СКУД / CCTV</x:v>
      </x:c>
      <x:c r="E126" s="14" t="str">
        <x:v>Expansion discovery</x:v>
      </x:c>
      <x:c r="F126" s="14" t="str">
        <x:v>I2</x:v>
      </x:c>
      <x:c r="G126" s="14" t="n">
        <x:v>59</x:v>
      </x:c>
      <x:c r="H126" s="14" t="n">
        <x:v>2</x:v>
      </x:c>
      <x:c r="I126" s="14" t="n">
        <x:v>2</x:v>
      </x:c>
      <x:c r="J126" s="18" t="n">
        <x:v>62880</x:v>
      </x:c>
      <x:c r="K126" s="19" t="n">
        <x:v>46213.31861041667</x:v>
      </x:c>
      <x:c r="L126" s="19" t="n">
        <x:v>46387.36189814815</x:v>
      </x:c>
      <x:c r="M126" s="15" t="str">
        <x:v>Послуга з монтажу, установки системи відеоспостереження</x:v>
      </x:c>
      <x:c r="N126" s="15" t="str">
        <x:v>https://prozorro.gov.ua/tender/UA-2026-07-10-002250-a</x:v>
      </x:c>
    </x:row>
    <x:row r="127">
      <x:c r="A127" s="14" t="n">
        <x:v>123</x:v>
      </x:c>
      <x:c r="B127" s="14" t="str">
        <x:v>ТОВ "БУДІНЖЕНЕ­РМЕРЕЖА"</x:v>
      </x:c>
      <x:c r="C127" s="14" t="str">
        <x:v>38374561</x:v>
      </x:c>
      <x:c r="D127" s="14" t="str">
        <x:v>ГНБ / безтраншейні роботи</x:v>
      </x:c>
      <x:c r="E127" s="14" t="str">
        <x:v>Expansion discovery</x:v>
      </x:c>
      <x:c r="F127" s="14" t="str">
        <x:v>I2</x:v>
      </x:c>
      <x:c r="G127" s="14" t="n">
        <x:v>59</x:v>
      </x:c>
      <x:c r="H127" s="14" t="n">
        <x:v>2</x:v>
      </x:c>
      <x:c r="I127" s="14" t="n">
        <x:v>1</x:v>
      </x:c>
      <x:c r="J127" s="18" t="n">
        <x:v>18945093</x:v>
      </x:c>
      <x:c r="K127" s="19" t="n">
        <x:v>46048.29862621528</x:v>
      </x:c>
      <x:c r="L127" s="19" t="n">
        <x:v>46387</x:v>
      </x:c>
      <x:c r="M127" s="15" t="str">
        <x:v>26П-043_45230000-8 Будівництво трубопроводів, ліній зв’язку та електропередач, шосе, доріг, аеродромів і залізничних доріг (Горизонтально-направлене буріння в Харківській області) </x:v>
      </x:c>
      <x:c r="N127" s="15" t="str">
        <x:v>https://prozorro.gov.ua/tender/UA-2025-12-29-000189-a</x:v>
      </x:c>
    </x:row>
    <x:row r="128">
      <x:c r="A128" s="14" t="n">
        <x:v>124</x:v>
      </x:c>
      <x:c r="B128" s="14" t="str">
        <x:v>ПРИВАТНЕ ПІДПРИЄМСТВО "АНАБУД"</x:v>
      </x:c>
      <x:c r="C128" s="14" t="str">
        <x:v>31564367</x:v>
      </x:c>
      <x:c r="D128" s="14" t="str">
        <x:v>Теплові мережі</x:v>
      </x:c>
      <x:c r="E128" s="14" t="str">
        <x:v>Expansion discovery</x:v>
      </x:c>
      <x:c r="F128" s="14" t="str">
        <x:v>I2</x:v>
      </x:c>
      <x:c r="G128" s="14" t="n">
        <x:v>58</x:v>
      </x:c>
      <x:c r="H128" s="14" t="n">
        <x:v>1</x:v>
      </x:c>
      <x:c r="I128" s="14" t="n">
        <x:v>1</x:v>
      </x:c>
      <x:c r="J128" s="18" t="n">
        <x:v>9335862</x:v>
      </x:c>
      <x:c r="K128" s="19" t="n">
        <x:v>46209.45089113426</x:v>
      </x:c>
      <x:c r="L128" s="19" t="n">
        <x:v>46295</x:v>
      </x:c>
      <x:c r="M128" s="15" t="str">
        <x:v>Реконструкція із заміною теплової мережі по вул. Привокзальна площа,5,м.Ірпінь. Ділянка ТК1-ТК3</x:v>
      </x:c>
      <x:c r="N128" s="15" t="str">
        <x:v>https://prozorro.gov.ua/tender/UA-2026-07-06-005423-a</x:v>
      </x:c>
    </x:row>
    <x:row r="129">
      <x:c r="A129" s="14" t="n">
        <x:v>125</x:v>
      </x:c>
      <x:c r="B129" s="14" t="str">
        <x:v>ТОВ "ҐРІНТЕК"</x:v>
      </x:c>
      <x:c r="C129" s="14" t="str">
        <x:v>42820558</x:v>
      </x:c>
      <x:c r="D129" s="14" t="str">
        <x:v>Сонячна енергетика</x:v>
      </x:c>
      <x:c r="E129" s="14" t="str">
        <x:v>Expansion discovery</x:v>
      </x:c>
      <x:c r="F129" s="14" t="str">
        <x:v>I2</x:v>
      </x:c>
      <x:c r="G129" s="14" t="n">
        <x:v>58</x:v>
      </x:c>
      <x:c r="H129" s="14" t="n">
        <x:v>1</x:v>
      </x:c>
      <x:c r="I129" s="14" t="n">
        <x:v>1</x:v>
      </x:c>
      <x:c r="J129" s="18" t="n">
        <x:v>5588637</x:v>
      </x:c>
      <x:c r="K129" s="19" t="n">
        <x:v>46162.60837363426</x:v>
      </x:c>
      <x:c r="L129" s="19" t="n">
        <x:v>46381.607094907406</x:v>
      </x:c>
      <x:c r="M129" s="15" t="str">
        <x:v>Монтаж системи альтернативного джерела енергії - сонячної електростанції (капітальний ремонт) КНП «Сокирянська лікарня» по вул. О.Кобилянської, 41 в м. Сокиряни</x:v>
      </x:c>
      <x:c r="N129" s="15" t="str">
        <x:v>https://prozorro.gov.ua/tender/UA-2026-04-29-011113-a</x:v>
      </x:c>
    </x:row>
    <x:row r="130">
      <x:c r="A130" s="14" t="n">
        <x:v>126</x:v>
      </x:c>
      <x:c r="B130" s="14" t="str">
        <x:v>ТОВ "ЕНЕРГІЯ ПРИРОДИ ПЛЮС"</x:v>
      </x:c>
      <x:c r="C130" s="14" t="str">
        <x:v>43599450</x:v>
      </x:c>
      <x:c r="D130" s="14" t="str">
        <x:v>Сонячна енергетика</x:v>
      </x:c>
      <x:c r="E130" s="14" t="str">
        <x:v>Expansion discovery</x:v>
      </x:c>
      <x:c r="F130" s="14" t="str">
        <x:v>I2</x:v>
      </x:c>
      <x:c r="G130" s="14" t="n">
        <x:v>58</x:v>
      </x:c>
      <x:c r="H130" s="14" t="n">
        <x:v>1</x:v>
      </x:c>
      <x:c r="I130" s="14" t="n">
        <x:v>1</x:v>
      </x:c>
      <x:c r="J130" s="18" t="n">
        <x:v>2572971.3</x:v>
      </x:c>
      <x:c r="K130" s="19" t="n">
        <x:v>46185.33913443287</x:v>
      </x:c>
      <x:c r="L130" s="19" t="n">
        <x:v>46265.52082175926</x:v>
      </x:c>
      <x:c r="M130" s="15" t="str">
        <x:v>Придбання та монтаж енергоефективного обладнання для гібридної сонячної електростанції</x:v>
      </x:c>
      <x:c r="N130" s="15" t="str">
        <x:v>https://prozorro.gov.ua/tender/UA-2026-05-28-009497-a</x:v>
      </x:c>
    </x:row>
    <x:row r="131">
      <x:c r="A131" s="14" t="n">
        <x:v>127</x:v>
      </x:c>
      <x:c r="B131" s="14" t="str">
        <x:v>ТОВАРИСТВО З ОБМЕЖЕНОЮ ВІДПОВІДАЛЬНІСТЮ "УК ЕКСПЕРТИЗА"</x:v>
      </x:c>
      <x:c r="C131" s="14" t="str">
        <x:v>42431096</x:v>
      </x:c>
      <x:c r="D131" s="14" t="str">
        <x:v>Водоочищення / очисні споруди</x:v>
      </x:c>
      <x:c r="E131" s="14" t="str">
        <x:v>Expansion discovery</x:v>
      </x:c>
      <x:c r="F131" s="14" t="str">
        <x:v>I2</x:v>
      </x:c>
      <x:c r="G131" s="14" t="n">
        <x:v>58</x:v>
      </x:c>
      <x:c r="H131" s="14" t="n">
        <x:v>2</x:v>
      </x:c>
      <x:c r="I131" s="14" t="n">
        <x:v>1</x:v>
      </x:c>
      <x:c r="J131" s="18" t="n">
        <x:v>102068</x:v>
      </x:c>
      <x:c r="K131" s="19" t="n">
        <x:v>46188.56181832176</x:v>
      </x:c>
      <x:c r="L131" s="19" t="n">
        <x:v>46387</x:v>
      </x:c>
      <x:c r="M131" s="15" t="str">
        <x:v>Послуги по проведенню експертизи проекту будівництва:"Реконструкція каналізаційної насосної станції №2 в місті Малин по вул. 10 ОГШБ, буд.59Б, Малинська ТГ, Коростенського району, Житомирської області"</x:v>
      </x:c>
      <x:c r="N131" s="15" t="str">
        <x:v>https://prozorro.gov.ua/tender/UA-2026-06-15-011390-a</x:v>
      </x:c>
    </x:row>
    <x:row r="132">
      <x:c r="A132" s="14" t="n">
        <x:v>128</x:v>
      </x:c>
      <x:c r="B132" s="14" t="str">
        <x:v>ТОВАРИСТВО З ОБМЕЖЕНОЮ ВІДПОВІДАЛЬНІСТЮ «ПРОЕКТНО-КОНСТРУКТОРСЬКИЙ, НАУКОВО-ДОСЛІДНИЙ ІНСТИТУТ «ЕНЕРГОТЕХПРОЕКТ»</x:v>
      </x:c>
      <x:c r="C132" s="14" t="str">
        <x:v>13679387</x:v>
      </x:c>
      <x:c r="D132" s="14" t="str">
        <x:v>Теплові мережі</x:v>
      </x:c>
      <x:c r="E132" s="14" t="str">
        <x:v>Expansion discovery</x:v>
      </x:c>
      <x:c r="F132" s="14" t="str">
        <x:v>I2</x:v>
      </x:c>
      <x:c r="G132" s="14" t="n">
        <x:v>58</x:v>
      </x:c>
      <x:c r="H132" s="14" t="n">
        <x:v>1</x:v>
      </x:c>
      <x:c r="I132" s="14" t="n">
        <x:v>1</x:v>
      </x:c>
      <x:c r="J132" s="18" t="n">
        <x:v>3049048.9</x:v>
      </x:c>
      <x:c r="K132" s="19" t="n">
        <x:v>46209.446364386575</x:v>
      </x:c>
      <x:c r="L132" s="19" t="n">
        <x:v>46386</x:v>
      </x:c>
      <x:c r="M132" s="15" t="str">
        <x:v>Виконання робіт з розробки проєктної документації за об'єктом: «Реконструкція *** із збільшенням теплової потужності та встановлення когенераційного обладнання за адресою: м. Київ, ***. Реконструкція теплових мереж»</x:v>
      </x:c>
      <x:c r="N132" s="15" t="str">
        <x:v>https://prozorro.gov.ua/tender/UA-2026-07-06-005320-a</x:v>
      </x:c>
    </x:row>
    <x:row r="133">
      <x:c r="A133" s="14" t="n">
        <x:v>129</x:v>
      </x:c>
      <x:c r="B133" s="14" t="str">
        <x:v>ТОВАРИСТВО З ОБМЕЖЕНОЮ ВІДПОВІДАЛЬНІСТЮ "КОТЕЛЬНІ ЛІКАРНЯНОГО КОМПЛЕКСУ"</x:v>
      </x:c>
      <x:c r="C133" s="14" t="str">
        <x:v>31555944</x:v>
      </x:c>
      <x:c r="D133" s="14" t="str">
        <x:v>Газопостачання / котельні</x:v>
      </x:c>
      <x:c r="E133" s="14" t="str">
        <x:v>Expansion discovery</x:v>
      </x:c>
      <x:c r="F133" s="14" t="str">
        <x:v>I2</x:v>
      </x:c>
      <x:c r="G133" s="14" t="n">
        <x:v>58</x:v>
      </x:c>
      <x:c r="H133" s="14" t="n">
        <x:v>2</x:v>
      </x:c>
      <x:c r="I133" s="14" t="n">
        <x:v>0</x:v>
      </x:c>
      <x:c r="J133" s="18" t="n">
        <x:v>4336759.87</x:v>
      </x:c>
      <x:c r="K133" s="19" t="n">
        <x:v>46170.524269594905</x:v>
      </x:c>
      <x:c r="L133" s="19" t="n">
        <x:v>46203</x:v>
      </x:c>
      <x:c r="M133" s="15" t="str">
        <x:v>Нове будівництво модульної транспортабельної котельні у м. Харкові за адресою: вул. ********** (резервне живлення). Монтаж БМК (код ДК 021:2015 – 45251000-1 "Будівництво електростанцій і теплових станцій").</x:v>
      </x:c>
      <x:c r="N133" s="15" t="str">
        <x:v>https://prozorro.gov.ua/tender/UA-2026-05-28-009026-a</x:v>
      </x:c>
    </x:row>
    <x:row r="134">
      <x:c r="A134" s="14" t="n">
        <x:v>130</x:v>
      </x:c>
      <x:c r="B134" s="14" t="str">
        <x:v>АВЕТІСЯН ГЕВОРГ ФУРМАНОВИЧ</x:v>
      </x:c>
      <x:c r="C134" s="14" t="str">
        <x:v>2729522173</x:v>
      </x:c>
      <x:c r="D134" s="14" t="str">
        <x:v>Мости / інфраструктура</x:v>
      </x:c>
      <x:c r="E134" s="14" t="str">
        <x:v>Expansion discovery</x:v>
      </x:c>
      <x:c r="F134" s="14" t="str">
        <x:v>I3</x:v>
      </x:c>
      <x:c r="G134" s="14" t="n">
        <x:v>57</x:v>
      </x:c>
      <x:c r="H134" s="14" t="n">
        <x:v>2</x:v>
      </x:c>
      <x:c r="I134" s="14" t="n">
        <x:v>2</x:v>
      </x:c>
      <x:c r="J134" s="18" t="n">
        <x:v>399190.25</x:v>
      </x:c>
      <x:c r="K134" s="19" t="n">
        <x:v>46212.252966168984</x:v>
      </x:c>
      <x:c r="L134" s="19" t="n">
        <x:v>46387</x:v>
      </x:c>
      <x:c r="M134" s="15" t="str">
        <x:v>Поточний ремонт відбійників та перил мосту № 1 через річку Синюха в місті Первомайськ Миколаївської області</x:v>
      </x:c>
      <x:c r="N134" s="15" t="str">
        <x:v>https://prozorro.gov.ua/tender/UA-2026-07-09-000490-a</x:v>
      </x:c>
    </x:row>
    <x:row r="135">
      <x:c r="A135" s="14" t="n">
        <x:v>131</x:v>
      </x:c>
      <x:c r="B135" s="14" t="str">
        <x:v>КУРІЛЕЦЬ СЕРГІЙ БОГДАНОВИЧ</x:v>
      </x:c>
      <x:c r="C135" s="14" t="str">
        <x:v>3019912477</x:v>
      </x:c>
      <x:c r="D135" s="14" t="str">
        <x:v>Безпека / СКУД / CCTV</x:v>
      </x:c>
      <x:c r="E135" s="14" t="str">
        <x:v>Expansion discovery</x:v>
      </x:c>
      <x:c r="F135" s="14" t="str">
        <x:v>I3</x:v>
      </x:c>
      <x:c r="G135" s="14" t="n">
        <x:v>57</x:v>
      </x:c>
      <x:c r="H135" s="14" t="n">
        <x:v>2</x:v>
      </x:c>
      <x:c r="I135" s="14" t="n">
        <x:v>2</x:v>
      </x:c>
      <x:c r="J135" s="18" t="n">
        <x:v>123196</x:v>
      </x:c>
      <x:c r="K135" s="19" t="n">
        <x:v>46188.78293744213</x:v>
      </x:c>
      <x:c r="L135" s="19" t="n">
        <x:v>46387</x:v>
      </x:c>
      <x:c r="M135" s="15" t="str">
        <x:v>Послуги з монтажу та налаштування системи відеоспостереження</x:v>
      </x:c>
      <x:c r="N135" s="15" t="str">
        <x:v>https://prozorro.gov.ua/tender/UA-2026-06-15-013408-a</x:v>
      </x:c>
    </x:row>
    <x:row r="136">
      <x:c r="A136" s="14" t="n">
        <x:v>132</x:v>
      </x:c>
      <x:c r="B136" s="14" t="str">
        <x:v>ПАВЛЕНКО ВОЛОДИМИР ЯКОВИЧ</x:v>
      </x:c>
      <x:c r="C136" s="14" t="str">
        <x:v>2332113210</x:v>
      </x:c>
      <x:c r="D136" s="14" t="str">
        <x:v>Газопостачання / котельні</x:v>
      </x:c>
      <x:c r="E136" s="14" t="str">
        <x:v>Expansion discovery</x:v>
      </x:c>
      <x:c r="F136" s="14" t="str">
        <x:v>I3</x:v>
      </x:c>
      <x:c r="G136" s="14" t="n">
        <x:v>57</x:v>
      </x:c>
      <x:c r="H136" s="14" t="n">
        <x:v>2</x:v>
      </x:c>
      <x:c r="I136" s="14" t="n">
        <x:v>2</x:v>
      </x:c>
      <x:c r="J136" s="18" t="n">
        <x:v>207977.5</x:v>
      </x:c>
      <x:c r="K136" s="19" t="n">
        <x:v>46206.48941188657</x:v>
      </x:c>
      <x:c r="L136" s="19" t="n">
        <x:v>46266</x:v>
      </x:c>
      <x:c r="M136" s="15" t="str">
        <x:v>Капітальний ремонт. «Монтаж твердопаливного котла   ТМ УКРТЕРМО 600 кВт, серія WP-16W  у котельні Вільшанського ліцеюза адресою: вул. Київський шлях,14,  с. Вільшана, Роменського району, Сумської області»</x:v>
      </x:c>
      <x:c r="N136" s="15" t="str">
        <x:v>https://prozorro.gov.ua/tender/UA-2026-07-03-007395-a</x:v>
      </x:c>
    </x:row>
    <x:row r="137">
      <x:c r="A137" s="14" t="n">
        <x:v>133</x:v>
      </x:c>
      <x:c r="B137" s="14" t="str">
        <x:v>Фізична особа-підприємець Сойка Дарія Олегівна</x:v>
      </x:c>
      <x:c r="C137" s="14" t="str">
        <x:v>3503506967</x:v>
      </x:c>
      <x:c r="D137" s="14" t="str">
        <x:v>HVAC / ОВіК</x:v>
      </x:c>
      <x:c r="E137" s="14" t="str">
        <x:v>Pilot now</x:v>
      </x:c>
      <x:c r="F137" s="14" t="str">
        <x:v>I3</x:v>
      </x:c>
      <x:c r="G137" s="14" t="n">
        <x:v>57</x:v>
      </x:c>
      <x:c r="H137" s="14" t="n">
        <x:v>2</x:v>
      </x:c>
      <x:c r="I137" s="14" t="n">
        <x:v>2</x:v>
      </x:c>
      <x:c r="J137" s="18" t="n">
        <x:v>107000</x:v>
      </x:c>
      <x:c r="K137" s="19" t="n">
        <x:v>46148.43676380787</x:v>
      </x:c>
      <x:c r="L137" s="19" t="n">
        <x:v>46387</x:v>
      </x:c>
      <x:c r="M137" s="15" t="str">
        <x:v>Розробка передпроектної пропозиції "Капітальний ремонт приміщень роздягальні стадіону (монтаж системи водопостачання, водовідведення, електропостачання, вентиляції, опалення та кондиціювання, влаштування бетонної стяжки підлоги, облицювання підлоги керамічною плиткою)"</x:v>
      </x:c>
      <x:c r="N137" s="15" t="str">
        <x:v>https://prozorro.gov.ua/tender/UA-2026-05-06-007489-a</x:v>
      </x:c>
    </x:row>
    <x:row r="138">
      <x:c r="A138" s="14" t="n">
        <x:v>134</x:v>
      </x:c>
      <x:c r="B138" s="14" t="str">
        <x:v>ФОП Штандель Сергій Олегович</x:v>
      </x:c>
      <x:c r="C138" s="14" t="str">
        <x:v>2601704198</x:v>
      </x:c>
      <x:c r="D138" s="14" t="str">
        <x:v>Теплові мережі</x:v>
      </x:c>
      <x:c r="E138" s="14" t="str">
        <x:v>Expansion discovery</x:v>
      </x:c>
      <x:c r="F138" s="14" t="str">
        <x:v>I3</x:v>
      </x:c>
      <x:c r="G138" s="14" t="n">
        <x:v>57</x:v>
      </x:c>
      <x:c r="H138" s="14" t="n">
        <x:v>2</x:v>
      </x:c>
      <x:c r="I138" s="14" t="n">
        <x:v>2</x:v>
      </x:c>
      <x:c r="J138" s="18" t="n">
        <x:v>187696.97</x:v>
      </x:c>
      <x:c r="K138" s="19" t="n">
        <x:v>46209.42884983796</x:v>
      </x:c>
      <x:c r="L138" s="19" t="n">
        <x:v>46387.472766203704</x:v>
      </x:c>
      <x:c r="M138" s="15" t="str">
        <x:v>Технічний нагляд за об’єктом: «Реконструкція ділянки теплової мережі ТК19-ТК20 від котельні по вул. Монастирська, 6 в м. Полтава»</x:v>
      </x:c>
      <x:c r="N138" s="15" t="str">
        <x:v>https://prozorro.gov.ua/tender/UA-2026-07-06-004888-a</x:v>
      </x:c>
    </x:row>
    <x:row r="139">
      <x:c r="A139" s="14" t="n">
        <x:v>135</x:v>
      </x:c>
      <x:c r="B139" s="14" t="str">
        <x:v>ТОВАРИСТВО З ОБМЕЖЕНОЮ ВІДПОВІДАЛЬНІСТЮ -ФІРМА "КОРТАКОЗ"</x:v>
      </x:c>
      <x:c r="C139" s="14" t="str">
        <x:v>13993936</x:v>
      </x:c>
      <x:c r="D139" s="14" t="str">
        <x:v>Водоочищення / очисні споруди</x:v>
      </x:c>
      <x:c r="E139" s="14" t="str">
        <x:v>Expansion discovery</x:v>
      </x:c>
      <x:c r="F139" s="14" t="str">
        <x:v>I3</x:v>
      </x:c>
      <x:c r="G139" s="14" t="n">
        <x:v>57</x:v>
      </x:c>
      <x:c r="H139" s="14" t="n">
        <x:v>1</x:v>
      </x:c>
      <x:c r="I139" s="14" t="n">
        <x:v>0</x:v>
      </x:c>
      <x:c r="J139" s="18" t="n">
        <x:v>11653496.4</x:v>
      </x:c>
      <x:c r="K139" s="19" t="n">
        <x:v>46206.54986206019</x:v>
      </x:c>
      <x:c r="L139" s="19" t="n">
        <x:v>46234</x:v>
      </x:c>
      <x:c r="M139" s="15" t="str">
        <x:v>«Реконструкція очисних каналізаційних споруд повної біологічної очистки м. Арциз Одеської області» Коригування</x:v>
      </x:c>
      <x:c r="N139" s="15" t="str">
        <x:v>https://prozorro.gov.ua/tender/UA-2026-07-03-009470-a</x:v>
      </x:c>
    </x:row>
    <x:row r="140">
      <x:c r="A140" s="14" t="n">
        <x:v>136</x:v>
      </x:c>
      <x:c r="B140" s="14" t="str">
        <x:v>ТОВАРИСТВО З ОБМЕЖЕНОЮ ВІДПОВІДАЛЬНІСТЮ "ПРОМТЕПЛОТЕХСЕРВІС"</x:v>
      </x:c>
      <x:c r="C140" s="14" t="str">
        <x:v>37087967</x:v>
      </x:c>
      <x:c r="D140" s="14" t="str">
        <x:v>Газопостачання / котельні</x:v>
      </x:c>
      <x:c r="E140" s="14" t="str">
        <x:v>Expansion discovery</x:v>
      </x:c>
      <x:c r="F140" s="14" t="str">
        <x:v>I3</x:v>
      </x:c>
      <x:c r="G140" s="14" t="n">
        <x:v>57</x:v>
      </x:c>
      <x:c r="H140" s="14" t="n">
        <x:v>3</x:v>
      </x:c>
      <x:c r="I140" s="14" t="n">
        <x:v>0</x:v>
      </x:c>
      <x:c r="J140" s="18" t="n">
        <x:v>26130</x:v>
      </x:c>
      <x:c r="K140" s="19" t="n">
        <x:v>46240.39848201389</x:v>
      </x:c>
      <x:c r="L140" s="19" t="n">
        <x:v>46254</x:v>
      </x:c>
      <x:c r="M140" s="15" t="str">
        <x:v>демонтаж,підготовка до повірки, повірка та монтаж приладів КВПіА - 6 штук, встановлених в котельні </x:v>
      </x:c>
      <x:c r="N140" s="15" t="str">
        <x:v>https://prozorro.gov.ua/tender/UA-2026-08-06-005202-a</x:v>
      </x:c>
    </x:row>
    <x:row r="141">
      <x:c r="A141" s="14" t="n">
        <x:v>137</x:v>
      </x:c>
      <x:c r="B141" s="14" t="str">
        <x:v>БАЛУЦЬКИЙ ВІТАЛІЙ МИРОСЛАВОВИЧ</x:v>
      </x:c>
      <x:c r="C141" s="14" t="str">
        <x:v>2833104892</x:v>
      </x:c>
      <x:c r="D141" s="14" t="str">
        <x:v>Водоочищення / очисні споруди</x:v>
      </x:c>
      <x:c r="E141" s="14" t="str">
        <x:v>Expansion discovery</x:v>
      </x:c>
      <x:c r="F141" s="14" t="str">
        <x:v>I3</x:v>
      </x:c>
      <x:c r="G141" s="14" t="n">
        <x:v>56</x:v>
      </x:c>
      <x:c r="H141" s="14" t="n">
        <x:v>2</x:v>
      </x:c>
      <x:c r="I141" s="14" t="n">
        <x:v>2</x:v>
      </x:c>
      <x:c r="J141" s="18" t="n">
        <x:v>37380</x:v>
      </x:c>
      <x:c r="K141" s="19" t="n">
        <x:v>46183.525143969906</x:v>
      </x:c>
      <x:c r="L141" s="19" t="n">
        <x:v>46387</x:v>
      </x:c>
      <x:c r="M141" s="15" t="str">
        <x:v>Реконструкція каналЬаційної насосної станції в
смт. Шкло по вул.Богдана Слободи, 1 Новояворівська ТГ Яворівського району Львівської
області»</x:v>
      </x:c>
      <x:c r="N141" s="15" t="str">
        <x:v>https://prozorro.gov.ua/tender/UA-2026-06-10-010425-a</x:v>
      </x:c>
    </x:row>
    <x:row r="142">
      <x:c r="A142" s="14" t="n">
        <x:v>138</x:v>
      </x:c>
      <x:c r="B142" s="14" t="str">
        <x:v>ТОВАРИСТВО З ОБМЕЖЕНОЮ ВІДПОВІДАЛЬНІСТЮ "СОКІЛ ГАРД 2019"</x:v>
      </x:c>
      <x:c r="C142" s="14" t="str">
        <x:v>43054824</x:v>
      </x:c>
      <x:c r="D142" s="14" t="str">
        <x:v>Безпека / СКУД / CCTV</x:v>
      </x:c>
      <x:c r="E142" s="14" t="str">
        <x:v>Expansion discovery</x:v>
      </x:c>
      <x:c r="F142" s="14" t="str">
        <x:v>I3</x:v>
      </x:c>
      <x:c r="G142" s="14" t="n">
        <x:v>56</x:v>
      </x:c>
      <x:c r="H142" s="14" t="n">
        <x:v>2</x:v>
      </x:c>
      <x:c r="I142" s="14" t="n">
        <x:v>2</x:v>
      </x:c>
      <x:c r="J142" s="18" t="n">
        <x:v>82222.26</x:v>
      </x:c>
      <x:c r="K142" s="19" t="n">
        <x:v>46148.28090574074</x:v>
      </x:c>
      <x:c r="L142" s="19" t="n">
        <x:v>46356</x:v>
      </x:c>
      <x:c r="M142" s="15" t="str">
        <x:v>Послуги з монтажу та пусконалагоджувальних робіт по системі контролю доступом на об'єкті: Полтавська область, м. Кременчук, вул. Олексія Древаля, 35</x:v>
      </x:c>
      <x:c r="N142" s="15" t="str">
        <x:v>https://prozorro.gov.ua/tender/UA-2026-05-06-001393-a</x:v>
      </x:c>
    </x:row>
    <x:row r="143">
      <x:c r="A143" s="14" t="n">
        <x:v>139</x:v>
      </x:c>
      <x:c r="B143" s="14" t="str">
        <x:v>ПРИВАТНЕ ПІДПРИЄМСТВО «МВМ Шляхбуд»</x:v>
      </x:c>
      <x:c r="C143" s="14" t="str">
        <x:v>38402090</x:v>
      </x:c>
      <x:c r="D143" s="14" t="str">
        <x:v>Мости / інфраструктура</x:v>
      </x:c>
      <x:c r="E143" s="14" t="str">
        <x:v>Expansion discovery</x:v>
      </x:c>
      <x:c r="F143" s="14" t="str">
        <x:v>I3</x:v>
      </x:c>
      <x:c r="G143" s="14" t="n">
        <x:v>56</x:v>
      </x:c>
      <x:c r="H143" s="14" t="n">
        <x:v>1</x:v>
      </x:c>
      <x:c r="I143" s="14" t="n">
        <x:v>1</x:v>
      </x:c>
      <x:c r="J143" s="18" t="n">
        <x:v>199941.6</x:v>
      </x:c>
      <x:c r="K143" s="19" t="n">
        <x:v>46230.27637519676</x:v>
      </x:c>
      <x:c r="L143" s="19" t="n">
        <x:v>46376</x:v>
      </x:c>
      <x:c r="M143" s="15" t="str">
        <x:v>Поточний ремонт пішохідної доріжки в районі пішохідного мосту через річку Устю в м.Рівному</x:v>
      </x:c>
      <x:c r="N143" s="15" t="str">
        <x:v>https://prozorro.gov.ua/tender/UA-2026-07-27-000913-a</x:v>
      </x:c>
    </x:row>
    <x:row r="144">
      <x:c r="A144" s="14" t="n">
        <x:v>140</x:v>
      </x:c>
      <x:c r="B144" s="14" t="str">
        <x:v>Рембудзв'язок</x:v>
      </x:c>
      <x:c r="C144" s="14" t="str"/>
      <x:c r="D144" s="14" t="str">
        <x:v>ГНБ / безтраншейні мережі</x:v>
      </x:c>
      <x:c r="E144" s="14" t="str">
        <x:v>Expansion discovery</x:v>
      </x:c>
      <x:c r="F144" s="14" t="str">
        <x:v>I3</x:v>
      </x:c>
      <x:c r="G144" s="14" t="n">
        <x:v>56</x:v>
      </x:c>
      <x:c r="H144" s="14" t="n">
        <x:v>1</x:v>
      </x:c>
      <x:c r="I144" s="14" t="n">
        <x:v>1</x:v>
      </x:c>
      <x:c r="J144" s="18" t="n">
        <x:v>134600</x:v>
      </x:c>
      <x:c r="K144" s="19" t="n">
        <x:v>46232.569152951386</x:v>
      </x:c>
      <x:c r="L144" s="19" t="n">
        <x:v>46387</x:v>
      </x:c>
      <x:c r="M144" s="15" t="str">
        <x:v>Послуги з поточного ремонту кабельної лінії 10 кВт ТП17-РП5 методом горизонтально направленого буріння по вул. Захисників неба 8</x:v>
      </x:c>
      <x:c r="N144" s="15" t="str">
        <x:v>https://prozorro.gov.ua/tender/UA-2026-07-29-010065-a</x:v>
      </x:c>
    </x:row>
    <x:row r="145">
      <x:c r="A145" s="14" t="n">
        <x:v>141</x:v>
      </x:c>
      <x:c r="B145" s="14" t="str">
        <x:v>ТОВ "ВІТЯЗЬ-КБ"</x:v>
      </x:c>
      <x:c r="C145" s="14" t="str">
        <x:v>37961573</x:v>
      </x:c>
      <x:c r="D145" s="14" t="str">
        <x:v>Безпека / СКУД / CCTV</x:v>
      </x:c>
      <x:c r="E145" s="14" t="str">
        <x:v>Expansion discovery</x:v>
      </x:c>
      <x:c r="F145" s="14" t="str">
        <x:v>I3</x:v>
      </x:c>
      <x:c r="G145" s="14" t="n">
        <x:v>56</x:v>
      </x:c>
      <x:c r="H145" s="14" t="n">
        <x:v>1</x:v>
      </x:c>
      <x:c r="I145" s="14" t="n">
        <x:v>1</x:v>
      </x:c>
      <x:c r="J145" s="18" t="n">
        <x:v>291606.65</x:v>
      </x:c>
      <x:c r="K145" s="19" t="n">
        <x:v>46220.40103577546</x:v>
      </x:c>
      <x:c r="L145" s="19" t="n">
        <x:v>46295</x:v>
      </x:c>
      <x:c r="M145" s="15" t="str">
        <x:v>Послуги з монтажу та введення в експлуатацію системи відеоспостереження</x:v>
      </x:c>
      <x:c r="N145" s="15" t="str">
        <x:v>https://prozorro.gov.ua/tender/UA-2026-07-07-010998-a</x:v>
      </x:c>
    </x:row>
    <x:row r="146">
      <x:c r="A146" s="14" t="n">
        <x:v>142</x:v>
      </x:c>
      <x:c r="B146" s="14" t="str">
        <x:v>ТОВ "ІНЖИНІРИНГ ПОРТ СЕРВІС"</x:v>
      </x:c>
      <x:c r="C146" s="14" t="str">
        <x:v>38755441</x:v>
      </x:c>
      <x:c r="D146" s="14" t="str">
        <x:v>HVAC / ОВіК</x:v>
      </x:c>
      <x:c r="E146" s="14" t="str">
        <x:v>Pilot now</x:v>
      </x:c>
      <x:c r="F146" s="14" t="str">
        <x:v>I3</x:v>
      </x:c>
      <x:c r="G146" s="14" t="n">
        <x:v>56</x:v>
      </x:c>
      <x:c r="H146" s="14" t="n">
        <x:v>1</x:v>
      </x:c>
      <x:c r="I146" s="14" t="n">
        <x:v>1</x:v>
      </x:c>
      <x:c r="J146" s="18" t="n">
        <x:v>393225</x:v>
      </x:c>
      <x:c r="K146" s="19" t="n">
        <x:v>46240.31860636574</x:v>
      </x:c>
      <x:c r="L146" s="19" t="n">
        <x:v>46356</x:v>
      </x:c>
      <x:c r="M146" s="15" t="str">
        <x:v>"Послуги з проектування та монтажу системи автономного повітряного опалення на малі катери морської охорони проєкту «Metal Shark Defiant 38» (спецпризначення)»"</x:v>
      </x:c>
      <x:c r="N146" s="15" t="str">
        <x:v>https://prozorro.gov.ua/tender/UA-2026-07-27-004787-a</x:v>
      </x:c>
    </x:row>
    <x:row r="147">
      <x:c r="A147" s="14" t="n">
        <x:v>143</x:v>
      </x:c>
      <x:c r="B147" s="14" t="str">
        <x:v>ТОВ "КОМПАНІЯ ТЕРА-БУД"</x:v>
      </x:c>
      <x:c r="C147" s="14" t="str">
        <x:v>41405937</x:v>
      </x:c>
      <x:c r="D147" s="14" t="str">
        <x:v>Резервне живлення</x:v>
      </x:c>
      <x:c r="E147" s="14" t="str">
        <x:v>Expansion discovery</x:v>
      </x:c>
      <x:c r="F147" s="14" t="str">
        <x:v>I3</x:v>
      </x:c>
      <x:c r="G147" s="14" t="n">
        <x:v>56</x:v>
      </x:c>
      <x:c r="H147" s="14" t="n">
        <x:v>1</x:v>
      </x:c>
      <x:c r="I147" s="14" t="n">
        <x:v>1</x:v>
      </x:c>
      <x:c r="J147" s="18" t="n">
        <x:v>493086.67</x:v>
      </x:c>
      <x:c r="K147" s="19" t="n">
        <x:v>46218.459691979166</x:v>
      </x:c>
      <x:c r="L147" s="19" t="n">
        <x:v>46295.50371527778</x:v>
      </x:c>
      <x:c r="M147" s="15" t="str">
        <x:v>Система резервного живлення з монтажем: 31150000-2 Баласти для розрядних ламп чи трубок за ДК 021:2015 Єдиного закупівельного словника (номеклатурний код: 31154000-0 Джерела безперебійного живлення)</x:v>
      </x:c>
      <x:c r="N147" s="15" t="str">
        <x:v>https://prozorro.gov.ua/tender/UA-2026-06-30-009773-a</x:v>
      </x:c>
    </x:row>
    <x:row r="148">
      <x:c r="A148" s="14" t="n">
        <x:v>144</x:v>
      </x:c>
      <x:c r="B148" s="14" t="str">
        <x:v>ТОВ "ФАЛЬКОН-М"</x:v>
      </x:c>
      <x:c r="C148" s="14" t="str">
        <x:v>40772555</x:v>
      </x:c>
      <x:c r="D148" s="14" t="str">
        <x:v>Електромонтаж</x:v>
      </x:c>
      <x:c r="E148" s="14" t="str">
        <x:v>Pilot now</x:v>
      </x:c>
      <x:c r="F148" s="14" t="str">
        <x:v>I3</x:v>
      </x:c>
      <x:c r="G148" s="14" t="n">
        <x:v>56</x:v>
      </x:c>
      <x:c r="H148" s="14" t="n">
        <x:v>1</x:v>
      </x:c>
      <x:c r="I148" s="14" t="n">
        <x:v>1</x:v>
      </x:c>
      <x:c r="J148" s="18" t="n">
        <x:v>399130.57</x:v>
      </x:c>
      <x:c r="K148" s="19" t="n">
        <x:v>46247.34792717593</x:v>
      </x:c>
      <x:c r="L148" s="19" t="n">
        <x:v>46264</x:v>
      </x:c>
      <x:c r="M148" s="15" t="str">
        <x:v>Електромонтажні роботи  </x:v>
      </x:c>
      <x:c r="N148" s="15" t="str">
        <x:v>https://prozorro.gov.ua/tender/UA-2026-08-03-005283-a</x:v>
      </x:c>
    </x:row>
    <x:row r="149">
      <x:c r="A149" s="14" t="n">
        <x:v>145</x:v>
      </x:c>
      <x:c r="B149" s="14" t="str">
        <x:v>ТОВ НЕКСОРА ТЕХ</x:v>
      </x:c>
      <x:c r="C149" s="14" t="str">
        <x:v>45851285</x:v>
      </x:c>
      <x:c r="D149" s="14" t="str">
        <x:v>Промисловий холод</x:v>
      </x:c>
      <x:c r="E149" s="14" t="str">
        <x:v>Expansion discovery</x:v>
      </x:c>
      <x:c r="F149" s="14" t="str">
        <x:v>I3</x:v>
      </x:c>
      <x:c r="G149" s="14" t="n">
        <x:v>56</x:v>
      </x:c>
      <x:c r="H149" s="14" t="n">
        <x:v>1</x:v>
      </x:c>
      <x:c r="I149" s="14" t="n">
        <x:v>1</x:v>
      </x:c>
      <x:c r="J149" s="18" t="n">
        <x:v>228960</x:v>
      </x:c>
      <x:c r="K149" s="19" t="n">
        <x:v>46224.580835127315</x:v>
      </x:c>
      <x:c r="L149" s="19" t="n">
        <x:v>46265</x:v>
      </x:c>
      <x:c r="M149" s="15" t="str">
        <x:v>Кондиціонери (з монтажем) – код за ЄЗС ДК 021:2015 42510000-4 Теплообмінники, кондиціонери повітря, холодильне обладнання та фільтрувальні пристрої</x:v>
      </x:c>
      <x:c r="N149" s="15" t="str">
        <x:v>https://prozorro.gov.ua/tender/UA-2026-07-09-002223-a</x:v>
      </x:c>
    </x:row>
    <x:row r="150">
      <x:c r="A150" s="14" t="n">
        <x:v>146</x:v>
      </x:c>
      <x:c r="B150" s="14" t="str">
        <x:v>ТОВАРИСТВО З ДОДАТКОВОЮ ВІДПОВІДАЛЬНІСТЮ "ІНСТИТУТ ДНІПРОДІПРОТРАНС"</x:v>
      </x:c>
      <x:c r="C150" s="14" t="str">
        <x:v>01388420</x:v>
      </x:c>
      <x:c r="D150" s="14" t="str">
        <x:v>Мости / інфраструктура</x:v>
      </x:c>
      <x:c r="E150" s="14" t="str">
        <x:v>Expansion discovery</x:v>
      </x:c>
      <x:c r="F150" s="14" t="str">
        <x:v>I3</x:v>
      </x:c>
      <x:c r="G150" s="14" t="n">
        <x:v>56</x:v>
      </x:c>
      <x:c r="H150" s="14" t="n">
        <x:v>1</x:v>
      </x:c>
      <x:c r="I150" s="14" t="n">
        <x:v>1</x:v>
      </x:c>
      <x:c r="J150" s="18" t="n">
        <x:v>469920</x:v>
      </x:c>
      <x:c r="K150" s="19" t="n">
        <x:v>46217.53339412037</x:v>
      </x:c>
      <x:c r="L150" s="19" t="n">
        <x:v>46752.573333333334</x:v>
      </x:c>
      <x:c r="M150" s="15" t="str">
        <x:v>Виконання авторського нагляду по об'єкту: «Капітальний ремонт трамвайної лінії на мосту № 1 через р. Дніпро в м. Дніпрі»</x:v>
      </x:c>
      <x:c r="N150" s="15" t="str">
        <x:v>https://prozorro.gov.ua/tender/UA-2026-07-14-009585-a</x:v>
      </x:c>
    </x:row>
    <x:row r="151">
      <x:c r="A151" s="14" t="n">
        <x:v>147</x:v>
      </x:c>
      <x:c r="B151" s="14" t="str">
        <x:v>Товариство з обмеженою відповідальністю "АВАКС ПРОФ"</x:v>
      </x:c>
      <x:c r="C151" s="14" t="str">
        <x:v>37306789</x:v>
      </x:c>
      <x:c r="D151" s="14" t="str">
        <x:v>Мости / інфраструктура</x:v>
      </x:c>
      <x:c r="E151" s="14" t="str">
        <x:v>Expansion discovery</x:v>
      </x:c>
      <x:c r="F151" s="14" t="str">
        <x:v>I3</x:v>
      </x:c>
      <x:c r="G151" s="14" t="n">
        <x:v>56</x:v>
      </x:c>
      <x:c r="H151" s="14" t="n">
        <x:v>1</x:v>
      </x:c>
      <x:c r="I151" s="14" t="n">
        <x:v>1</x:v>
      </x:c>
      <x:c r="J151" s="18" t="n">
        <x:v>198574.46</x:v>
      </x:c>
      <x:c r="K151" s="19" t="n">
        <x:v>46246.54667043981</x:v>
      </x:c>
      <x:c r="L151" s="19" t="n">
        <x:v>46387</x:v>
      </x:c>
      <x:c r="M151" s="15" t="str">
        <x:v>Поточний ремонт дорожнього полотна на підходах до мосту по вул. Енергетична в м. Шумськ Кременецького району Тернопільської області</x:v>
      </x:c>
      <x:c r="N151" s="15" t="str">
        <x:v>https://prozorro.gov.ua/tender/UA-2026-08-12-010249-a</x:v>
      </x:c>
    </x:row>
    <x:row r="152">
      <x:c r="A152" s="14" t="n">
        <x:v>148</x:v>
      </x:c>
      <x:c r="B152" s="14" t="str">
        <x:v>ТОВАРИСТВО З ОБМЕЖЕНОЮ ВІДПОВІДАЛЬНІСТЮ "БУДІВЕЛЬНА ФІРМА "БУД ГРУПП"</x:v>
      </x:c>
      <x:c r="C152" s="14" t="str">
        <x:v>40703020</x:v>
      </x:c>
      <x:c r="D152" s="14" t="str">
        <x:v>Теплові мережі</x:v>
      </x:c>
      <x:c r="E152" s="14" t="str">
        <x:v>Expansion discovery</x:v>
      </x:c>
      <x:c r="F152" s="14" t="str">
        <x:v>I3</x:v>
      </x:c>
      <x:c r="G152" s="14" t="n">
        <x:v>56</x:v>
      </x:c>
      <x:c r="H152" s="14" t="n">
        <x:v>1</x:v>
      </x:c>
      <x:c r="I152" s="14" t="n">
        <x:v>1</x:v>
      </x:c>
      <x:c r="J152" s="18" t="n">
        <x:v>496242.53</x:v>
      </x:c>
      <x:c r="K152" s="19" t="n">
        <x:v>46255.37273883102</x:v>
      </x:c>
      <x:c r="L152" s="19" t="n">
        <x:v>46283</x:v>
      </x:c>
      <x:c r="M152" s="15" t="str">
        <x:v>«Реконструкція (відновлення) теплової мережі тепломагістралі №32 на ділянці в районі ТК 3201Г вздовж проспекту Індустріального у м. Харкові. (інв. №0304269)»(код ДК: 021:2015-45454000-4-Реконструкція)</x:v>
      </x:c>
      <x:c r="N152" s="15" t="str">
        <x:v>https://prozorro.gov.ua/tender/UA-2026-08-21-005103-a</x:v>
      </x:c>
    </x:row>
    <x:row r="153">
      <x:c r="A153" s="14" t="n">
        <x:v>149</x:v>
      </x:c>
      <x:c r="B153" s="14" t="str">
        <x:v>ТОВАРИСТВО З ОБМЕЖЕНОЮ ВІДПОВІДАЛЬНІСТЮ "ГЛОБАЛ ІНЖИНІРИНГ ПРОЕКТ"</x:v>
      </x:c>
      <x:c r="C153" s="14" t="str">
        <x:v>42275999</x:v>
      </x:c>
      <x:c r="D153" s="14" t="str">
        <x:v>Теплові мережі</x:v>
      </x:c>
      <x:c r="E153" s="14" t="str">
        <x:v>Expansion discovery</x:v>
      </x:c>
      <x:c r="F153" s="14" t="str">
        <x:v>I3</x:v>
      </x:c>
      <x:c r="G153" s="14" t="n">
        <x:v>56</x:v>
      </x:c>
      <x:c r="H153" s="14" t="n">
        <x:v>1</x:v>
      </x:c>
      <x:c r="I153" s="14" t="n">
        <x:v>1</x:v>
      </x:c>
      <x:c r="J153" s="18" t="n">
        <x:v>148598.94</x:v>
      </x:c>
      <x:c r="K153" s="19" t="n">
        <x:v>46220.33891277778</x:v>
      </x:c>
      <x:c r="L153" s="19" t="n">
        <x:v>46266</x:v>
      </x:c>
      <x:c r="M153" s="15" t="str">
        <x:v>Коригування робочого проєкту «Реконструкція ділянки теплової мережі по Олександрівському проспекту від ТК12405 до ТК1025 у м. Одесі»</x:v>
      </x:c>
      <x:c r="N153" s="15" t="str">
        <x:v>https://prozorro.gov.ua/tender/UA-2026-07-17-002969-a</x:v>
      </x:c>
    </x:row>
    <x:row r="154">
      <x:c r="A154" s="14" t="n">
        <x:v>150</x:v>
      </x:c>
      <x:c r="B154" s="14" t="str">
        <x:v>ТОВАРИСТВО З ОБМЕЖЕНОЮ ВІДПОВІДАЛЬНІСТЮ "ЕЛЕКТРОСЕРВІС-1"</x:v>
      </x:c>
      <x:c r="C154" s="14" t="str">
        <x:v>30984149</x:v>
      </x:c>
      <x:c r="D154" s="14" t="str">
        <x:v>Електромонтаж</x:v>
      </x:c>
      <x:c r="E154" s="14" t="str">
        <x:v>Pilot now</x:v>
      </x:c>
      <x:c r="F154" s="14" t="str">
        <x:v>I3</x:v>
      </x:c>
      <x:c r="G154" s="14" t="n">
        <x:v>56</x:v>
      </x:c>
      <x:c r="H154" s="14" t="n">
        <x:v>1</x:v>
      </x:c>
      <x:c r="I154" s="14" t="n">
        <x:v>1</x:v>
      </x:c>
      <x:c r="J154" s="18" t="n">
        <x:v>118805</x:v>
      </x:c>
      <x:c r="K154" s="19" t="n">
        <x:v>46246.274339641204</x:v>
      </x:c>
      <x:c r="L154" s="19" t="n">
        <x:v>46387</x:v>
      </x:c>
      <x:c r="M154" s="15" t="str">
        <x:v> Електромонтажні роботи</x:v>
      </x:c>
      <x:c r="N154" s="15" t="str">
        <x:v>https://prozorro.gov.ua/tender/UA-2026-08-12-001005-a</x:v>
      </x:c>
    </x:row>
    <x:row r="155">
      <x:c r="A155" s="14" t="n">
        <x:v>151</x:v>
      </x:c>
      <x:c r="B155" s="14" t="str">
        <x:v>Товариство з обмеженою відповідальністю "СІТІІНЖЕНІРІНГ"</x:v>
      </x:c>
      <x:c r="C155" s="14" t="str">
        <x:v>44220480</x:v>
      </x:c>
      <x:c r="D155" s="14" t="str">
        <x:v>Насосні станції</x:v>
      </x:c>
      <x:c r="E155" s="14" t="str">
        <x:v>Expansion discovery</x:v>
      </x:c>
      <x:c r="F155" s="14" t="str">
        <x:v>I3</x:v>
      </x:c>
      <x:c r="G155" s="14" t="n">
        <x:v>56</x:v>
      </x:c>
      <x:c r="H155" s="14" t="n">
        <x:v>1</x:v>
      </x:c>
      <x:c r="I155" s="14" t="n">
        <x:v>1</x:v>
      </x:c>
      <x:c r="J155" s="18" t="n">
        <x:v>125556.27</x:v>
      </x:c>
      <x:c r="K155" s="19" t="n">
        <x:v>46230.60918255787</x:v>
      </x:c>
      <x:c r="L155" s="19" t="n">
        <x:v>46356.65076388889</x:v>
      </x:c>
      <x:c r="M155" s="15" t="str">
        <x:v>Технічний нагляд за виконанням будівельних робіт по об’єкту: «Реконструкція каналізаційної насосної станції КНС-2 по вул. Романа Шухевича, 1а в м. Конотоп Сумської області (Коригування)» (за кодом ДК 021-2015(CPV): 71520000-9 – Послуги з нагляду за виконанням будівельних робіт)</x:v>
      </x:c>
      <x:c r="N155" s="15" t="str">
        <x:v>https://prozorro.gov.ua/tender/UA-2026-07-27-010950-a</x:v>
      </x:c>
    </x:row>
    <x:row r="156">
      <x:c r="A156" s="14" t="n">
        <x:v>152</x:v>
      </x:c>
      <x:c r="B156" s="14" t="str">
        <x:v>ТОВАРИСТВО З ОБМЕЖЕНОЮ ВІДПОВІДАЛЬНІСТЮ "ФЕЛКІНС"</x:v>
      </x:c>
      <x:c r="C156" s="14" t="str">
        <x:v>43828720</x:v>
      </x:c>
      <x:c r="D156" s="14" t="str">
        <x:v>Насосні станції</x:v>
      </x:c>
      <x:c r="E156" s="14" t="str">
        <x:v>Expansion discovery</x:v>
      </x:c>
      <x:c r="F156" s="14" t="str">
        <x:v>I3</x:v>
      </x:c>
      <x:c r="G156" s="14" t="n">
        <x:v>56</x:v>
      </x:c>
      <x:c r="H156" s="14" t="n">
        <x:v>1</x:v>
      </x:c>
      <x:c r="I156" s="14" t="n">
        <x:v>1</x:v>
      </x:c>
      <x:c r="J156" s="18" t="n">
        <x:v>299707.45</x:v>
      </x:c>
      <x:c r="K156" s="19" t="n">
        <x:v>46219.54142023148</x:v>
      </x:c>
      <x:c r="L156" s="19" t="n">
        <x:v>46266</x:v>
      </x:c>
      <x:c r="M156" s="15" t="str">
        <x:v>Виготовлення проєктно-кошторисної документації по об'єкту благоустрою: "Реконструкція насосної станції в Наводницькому парку, пункту заправки і водопроводу технічної води в Печерському районі" Коригування 2 (за кодом ДК 021:2015, 71320000-7- Послуги з інженерного проектування)
</x:v>
      </x:c>
      <x:c r="N156" s="15" t="str">
        <x:v>https://prozorro.gov.ua/tender/UA-2026-07-16-008704-a</x:v>
      </x:c>
    </x:row>
    <x:row r="157">
      <x:c r="A157" s="14" t="n">
        <x:v>153</x:v>
      </x:c>
      <x:c r="B157" s="14" t="str">
        <x:v>ТОВАРИСТВО З ОБМЕЖЕНОЮ ВІДПОВІДАЛЬНІСТЮ "ШРБУ-48"</x:v>
      </x:c>
      <x:c r="C157" s="14" t="str">
        <x:v>39835082</x:v>
      </x:c>
      <x:c r="D157" s="14" t="str">
        <x:v>Електромонтаж</x:v>
      </x:c>
      <x:c r="E157" s="14" t="str">
        <x:v>Pilot now</x:v>
      </x:c>
      <x:c r="F157" s="14" t="str">
        <x:v>I3</x:v>
      </x:c>
      <x:c r="G157" s="14" t="n">
        <x:v>56</x:v>
      </x:c>
      <x:c r="H157" s="14" t="n">
        <x:v>1</x:v>
      </x:c>
      <x:c r="I157" s="14" t="n">
        <x:v>1</x:v>
      </x:c>
      <x:c r="J157" s="18" t="n">
        <x:v>460953.83</x:v>
      </x:c>
      <x:c r="K157" s="19" t="n">
        <x:v>46240.48546009259</x:v>
      </x:c>
      <x:c r="L157" s="19" t="n">
        <x:v>46328</x:v>
      </x:c>
      <x:c r="M157" s="15" t="str">
        <x:v>Реконструкція ПЛ-10 кВ Л-31 «Пугачівка» та монтаж розвантажувальної ТП-10/0,4 кВ з будівництвом ПЛІ-0,4 кВ для стандартного приєднання до електричних мереж житлового будинку за адресою: пров.Шевченка, 7 с.Пугачівка Дмитрушківська ТГ Уманський район Черкаська область
</x:v>
      </x:c>
      <x:c r="N157" s="15" t="str">
        <x:v>https://prozorro.gov.ua/tender/UA-2026-08-06-007672-a</x:v>
      </x:c>
    </x:row>
    <x:row r="158">
      <x:c r="A158" s="14" t="n">
        <x:v>154</x:v>
      </x:c>
      <x:c r="B158" s="14" t="str">
        <x:v>ТОВАРИСТВО З ОБМЕЖЕНОЮ ВІДПОВІДАЛЬНІСТЮ «ВДАЛИЙ ПРОЕКТ»</x:v>
      </x:c>
      <x:c r="C158" s="14" t="str">
        <x:v>45389868</x:v>
      </x:c>
      <x:c r="D158" s="14" t="str">
        <x:v>Насосні станції</x:v>
      </x:c>
      <x:c r="E158" s="14" t="str">
        <x:v>Expansion discovery</x:v>
      </x:c>
      <x:c r="F158" s="14" t="str">
        <x:v>I3</x:v>
      </x:c>
      <x:c r="G158" s="14" t="n">
        <x:v>56</x:v>
      </x:c>
      <x:c r="H158" s="14" t="n">
        <x:v>1</x:v>
      </x:c>
      <x:c r="I158" s="14" t="n">
        <x:v>1</x:v>
      </x:c>
      <x:c r="J158" s="18" t="n">
        <x:v>455649</x:v>
      </x:c>
      <x:c r="K158" s="19" t="n">
        <x:v>46223.55782042824</x:v>
      </x:c>
      <x:c r="L158" s="19" t="n">
        <x:v>46331</x:v>
      </x:c>
      <x:c r="M158" s="15" t="str">
        <x:v>Виготовлення проєктної документації по об’єкту: «Реконструкція електропостачання водопровідної насосної станції ІІІ-го підйому «Магала» із прокладкою високовольтної кабельної лінії КЛ 6 кВ за адресою: м. Чернівці, вул. Кобзарська, 2».</x:v>
      </x:c>
      <x:c r="N158" s="15" t="str">
        <x:v>https://prozorro.gov.ua/tender/UA-2026-07-20-009480-a</x:v>
      </x:c>
    </x:row>
    <x:row r="159">
      <x:c r="A159" s="14" t="n">
        <x:v>155</x:v>
      </x:c>
      <x:c r="B159" s="14" t="str">
        <x:v>ФІЛІЯ ДЕРЖАВНОГО ПІДПРИЄМСТВА МІНІСТЕРСТВА ОБОРОНИ УКРАЇНИ "ЗАХІДВІЙСЬКБУД " 66 УПРАВЛІННЯ НАЧАЛЬНИКА РОБІТ"</x:v>
      </x:c>
      <x:c r="C159" s="14" t="str">
        <x:v>24971671</x:v>
      </x:c>
      <x:c r="D159" s="14" t="str">
        <x:v>Зовнішні мережі</x:v>
      </x:c>
      <x:c r="E159" s="14" t="str">
        <x:v>Expansion discovery</x:v>
      </x:c>
      <x:c r="F159" s="14" t="str">
        <x:v>I3</x:v>
      </x:c>
      <x:c r="G159" s="14" t="n">
        <x:v>56</x:v>
      </x:c>
      <x:c r="H159" s="14" t="n">
        <x:v>1</x:v>
      </x:c>
      <x:c r="I159" s="14" t="n">
        <x:v>1</x:v>
      </x:c>
      <x:c r="J159" s="18" t="n">
        <x:v>147835.45</x:v>
      </x:c>
      <x:c r="K159" s="19" t="n">
        <x:v>46213.80929887731</x:v>
      </x:c>
      <x:c r="L159" s="19" t="n">
        <x:v>46387</x:v>
      </x:c>
      <x:c r="M159" s="15" t="str">
        <x:v>Виконання робіт на здійснення технічного нагляду за виконанням робіт
на об’єкті “Нове будівництво зовнішніх інженерних мереж електропостачання
військового містечка №50, село Мала Любаша, Рівненська область” (І черга).</x:v>
      </x:c>
      <x:c r="N159" s="15" t="str">
        <x:v>https://prozorro.gov.ua/tender/UA-2026-07-10-011405-a</x:v>
      </x:c>
    </x:row>
    <x:row r="160">
      <x:c r="A160" s="14" t="n">
        <x:v>156</x:v>
      </x:c>
      <x:c r="B160" s="14" t="str">
        <x:v>Гаваль Ганна Олександрівна</x:v>
      </x:c>
      <x:c r="C160" s="14" t="str">
        <x:v>3358701424</x:v>
      </x:c>
      <x:c r="D160" s="14" t="str">
        <x:v>Пожежогасіння</x:v>
      </x:c>
      <x:c r="E160" s="14" t="str">
        <x:v>Expansion discovery</x:v>
      </x:c>
      <x:c r="F160" s="14" t="str">
        <x:v>I3</x:v>
      </x:c>
      <x:c r="G160" s="14" t="n">
        <x:v>55</x:v>
      </x:c>
      <x:c r="H160" s="14" t="n">
        <x:v>2</x:v>
      </x:c>
      <x:c r="I160" s="14" t="n">
        <x:v>1</x:v>
      </x:c>
      <x:c r="J160" s="18" t="n">
        <x:v>177696.78</x:v>
      </x:c>
      <x:c r="K160" s="19" t="n">
        <x:v>46203.528278287034</x:v>
      </x:c>
      <x:c r="L160" s="19" t="n">
        <x:v>46387</x:v>
      </x:c>
      <x:c r="M160" s="15" t="str">
        <x:v>Послуги з монтажу системи пожежної сигналізації та системи оповіщення про пожежу</x:v>
      </x:c>
      <x:c r="N160" s="15" t="str">
        <x:v>https://prozorro.gov.ua/tender/UA-2026-06-30-011091-a</x:v>
      </x:c>
    </x:row>
    <x:row r="161">
      <x:c r="A161" s="14" t="n">
        <x:v>157</x:v>
      </x:c>
      <x:c r="B161" s="14" t="str">
        <x:v>Товариство з обмеженою відповідальністю "Дніпропетровське спеціалізоване протипожежне підприємство"</x:v>
      </x:c>
      <x:c r="C161" s="14" t="str">
        <x:v>35269494</x:v>
      </x:c>
      <x:c r="D161" s="14" t="str">
        <x:v>Газопостачання / котельні</x:v>
      </x:c>
      <x:c r="E161" s="14" t="str">
        <x:v>Expansion discovery</x:v>
      </x:c>
      <x:c r="F161" s="14" t="str">
        <x:v>I3</x:v>
      </x:c>
      <x:c r="G161" s="14" t="n">
        <x:v>55</x:v>
      </x:c>
      <x:c r="H161" s="14" t="n">
        <x:v>2</x:v>
      </x:c>
      <x:c r="I161" s="14" t="n">
        <x:v>1</x:v>
      </x:c>
      <x:c r="J161" s="18" t="n">
        <x:v>314599.82</x:v>
      </x:c>
      <x:c r="K161" s="19" t="n">
        <x:v>46155.45745488426</x:v>
      </x:c>
      <x:c r="L161" s="19" t="n">
        <x:v>46356</x:v>
      </x:c>
      <x:c r="M161" s="15" t="str">
        <x:v>Монтаж системи пожежної сигналізації, системи оповіщення про пожежу та управління евакуацією людей в приміщеннях адміністративної будівлі Районної котельні *** м. Кривий Ріг, ***,  АТ "Криворізька теплоцентраль"</x:v>
      </x:c>
      <x:c r="N161" s="15" t="str">
        <x:v>https://prozorro.gov.ua/tender/UA-2026-03-25-005417-a</x:v>
      </x:c>
    </x:row>
    <x:row r="162">
      <x:c r="A162" s="14" t="n">
        <x:v>158</x:v>
      </x:c>
      <x:c r="B162" s="14" t="str">
        <x:v>ФОП Копко Андрій Васильович</x:v>
      </x:c>
      <x:c r="C162" s="14" t="str">
        <x:v>3100916759</x:v>
      </x:c>
      <x:c r="D162" s="14" t="str">
        <x:v>Мости / інфраструктура</x:v>
      </x:c>
      <x:c r="E162" s="14" t="str">
        <x:v>Expansion discovery</x:v>
      </x:c>
      <x:c r="F162" s="14" t="str">
        <x:v>I3</x:v>
      </x:c>
      <x:c r="G162" s="14" t="n">
        <x:v>55</x:v>
      </x:c>
      <x:c r="H162" s="14" t="n">
        <x:v>1</x:v>
      </x:c>
      <x:c r="I162" s="14" t="n">
        <x:v>1</x:v>
      </x:c>
      <x:c r="J162" s="18" t="n">
        <x:v>2596716</x:v>
      </x:c>
      <x:c r="K162" s="19" t="n">
        <x:v>46209.25579451389</x:v>
      </x:c>
      <x:c r="L162" s="19" t="n">
        <x:v>46387</x:v>
      </x:c>
      <x:c r="M162" s="15" t="str">
        <x:v>Послуги з ремонту автобусів (послуги з ремонту портальних мостів ZF AV 132 II/80)</x:v>
      </x:c>
      <x:c r="N162" s="15" t="str">
        <x:v>https://prozorro.gov.ua/tender/UA-2026-06-23-002988-a</x:v>
      </x:c>
    </x:row>
    <x:row r="163">
      <x:c r="A163" s="14" t="n">
        <x:v>159</x:v>
      </x:c>
      <x:c r="B163" s="14" t="str">
        <x:v>ТОВ "УКРВЕНТКЛІМАТ"</x:v>
      </x:c>
      <x:c r="C163" s="14" t="str">
        <x:v>41988622</x:v>
      </x:c>
      <x:c r="D163" s="14" t="str">
        <x:v>Промисловий холод</x:v>
      </x:c>
      <x:c r="E163" s="14" t="str">
        <x:v>Expansion discovery</x:v>
      </x:c>
      <x:c r="F163" s="14" t="str">
        <x:v>I3</x:v>
      </x:c>
      <x:c r="G163" s="14" t="n">
        <x:v>55</x:v>
      </x:c>
      <x:c r="H163" s="14" t="n">
        <x:v>1</x:v>
      </x:c>
      <x:c r="I163" s="14" t="n">
        <x:v>0</x:v>
      </x:c>
      <x:c r="J163" s="18" t="n">
        <x:v>569780</x:v>
      </x:c>
      <x:c r="K163" s="19" t="n">
        <x:v>46216.50708688657</x:v>
      </x:c>
      <x:c r="L163" s="19" t="n">
        <x:v>46234</x:v>
      </x:c>
      <x:c r="M163" s="15" t="str">
        <x:v>Кондиціонери інверторні: 9000 BTU, 12000, BTU18000, BTU24000 BTU з монтажем за кодом ДК 021:2015 42510000-4 Теплообмінники, кондиціонери повітря, холодильне обладнання та фільтрувальні пристрої</x:v>
      </x:c>
      <x:c r="N163" s="15" t="str">
        <x:v>https://prozorro.gov.ua/tender/UA-2026-07-03-005410-a</x:v>
      </x:c>
    </x:row>
    <x:row r="164">
      <x:c r="A164" s="14" t="n">
        <x:v>160</x:v>
      </x:c>
      <x:c r="B164" s="14" t="str">
        <x:v>ДЕРЖАВНЕ ПІДПРИЄМСТВО "СПЕЦІАЛІЗОВАНА ДЕРЖАВНА ЕКСПЕРТНА ОРГАНІЗАЦІЯ-ЦЕНТРАЛЬНА СЛУЖБА УКРАЇНСЬКОЇ ДЕРЖАВНОЇ БУДІВЕЛЬНОЇ ЕКСПЕРТИЗИ"</x:v>
      </x:c>
      <x:c r="C164" s="14" t="str">
        <x:v>35691621</x:v>
      </x:c>
      <x:c r="D164" s="14" t="str">
        <x:v>Водоочищення / очисні споруди</x:v>
      </x:c>
      <x:c r="E164" s="14" t="str">
        <x:v>Expansion discovery</x:v>
      </x:c>
      <x:c r="F164" s="14" t="str">
        <x:v>I3</x:v>
      </x:c>
      <x:c r="G164" s="14" t="n">
        <x:v>54</x:v>
      </x:c>
      <x:c r="H164" s="14" t="n">
        <x:v>1</x:v>
      </x:c>
      <x:c r="I164" s="14" t="n">
        <x:v>1</x:v>
      </x:c>
      <x:c r="J164" s="18" t="n">
        <x:v>1194054</x:v>
      </x:c>
      <x:c r="K164" s="19" t="n">
        <x:v>46192.5253971412</x:v>
      </x:c>
      <x:c r="L164" s="19" t="n">
        <x:v>46387</x:v>
      </x:c>
      <x:c r="M164" s="15" t="str">
        <x:v>Експертиза проекту будівництва: "Реконструкція каналізаційних очисних споруд та лінії по обробці мулу у м. Харків. Міські очисні споруди водовідведення  №1. Комплекс "Харківводовідведення", вул. Біологічна, 1, м. Харків за адресою: 61030, вул. Біологічна, 1 м. Харків" (Коригування)</x:v>
      </x:c>
      <x:c r="N164" s="15" t="str">
        <x:v>https://prozorro.gov.ua/tender/UA-2026-06-19-011009-a</x:v>
      </x:c>
    </x:row>
    <x:row r="165">
      <x:c r="A165" s="14" t="n">
        <x:v>161</x:v>
      </x:c>
      <x:c r="B165" s="14" t="str">
        <x:v>ДЯК ОЛЕКСАНДР ІВАНОВИЧ</x:v>
      </x:c>
      <x:c r="C165" s="14" t="str">
        <x:v>2718200133</x:v>
      </x:c>
      <x:c r="D165" s="14" t="str">
        <x:v>Промисловий холод</x:v>
      </x:c>
      <x:c r="E165" s="14" t="str">
        <x:v>Expansion discovery</x:v>
      </x:c>
      <x:c r="F165" s="14" t="str">
        <x:v>I3</x:v>
      </x:c>
      <x:c r="G165" s="14" t="n">
        <x:v>54</x:v>
      </x:c>
      <x:c r="H165" s="14" t="n">
        <x:v>2</x:v>
      </x:c>
      <x:c r="I165" s="14" t="n">
        <x:v>1</x:v>
      </x:c>
      <x:c r="J165" s="18" t="n">
        <x:v>62300</x:v>
      </x:c>
      <x:c r="K165" s="19" t="n">
        <x:v>46245.53849072917</x:v>
      </x:c>
      <x:c r="L165" s="19" t="n">
        <x:v>46262</x:v>
      </x:c>
      <x:c r="M165" s="15" t="str">
        <x:v>Кондицiонер з монтажем та демонтажем 42510000-4   Теплообмiнники, кондицiонери повiтря, холодильне обладнання та фiльтрувальнi пристрої</x:v>
      </x:c>
      <x:c r="N165" s="15" t="str">
        <x:v>https://prozorro.gov.ua/tender/UA-2026-08-11-010512-a</x:v>
      </x:c>
    </x:row>
    <x:row r="166">
      <x:c r="A166" s="14" t="n">
        <x:v>162</x:v>
      </x:c>
      <x:c r="B166" s="14" t="str">
        <x:v>РІШКО ДМИТРО СТЕПАНОВИЧ</x:v>
      </x:c>
      <x:c r="C166" s="14" t="str">
        <x:v>2925801591</x:v>
      </x:c>
      <x:c r="D166" s="14" t="str">
        <x:v>Електромонтаж</x:v>
      </x:c>
      <x:c r="E166" s="14" t="str">
        <x:v>Pilot now</x:v>
      </x:c>
      <x:c r="F166" s="14" t="str">
        <x:v>I3</x:v>
      </x:c>
      <x:c r="G166" s="14" t="n">
        <x:v>54</x:v>
      </x:c>
      <x:c r="H166" s="14" t="n">
        <x:v>2</x:v>
      </x:c>
      <x:c r="I166" s="14" t="n">
        <x:v>1</x:v>
      </x:c>
      <x:c r="J166" s="18" t="n">
        <x:v>8562</x:v>
      </x:c>
      <x:c r="K166" s="19" t="n">
        <x:v>46233.474989282404</x:v>
      </x:c>
      <x:c r="L166" s="19" t="n">
        <x:v>46387</x:v>
      </x:c>
      <x:c r="M166" s="15" t="str">
        <x:v>Послуги з технічного обслуговування електричного устаткування будівель (перевірка системи заземлення, електровимірювальні роботи та виготовлення технічної документації)</x:v>
      </x:c>
      <x:c r="N166" s="15" t="str">
        <x:v>https://prozorro.gov.ua/tender/UA-2026-07-30-006269-a</x:v>
      </x:c>
    </x:row>
    <x:row r="167">
      <x:c r="A167" s="14" t="n">
        <x:v>163</x:v>
      </x:c>
      <x:c r="B167" s="14" t="str">
        <x:v>СУПРУНЮК ОЛЕКСАНДР ВІТАЛІЙОВИЧ</x:v>
      </x:c>
      <x:c r="C167" s="14" t="str">
        <x:v>3490410698</x:v>
      </x:c>
      <x:c r="D167" s="14" t="str">
        <x:v>Електромонтаж</x:v>
      </x:c>
      <x:c r="E167" s="14" t="str">
        <x:v>Pilot now</x:v>
      </x:c>
      <x:c r="F167" s="14" t="str">
        <x:v>I3</x:v>
      </x:c>
      <x:c r="G167" s="14" t="n">
        <x:v>54</x:v>
      </x:c>
      <x:c r="H167" s="14" t="n">
        <x:v>2</x:v>
      </x:c>
      <x:c r="I167" s="14" t="n">
        <x:v>1</x:v>
      </x:c>
      <x:c r="J167" s="18" t="n">
        <x:v>29000</x:v>
      </x:c>
      <x:c r="K167" s="19" t="n">
        <x:v>46213.38689792824</x:v>
      </x:c>
      <x:c r="L167" s="19" t="n">
        <x:v>46387</x:v>
      </x:c>
      <x:c r="M167" s="15" t="str">
        <x:v>Послуги з електровимірювання (електровимірювальні роботи) (ДК 021:2015:71630000-3 Послуги з технічного огляду та випробувань (електровимірювальні роботи))</x:v>
      </x:c>
      <x:c r="N167" s="15" t="str">
        <x:v>https://prozorro.gov.ua/tender/UA-2026-07-10-004879-a</x:v>
      </x:c>
    </x:row>
    <x:row r="168">
      <x:c r="A168" s="14" t="n">
        <x:v>164</x:v>
      </x:c>
      <x:c r="B168" s="14" t="str">
        <x:v>ТОВ "ГенезісПроІнжиніринг"</x:v>
      </x:c>
      <x:c r="C168" s="14" t="str">
        <x:v>45901964</x:v>
      </x:c>
      <x:c r="D168" s="14" t="str">
        <x:v>Насосні станції</x:v>
      </x:c>
      <x:c r="E168" s="14" t="str">
        <x:v>Expansion discovery</x:v>
      </x:c>
      <x:c r="F168" s="14" t="str">
        <x:v>I3</x:v>
      </x:c>
      <x:c r="G168" s="14" t="n">
        <x:v>54</x:v>
      </x:c>
      <x:c r="H168" s="14" t="n">
        <x:v>1</x:v>
      </x:c>
      <x:c r="I168" s="14" t="n">
        <x:v>1</x:v>
      </x:c>
      <x:c r="J168" s="18" t="n">
        <x:v>795000</x:v>
      </x:c>
      <x:c r="K168" s="19" t="n">
        <x:v>46185.263582175925</x:v>
      </x:c>
      <x:c r="L168" s="19" t="n">
        <x:v>46419</x:v>
      </x:c>
      <x:c r="M168" s="15" t="str">
        <x:v>ДК 021:2015- 71320000– 7  Послуги  з  розробки проєктно — кошторисної документації  а  саме :   «Реконструкція насосної станції водопостачання мкрн. Велика Корениха за адресою: м. Миколаїв, вул. Ольвійська, 12Н»</x:v>
      </x:c>
      <x:c r="N168" s="15" t="str">
        <x:v>https://prozorro.gov.ua/tender/UA-2026-05-21-001856-a</x:v>
      </x:c>
    </x:row>
    <x:row r="169">
      <x:c r="A169" s="14" t="n">
        <x:v>165</x:v>
      </x:c>
      <x:c r="B169" s="14" t="str">
        <x:v>ТОВ "Західбуд Стрий"</x:v>
      </x:c>
      <x:c r="C169" s="14" t="str">
        <x:v>44267382</x:v>
      </x:c>
      <x:c r="D169" s="14" t="str">
        <x:v>HVAC / ОВіК</x:v>
      </x:c>
      <x:c r="E169" s="14" t="str">
        <x:v>Pilot now</x:v>
      </x:c>
      <x:c r="F169" s="14" t="str">
        <x:v>I3</x:v>
      </x:c>
      <x:c r="G169" s="14" t="n">
        <x:v>54</x:v>
      </x:c>
      <x:c r="H169" s="14" t="n">
        <x:v>1</x:v>
      </x:c>
      <x:c r="I169" s="14" t="n">
        <x:v>1</x:v>
      </x:c>
      <x:c r="J169" s="18" t="n">
        <x:v>1316842.52</x:v>
      </x:c>
      <x:c r="K169" s="19" t="n">
        <x:v>46153.70323744213</x:v>
      </x:c>
      <x:c r="L169" s="19" t="n">
        <x:v>46387</x:v>
      </x:c>
      <x:c r="M169" s="15" t="str">
        <x:v>Роботи на об'єкті: "Капітальний ремонт приміщень роздягальні стадіону (монтаж систем водопостачання, водовідведення, електропостачання, вентиляції, опалення та кондиціонування, влаштування бетонної стяжки підлоги, облицювання підлоги керамічною плиткою"</x:v>
      </x:c>
      <x:c r="N169" s="15" t="str">
        <x:v>https://prozorro.gov.ua/tender/UA-2026-05-11-014054-a</x:v>
      </x:c>
    </x:row>
    <x:row r="170">
      <x:c r="A170" s="14" t="n">
        <x:v>166</x:v>
      </x:c>
      <x:c r="B170" s="14" t="str">
        <x:v>ТОВ "ІНТЕРПРОЕКТ GMBH"</x:v>
      </x:c>
      <x:c r="C170" s="14" t="str">
        <x:v>35402590</x:v>
      </x:c>
      <x:c r="D170" s="14" t="str">
        <x:v>Насосні станції</x:v>
      </x:c>
      <x:c r="E170" s="14" t="str">
        <x:v>Expansion discovery</x:v>
      </x:c>
      <x:c r="F170" s="14" t="str">
        <x:v>I3</x:v>
      </x:c>
      <x:c r="G170" s="14" t="n">
        <x:v>54</x:v>
      </x:c>
      <x:c r="H170" s="14" t="n">
        <x:v>1</x:v>
      </x:c>
      <x:c r="I170" s="14" t="n">
        <x:v>1</x:v>
      </x:c>
      <x:c r="J170" s="18" t="n">
        <x:v>1312466.96</x:v>
      </x:c>
      <x:c r="K170" s="19" t="n">
        <x:v>46171.48359363426</x:v>
      </x:c>
      <x:c r="L170" s="19" t="n">
        <x:v>46295</x:v>
      </x:c>
      <x:c r="M170" s="15" t="str">
        <x:v>Реконструкція насосної станції 1-го підйому КП "Житомирводоканал" з встановленням системи моніторингу даних</x:v>
      </x:c>
      <x:c r="N170" s="15" t="str">
        <x:v>https://prozorro.gov.ua/tender/UA-2026-05-07-009595-a</x:v>
      </x:c>
    </x:row>
    <x:row r="171">
      <x:c r="A171" s="14" t="n">
        <x:v>167</x:v>
      </x:c>
      <x:c r="B171" s="14" t="str">
        <x:v>ТОВ "НВЦ ВЕНТ"</x:v>
      </x:c>
      <x:c r="C171" s="14" t="str">
        <x:v>41005822</x:v>
      </x:c>
      <x:c r="D171" s="14" t="str">
        <x:v>Газопостачання / котельні</x:v>
      </x:c>
      <x:c r="E171" s="14" t="str">
        <x:v>Expansion discovery</x:v>
      </x:c>
      <x:c r="F171" s="14" t="str">
        <x:v>I3</x:v>
      </x:c>
      <x:c r="G171" s="14" t="n">
        <x:v>54</x:v>
      </x:c>
      <x:c r="H171" s="14" t="n">
        <x:v>1</x:v>
      </x:c>
      <x:c r="I171" s="14" t="n">
        <x:v>1</x:v>
      </x:c>
      <x:c r="J171" s="18" t="n">
        <x:v>1279007.15</x:v>
      </x:c>
      <x:c r="K171" s="19" t="n">
        <x:v>46141.30527268518</x:v>
      </x:c>
      <x:c r="L171" s="19" t="n">
        <x:v>46387.34819444444</x:v>
      </x:c>
      <x:c r="M171" s="15" t="str">
        <x:v>Роботи з монтажу системи відведення димових газів у відповідності до проекту "Реконструкції котельні з встановленням когенераційної установки по вул. Ліцейна 4</x:v>
      </x:c>
      <x:c r="N171" s="15" t="str">
        <x:v>https://prozorro.gov.ua/tender/UA-2026-04-29-002111-a</x:v>
      </x:c>
    </x:row>
    <x:row r="172">
      <x:c r="A172" s="14" t="n">
        <x:v>168</x:v>
      </x:c>
      <x:c r="B172" s="14" t="str">
        <x:v>ТОВ "УВТ ГРУП"</x:v>
      </x:c>
      <x:c r="C172" s="14" t="str">
        <x:v>37448642</x:v>
      </x:c>
      <x:c r="D172" s="14" t="str">
        <x:v>Насосні станції</x:v>
      </x:c>
      <x:c r="E172" s="14" t="str">
        <x:v>Expansion discovery</x:v>
      </x:c>
      <x:c r="F172" s="14" t="str">
        <x:v>I3</x:v>
      </x:c>
      <x:c r="G172" s="14" t="n">
        <x:v>54</x:v>
      </x:c>
      <x:c r="H172" s="14" t="n">
        <x:v>1</x:v>
      </x:c>
      <x:c r="I172" s="14" t="n">
        <x:v>1</x:v>
      </x:c>
      <x:c r="J172" s="18" t="n">
        <x:v>970894.8</x:v>
      </x:c>
      <x:c r="K172" s="19" t="n">
        <x:v>46192.26208408565</x:v>
      </x:c>
      <x:c r="L172" s="19" t="n">
        <x:v>46326.305185185185</x:v>
      </x:c>
      <x:c r="M172" s="15" t="str">
        <x:v>Виконання додаткових робіт з розроблення проектної документації Стадія "Проект" - (П) по об"єкту:"Реконструкція водопровідної насосної станції №1 "Ялівщина", розташованої по вул. Куренівка (Фікселя, 54) у м. Чернігові"</x:v>
      </x:c>
      <x:c r="N172" s="15" t="str">
        <x:v>https://prozorro.gov.ua/tender/UA-2026-06-19-000880-a</x:v>
      </x:c>
    </x:row>
    <x:row r="173">
      <x:c r="A173" s="14" t="n">
        <x:v>169</x:v>
      </x:c>
      <x:c r="B173" s="14" t="str">
        <x:v>ТОВ ВЕКТОР-АТ</x:v>
      </x:c>
      <x:c r="C173" s="14" t="str">
        <x:v>42387147</x:v>
      </x:c>
      <x:c r="D173" s="14" t="str">
        <x:v>HVAC / ОВіК</x:v>
      </x:c>
      <x:c r="E173" s="14" t="str">
        <x:v>Pilot now</x:v>
      </x:c>
      <x:c r="F173" s="14" t="str">
        <x:v>I3</x:v>
      </x:c>
      <x:c r="G173" s="14" t="n">
        <x:v>54</x:v>
      </x:c>
      <x:c r="H173" s="14" t="n">
        <x:v>1</x:v>
      </x:c>
      <x:c r="I173" s="14" t="n">
        <x:v>1</x:v>
      </x:c>
      <x:c r="J173" s="18" t="n">
        <x:v>843113.08</x:v>
      </x:c>
      <x:c r="K173" s="19" t="n">
        <x:v>46141.357543356484</x:v>
      </x:c>
      <x:c r="L173" s="19" t="n">
        <x:v>46366</x:v>
      </x:c>
      <x:c r="M173" s="15" t="str">
        <x:v>Послуги з монтажу системи вентиляції та кондиціонування підвального приміщення будівлі гуртожитку № 1 літ. «Д» за адресою: м. Київ</x:v>
      </x:c>
      <x:c r="N173" s="15" t="str">
        <x:v>https://prozorro.gov.ua/tender/UA-2026-04-07-012254-a</x:v>
      </x:c>
    </x:row>
    <x:row r="174">
      <x:c r="A174" s="14" t="n">
        <x:v>170</x:v>
      </x:c>
      <x:c r="B174" s="14" t="str">
        <x:v>ТОВ ВНВ 2000</x:v>
      </x:c>
      <x:c r="C174" s="14" t="str">
        <x:v>35583357</x:v>
      </x:c>
      <x:c r="D174" s="14" t="str">
        <x:v>Водоочищення / очисні споруди</x:v>
      </x:c>
      <x:c r="E174" s="14" t="str">
        <x:v>Expansion discovery</x:v>
      </x:c>
      <x:c r="F174" s="14" t="str">
        <x:v>I3</x:v>
      </x:c>
      <x:c r="G174" s="14" t="n">
        <x:v>54</x:v>
      </x:c>
      <x:c r="H174" s="14" t="n">
        <x:v>1</x:v>
      </x:c>
      <x:c r="I174" s="14" t="n">
        <x:v>1</x:v>
      </x:c>
      <x:c r="J174" s="18" t="n">
        <x:v>1250644.82</x:v>
      </x:c>
      <x:c r="K174" s="19" t="n">
        <x:v>46183.46212689815</x:v>
      </x:c>
      <x:c r="L174" s="19" t="n">
        <x:v>46265.522835648146</x:v>
      </x:c>
      <x:c r="M174" s="15" t="str">
        <x:v>Виконання додаткових робіт по об’єкту «Реконструкція покрівлі будівлі хіміко-бактеріологічної лабораторії стічних вод каналізаційних очисних споруд м. Чернігова» (код ДК 021:2015 – 45000000-7 Будівельні роботи та поточний ремонт)</x:v>
      </x:c>
      <x:c r="N174" s="15" t="str">
        <x:v>https://prozorro.gov.ua/tender/UA-2026-05-04-010214-a</x:v>
      </x:c>
    </x:row>
    <x:row r="175">
      <x:c r="A175" s="14" t="n">
        <x:v>171</x:v>
      </x:c>
      <x:c r="B175" s="14" t="str">
        <x:v>ТОВАРИСТВО З ОБМЕЖЕНОЮ ВІДПОВІДАЛЬНІСТЮ "БЮРО ІНЖЕНЕРНИХ ПРОЕКТІВ"</x:v>
      </x:c>
      <x:c r="C175" s="14" t="str">
        <x:v>43296915</x:v>
      </x:c>
      <x:c r="D175" s="14" t="str">
        <x:v>Водоочищення / очисні споруди</x:v>
      </x:c>
      <x:c r="E175" s="14" t="str">
        <x:v>Expansion discovery</x:v>
      </x:c>
      <x:c r="F175" s="14" t="str">
        <x:v>I3</x:v>
      </x:c>
      <x:c r="G175" s="14" t="n">
        <x:v>54</x:v>
      </x:c>
      <x:c r="H175" s="14" t="n">
        <x:v>1</x:v>
      </x:c>
      <x:c r="I175" s="14" t="n">
        <x:v>1</x:v>
      </x:c>
      <x:c r="J175" s="18" t="n">
        <x:v>1468646.32</x:v>
      </x:c>
      <x:c r="K175" s="19" t="n">
        <x:v>46142.479249108794</x:v>
      </x:c>
      <x:c r="L175" s="19" t="n">
        <x:v>46387</x:v>
      </x:c>
      <x:c r="M175" s="15" t="str">
        <x:v>Розробка проектної документації по об’єкту: «Реконструкція каналізаційних очисних споруд та лінії по обробці мулу у м. Харків. Міські очисні споруди водовідведення №1. Комплекс «Харківводовідведення», вул. Біологічна, 1, м. Харків за адресою: 61030, вул. Біологічна, 1, м. Харків. (Коригування)»</x:v>
      </x:c>
      <x:c r="N175" s="15" t="str">
        <x:v>https://prozorro.gov.ua/tender/UA-2026-04-30-007193-a</x:v>
      </x:c>
    </x:row>
    <x:row r="176">
      <x:c r="A176" s="14" t="n">
        <x:v>172</x:v>
      </x:c>
      <x:c r="B176" s="14" t="str">
        <x:v>ТОВАРИСТВО З ОБМЕЖЕНОЮ ВІДПОВІДАЛЬНІСТЮ "ІНСТИТУТ "УКРКОМУННДІПРОЕКТ"</x:v>
      </x:c>
      <x:c r="C176" s="14" t="str">
        <x:v>37659092</x:v>
      </x:c>
      <x:c r="D176" s="14" t="str">
        <x:v>Водоочищення / очисні споруди</x:v>
      </x:c>
      <x:c r="E176" s="14" t="str">
        <x:v>Expansion discovery</x:v>
      </x:c>
      <x:c r="F176" s="14" t="str">
        <x:v>I3</x:v>
      </x:c>
      <x:c r="G176" s="14" t="n">
        <x:v>54</x:v>
      </x:c>
      <x:c r="H176" s="14" t="n">
        <x:v>1</x:v>
      </x:c>
      <x:c r="I176" s="14" t="n">
        <x:v>1</x:v>
      </x:c>
      <x:c r="J176" s="18" t="n">
        <x:v>1244817</x:v>
      </x:c>
      <x:c r="K176" s="19" t="n">
        <x:v>46176.2665590625</x:v>
      </x:c>
      <x:c r="L176" s="19" t="n">
        <x:v>46387</x:v>
      </x:c>
      <x:c r="M176" s="15" t="str">
        <x:v>Розробка проектної документації по об’єкту: «Реконструкція каналізаційних очисних споруд та лінії по обробці мулу у м. Харків. Міські очисні споруди водовідведення № 2. Комплекс «Харківводовідведення», пр. Гагаріна, 354, м. Харків за адресою: 61031, пр. Гагаріна,354, м. Харків". (Коригування)</x:v>
      </x:c>
      <x:c r="N176" s="15" t="str">
        <x:v>https://prozorro.gov.ua/tender/UA-2026-06-03-000876-a</x:v>
      </x:c>
    </x:row>
    <x:row r="177">
      <x:c r="A177" s="14" t="n">
        <x:v>173</x:v>
      </x:c>
      <x:c r="B177" s="14" t="str">
        <x:v>ТОВАРИСТВО З ОБМЕЖЕНОЮ ВІДПОВІДАЛЬНІСТЮ "ПРОМБУДІННОВАЦІЇ"</x:v>
      </x:c>
      <x:c r="C177" s="14" t="str">
        <x:v>44147228</x:v>
      </x:c>
      <x:c r="D177" s="14" t="str">
        <x:v>Мости / інфраструктура</x:v>
      </x:c>
      <x:c r="E177" s="14" t="str">
        <x:v>Expansion discovery</x:v>
      </x:c>
      <x:c r="F177" s="14" t="str">
        <x:v>I3</x:v>
      </x:c>
      <x:c r="G177" s="14" t="n">
        <x:v>54</x:v>
      </x:c>
      <x:c r="H177" s="14" t="n">
        <x:v>1</x:v>
      </x:c>
      <x:c r="I177" s="14" t="n">
        <x:v>1</x:v>
      </x:c>
      <x:c r="J177" s="18" t="n">
        <x:v>775225</x:v>
      </x:c>
      <x:c r="K177" s="19" t="n">
        <x:v>46205.31756083333</x:v>
      </x:c>
      <x:c r="L177" s="19" t="n">
        <x:v>46285</x:v>
      </x:c>
      <x:c r="M177" s="15" t="str">
        <x:v>Послуги з благоустрою населених пунктів: поточний ремонт мосту через р. Саксагань на сел. Більшовик</x:v>
      </x:c>
      <x:c r="N177" s="15" t="str">
        <x:v>https://prozorro.gov.ua/tender/UA-2026-06-22-009710-a</x:v>
      </x:c>
    </x:row>
    <x:row r="178">
      <x:c r="A178" s="14" t="n">
        <x:v>174</x:v>
      </x:c>
      <x:c r="B178" s="14" t="str">
        <x:v>ТОВАРИСТВО З ОБМЕЖЕНОЮ ВІДПОВІДАЛЬНІСТЮ "ТРЕСТ "ПІВДЕНЬЗАХІДЕНЕРГОМЕРЕЖБУД"</x:v>
      </x:c>
      <x:c r="C178" s="14" t="str">
        <x:v>45894114</x:v>
      </x:c>
      <x:c r="D178" s="14" t="str">
        <x:v>Водоочищення / очисні споруди</x:v>
      </x:c>
      <x:c r="E178" s="14" t="str">
        <x:v>Expansion discovery</x:v>
      </x:c>
      <x:c r="F178" s="14" t="str">
        <x:v>I3</x:v>
      </x:c>
      <x:c r="G178" s="14" t="n">
        <x:v>54</x:v>
      </x:c>
      <x:c r="H178" s="14" t="n">
        <x:v>1</x:v>
      </x:c>
      <x:c r="I178" s="14" t="n">
        <x:v>1</x:v>
      </x:c>
      <x:c r="J178" s="18" t="n">
        <x:v>1511643.08</x:v>
      </x:c>
      <x:c r="K178" s="19" t="n">
        <x:v>46139.62473923611</x:v>
      </x:c>
      <x:c r="L178" s="19" t="n">
        <x:v>46387</x:v>
      </x:c>
      <x:c r="M178" s="15" t="str">
        <x:v>Реконструкція системи електропостачання (встановлення джерела резервного живлення сонячної електростанції) на будівлі очисних споруд за адресою: вул. Яворницького, 106 м. Сокаль Львівської області</x:v>
      </x:c>
      <x:c r="N178" s="15" t="str">
        <x:v>https://prozorro.gov.ua/tender/UA-2026-02-20-013110-a</x:v>
      </x:c>
    </x:row>
    <x:row r="179">
      <x:c r="A179" s="14" t="n">
        <x:v>175</x:v>
      </x:c>
      <x:c r="B179" s="14" t="str">
        <x:v>Товариство з обмеженою відповідальністю «ЛЮВІМАР»</x:v>
      </x:c>
      <x:c r="C179" s="14" t="str">
        <x:v>41504530</x:v>
      </x:c>
      <x:c r="D179" s="14" t="str">
        <x:v>Електромонтаж</x:v>
      </x:c>
      <x:c r="E179" s="14" t="str">
        <x:v>Pilot now</x:v>
      </x:c>
      <x:c r="F179" s="14" t="str">
        <x:v>I3</x:v>
      </x:c>
      <x:c r="G179" s="14" t="n">
        <x:v>54</x:v>
      </x:c>
      <x:c r="H179" s="14" t="n">
        <x:v>1</x:v>
      </x:c>
      <x:c r="I179" s="14" t="n">
        <x:v>1</x:v>
      </x:c>
      <x:c r="J179" s="18" t="n">
        <x:v>1296887.03</x:v>
      </x:c>
      <x:c r="K179" s="19" t="n">
        <x:v>46143.31097121528</x:v>
      </x:c>
      <x:c r="L179" s="19" t="n">
        <x:v>46387.35303240741</x:v>
      </x:c>
      <x:c r="M179" s="15" t="str">
        <x:v>Реконструкція електричних мереж 0,4 кВ з підключенням та монтажем дахової сонячної електростанції на даху адміністративної будівлі Березівської міської ради Одеської області за адресою:  67300, Одеська обл., Березівський район, м. Березівка, площа Захисників України, будинок 9</x:v>
      </x:c>
      <x:c r="N179" s="15" t="str">
        <x:v>https://prozorro.gov.ua/tender/UA-2026-05-01-002274-a</x:v>
      </x:c>
    </x:row>
    <x:row r="180">
      <x:c r="A180" s="14" t="n">
        <x:v>176</x:v>
      </x:c>
      <x:c r="B180" s="14" t="str">
        <x:v>Товариство з обмеженою відповідальністю «МВТ ЕДВАЙЗОРІ»</x:v>
      </x:c>
      <x:c r="C180" s="14" t="str">
        <x:v>46062843</x:v>
      </x:c>
      <x:c r="D180" s="14" t="str">
        <x:v>Зовнішні мережі</x:v>
      </x:c>
      <x:c r="E180" s="14" t="str">
        <x:v>Expansion discovery</x:v>
      </x:c>
      <x:c r="F180" s="14" t="str">
        <x:v>I3</x:v>
      </x:c>
      <x:c r="G180" s="14" t="n">
        <x:v>54</x:v>
      </x:c>
      <x:c r="H180" s="14" t="n">
        <x:v>1</x:v>
      </x:c>
      <x:c r="I180" s="14" t="n">
        <x:v>1</x:v>
      </x:c>
      <x:c r="J180" s="18" t="n">
        <x:v>543999.18</x:v>
      </x:c>
      <x:c r="K180" s="19" t="n">
        <x:v>46168.58974912037</x:v>
      </x:c>
      <x:c r="L180" s="19" t="n">
        <x:v>46387</x:v>
      </x:c>
      <x:c r="M180" s="15" t="str">
        <x:v>Роботи з технічного нагляду по об'єкту "Нове будівництво зовнішніх інженерних мереж індустріального парку "Кривбас" на вул. Фабричній у м. Кривому Розі, Дніпропетровської області" 1 черга</x:v>
      </x:c>
      <x:c r="N180" s="15" t="str">
        <x:v>https://prozorro.gov.ua/tender/UA-2026-05-26-014148-a</x:v>
      </x:c>
    </x:row>
    <x:row r="181">
      <x:c r="A181" s="14" t="n">
        <x:v>177</x:v>
      </x:c>
      <x:c r="B181" s="14" t="str">
        <x:v>ФІЛІЯ ДП "УКРДЕРЖБУДЕКСПЕРТИЗА " У ТЕРНОПІЛЬСЬКІЙ ОБЛАСТІ</x:v>
      </x:c>
      <x:c r="C181" s="14" t="str">
        <x:v>35850400</x:v>
      </x:c>
      <x:c r="D181" s="14" t="str">
        <x:v>Водоочищення / очисні споруди</x:v>
      </x:c>
      <x:c r="E181" s="14" t="str">
        <x:v>Expansion discovery</x:v>
      </x:c>
      <x:c r="F181" s="14" t="str">
        <x:v>I3</x:v>
      </x:c>
      <x:c r="G181" s="14" t="n">
        <x:v>54</x:v>
      </x:c>
      <x:c r="H181" s="14" t="n">
        <x:v>2</x:v>
      </x:c>
      <x:c r="I181" s="14" t="n">
        <x:v>1</x:v>
      </x:c>
      <x:c r="J181" s="18" t="n">
        <x:v>68122.6</x:v>
      </x:c>
      <x:c r="K181" s="19" t="n">
        <x:v>46204.601056527776</x:v>
      </x:c>
      <x:c r="L181" s="19" t="n">
        <x:v>46234</x:v>
      </x:c>
      <x:c r="M181" s="15" t="str">
        <x:v>Експертиза проекту будівництва: "Капітальний ремонт верхнього шару покриття, огородження пішохідного мосту на річці Стрипа в місті Зборові Тернопільського району Тернопільської області"</x:v>
      </x:c>
      <x:c r="N181" s="15" t="str">
        <x:v>https://prozorro.gov.ua/tender/UA-2026-07-01-009343-a</x:v>
      </x:c>
    </x:row>
    <x:row r="182">
      <x:c r="A182" s="14" t="n">
        <x:v>178</x:v>
      </x:c>
      <x:c r="B182" s="14" t="str">
        <x:v>Фізична особа-підприємець Дудка Ірина Володимирівна</x:v>
      </x:c>
      <x:c r="C182" s="14" t="str">
        <x:v>2724603941</x:v>
      </x:c>
      <x:c r="D182" s="14" t="str">
        <x:v>Мости / інфраструктура</x:v>
      </x:c>
      <x:c r="E182" s="14" t="str">
        <x:v>Expansion discovery</x:v>
      </x:c>
      <x:c r="F182" s="14" t="str">
        <x:v>I3</x:v>
      </x:c>
      <x:c r="G182" s="14" t="n">
        <x:v>53</x:v>
      </x:c>
      <x:c r="H182" s="14" t="n">
        <x:v>2</x:v>
      </x:c>
      <x:c r="I182" s="14" t="n">
        <x:v>2</x:v>
      </x:c>
      <x:c r="J182" s="18" t="n">
        <x:v>17880</x:v>
      </x:c>
      <x:c r="K182" s="19" t="n">
        <x:v>46191.561872673614</x:v>
      </x:c>
      <x:c r="L182" s="19" t="n">
        <x:v>46387.60627314815</x:v>
      </x:c>
      <x:c r="M182" s="15" t="str">
        <x:v>Придбання запчастин для ремонту автомобільного транспорту( (редуктор заднього моста)</x:v>
      </x:c>
      <x:c r="N182" s="15" t="str">
        <x:v>https://prozorro.gov.ua/tender/UA-2026-06-18-012242-a</x:v>
      </x:c>
    </x:row>
    <x:row r="183">
      <x:c r="A183" s="14" t="n">
        <x:v>179</x:v>
      </x:c>
      <x:c r="B183" s="14" t="str">
        <x:v>Фізична особа-підприємець Штанько Вікторія Вадимівна</x:v>
      </x:c>
      <x:c r="C183" s="14" t="str">
        <x:v>2894222129</x:v>
      </x:c>
      <x:c r="D183" s="14" t="str">
        <x:v>Газопостачання / котельні</x:v>
      </x:c>
      <x:c r="E183" s="14" t="str">
        <x:v>Expansion discovery</x:v>
      </x:c>
      <x:c r="F183" s="14" t="str">
        <x:v>I3</x:v>
      </x:c>
      <x:c r="G183" s="14" t="n">
        <x:v>53</x:v>
      </x:c>
      <x:c r="H183" s="14" t="n">
        <x:v>2</x:v>
      </x:c>
      <x:c r="I183" s="14" t="n">
        <x:v>2</x:v>
      </x:c>
      <x:c r="J183" s="18" t="n">
        <x:v>29000</x:v>
      </x:c>
      <x:c r="K183" s="19" t="n">
        <x:v>46178.59995344908</x:v>
      </x:c>
      <x:c r="L183" s="19" t="n">
        <x:v>46387</x:v>
      </x:c>
      <x:c r="M183" s="15" t="str">
        <x:v>Послуги з розроблення проекту землеустрою щодо відведення земельної ділянки для будівництва та/або розміщення, встановлення (монтаж) блочно-модульної котельні та подальшого надання її в постійне користування згідно ДК 021:2015 код 71250000-5 Архітектурні, інженерні та геодезичні послуги</x:v>
      </x:c>
      <x:c r="N183" s="15" t="str">
        <x:v>https://prozorro.gov.ua/tender/UA-2026-06-05-012035-a</x:v>
      </x:c>
    </x:row>
    <x:row r="184">
      <x:c r="A184" s="14" t="n">
        <x:v>180</x:v>
      </x:c>
      <x:c r="B184" s="14" t="str">
        <x:v>ФОП Кашко Віктор Анатолійович</x:v>
      </x:c>
      <x:c r="C184" s="14" t="str">
        <x:v>2881702190</x:v>
      </x:c>
      <x:c r="D184" s="14" t="str">
        <x:v>Безпека / СКУД / CCTV</x:v>
      </x:c>
      <x:c r="E184" s="14" t="str">
        <x:v>Expansion discovery</x:v>
      </x:c>
      <x:c r="F184" s="14" t="str">
        <x:v>I3</x:v>
      </x:c>
      <x:c r="G184" s="14" t="n">
        <x:v>53</x:v>
      </x:c>
      <x:c r="H184" s="14" t="n">
        <x:v>2</x:v>
      </x:c>
      <x:c r="I184" s="14" t="n">
        <x:v>2</x:v>
      </x:c>
      <x:c r="J184" s="18" t="n">
        <x:v>43909</x:v>
      </x:c>
      <x:c r="K184" s="19" t="n">
        <x:v>46210.38042739583</x:v>
      </x:c>
      <x:c r="L184" s="19" t="n">
        <x:v>46327</x:v>
      </x:c>
      <x:c r="M184" s="15" t="str">
        <x:v>Поточний ремонт захисних споруд цивільного захисту, найпростіших споруд, укриттів (демонтаж системи віддаленого контролю доступу до найпростішого укриття Neken та монтаж системи віддаленого контролю доступу до найпростішого укриття  Ajax за адресою: вул. Героїв Чорнобиля, 5/2 в м. Біла Церква Київської області) (Код ДК ЄЗС 021:2015 – 45450000-6 Інші завершальні будівельні роботи)</x:v>
      </x:c>
      <x:c r="N184" s="15" t="str">
        <x:v>https://prozorro.gov.ua/tender/UA-2026-07-07-004364-a</x:v>
      </x:c>
    </x:row>
    <x:row r="185">
      <x:c r="A185" s="14" t="n">
        <x:v>181</x:v>
      </x:c>
      <x:c r="B185" s="14" t="str">
        <x:v>КОТЕЛЬЧУК ЛЮДМИЛА ЙОСИПІВНА</x:v>
      </x:c>
      <x:c r="C185" s="14" t="str">
        <x:v>2926317047</x:v>
      </x:c>
      <x:c r="D185" s="14" t="str">
        <x:v>Насосні станції</x:v>
      </x:c>
      <x:c r="E185" s="14" t="str">
        <x:v>Expansion discovery</x:v>
      </x:c>
      <x:c r="F185" s="14" t="str">
        <x:v>I3</x:v>
      </x:c>
      <x:c r="G185" s="14" t="n">
        <x:v>53</x:v>
      </x:c>
      <x:c r="H185" s="14" t="n">
        <x:v>1</x:v>
      </x:c>
      <x:c r="I185" s="14" t="n">
        <x:v>1</x:v>
      </x:c>
      <x:c r="J185" s="18" t="n">
        <x:v>132996</x:v>
      </x:c>
      <x:c r="K185" s="19" t="n">
        <x:v>46224.41716337963</x:v>
      </x:c>
      <x:c r="L185" s="19" t="n">
        <x:v>46279</x:v>
      </x:c>
      <x:c r="M185" s="15" t="str">
        <x:v>Виготовлення проєктно-кошторисної документації з проходженням експертизи по об’єкту: «Реконструкція каналізаційної насосної станції №2 по вулиці Покровська, 4 К в селищі Сосниця Корюківського району Чернігівської області», за ЄЗС ДК 021:2015: 71320000-7 - Послуги з інженерного проєктування</x:v>
      </x:c>
      <x:c r="N185" s="15" t="str">
        <x:v>https://prozorro.gov.ua/tender/UA-2026-07-21-005571-a</x:v>
      </x:c>
    </x:row>
    <x:row r="186">
      <x:c r="A186" s="14" t="n">
        <x:v>182</x:v>
      </x:c>
      <x:c r="B186" s="14" t="str">
        <x:v>ТУРДАЙ ВОЛОДИМИР ЮРІЙОВИЧ</x:v>
      </x:c>
      <x:c r="C186" s="14" t="str">
        <x:v>2782208435</x:v>
      </x:c>
      <x:c r="D186" s="14" t="str">
        <x:v>Електромонтаж</x:v>
      </x:c>
      <x:c r="E186" s="14" t="str">
        <x:v>Pilot now</x:v>
      </x:c>
      <x:c r="F186" s="14" t="str">
        <x:v>I3</x:v>
      </x:c>
      <x:c r="G186" s="14" t="n">
        <x:v>53</x:v>
      </x:c>
      <x:c r="H186" s="14" t="n">
        <x:v>1</x:v>
      </x:c>
      <x:c r="I186" s="14" t="n">
        <x:v>1</x:v>
      </x:c>
      <x:c r="J186" s="18" t="n">
        <x:v>260000</x:v>
      </x:c>
      <x:c r="K186" s="19" t="n">
        <x:v>46248.28249450232</x:v>
      </x:c>
      <x:c r="L186" s="19" t="n">
        <x:v>46277</x:v>
      </x:c>
      <x:c r="M186" s="15" t="str">
        <x:v> Електромонтажні роботи</x:v>
      </x:c>
      <x:c r="N186" s="15" t="str">
        <x:v>https://prozorro.gov.ua/tender/UA-2026-08-14-001263-a</x:v>
      </x:c>
    </x:row>
    <x:row r="187">
      <x:c r="A187" s="14" t="n">
        <x:v>183</x:v>
      </x:c>
      <x:c r="B187" s="14" t="str">
        <x:v>Фізична особа підприємець Підлісецький Володимир Євгенович</x:v>
      </x:c>
      <x:c r="C187" s="14" t="str">
        <x:v>2924717577</x:v>
      </x:c>
      <x:c r="D187" s="14" t="str">
        <x:v>Електромонтаж</x:v>
      </x:c>
      <x:c r="E187" s="14" t="str">
        <x:v>Pilot now</x:v>
      </x:c>
      <x:c r="F187" s="14" t="str">
        <x:v>I3</x:v>
      </x:c>
      <x:c r="G187" s="14" t="n">
        <x:v>53</x:v>
      </x:c>
      <x:c r="H187" s="14" t="n">
        <x:v>1</x:v>
      </x:c>
      <x:c r="I187" s="14" t="n">
        <x:v>1</x:v>
      </x:c>
      <x:c r="J187" s="18" t="n">
        <x:v>166459.74</x:v>
      </x:c>
      <x:c r="K187" s="19" t="n">
        <x:v>46252.56706210648</x:v>
      </x:c>
      <x:c r="L187" s="19" t="n">
        <x:v>46335</x:v>
      </x:c>
      <x:c r="M187" s="15" t="str">
        <x:v>Електромонтажні роботи</x:v>
      </x:c>
      <x:c r="N187" s="15" t="str">
        <x:v>https://prozorro.gov.ua/tender/UA-2026-08-18-011836-a</x:v>
      </x:c>
    </x:row>
    <x:row r="188">
      <x:c r="A188" s="14" t="n">
        <x:v>184</x:v>
      </x:c>
      <x:c r="B188" s="14" t="str">
        <x:v>ФОП "ГЛАДКИЙ ВАДИМ ВАДИМОВИЧ"</x:v>
      </x:c>
      <x:c r="C188" s="14" t="str">
        <x:v>2957912478</x:v>
      </x:c>
      <x:c r="D188" s="14" t="str">
        <x:v>Мости / інфраструктура</x:v>
      </x:c>
      <x:c r="E188" s="14" t="str">
        <x:v>Expansion discovery</x:v>
      </x:c>
      <x:c r="F188" s="14" t="str">
        <x:v>I3</x:v>
      </x:c>
      <x:c r="G188" s="14" t="n">
        <x:v>53</x:v>
      </x:c>
      <x:c r="H188" s="14" t="n">
        <x:v>1</x:v>
      </x:c>
      <x:c r="I188" s="14" t="n">
        <x:v>1</x:v>
      </x:c>
      <x:c r="J188" s="18" t="n">
        <x:v>342158</x:v>
      </x:c>
      <x:c r="K188" s="19" t="n">
        <x:v>46248.45368438657</x:v>
      </x:c>
      <x:c r="L188" s="19" t="n">
        <x:v>46326.29728009259</x:v>
      </x:c>
      <x:c r="M188" s="15" t="str">
        <x:v>Послуги з поточного ремонту дерев’яного мосту пров.Василя Сухомлинського та вул.Дикалова, м. Охтирка Сумської області</x:v>
      </x:c>
      <x:c r="N188" s="15" t="str">
        <x:v>https://prozorro.gov.ua/tender/UA-2026-08-06-000509-a</x:v>
      </x:c>
    </x:row>
    <x:row r="189">
      <x:c r="A189" s="14" t="n">
        <x:v>185</x:v>
      </x:c>
      <x:c r="B189" s="14" t="str">
        <x:v>ФОП "КОЗЛОВА ОЛЕКСАНДРА ОЛЕКСАНДРІВНА"</x:v>
      </x:c>
      <x:c r="C189" s="14" t="str">
        <x:v>2552810284</x:v>
      </x:c>
      <x:c r="D189" s="14" t="str">
        <x:v>HVAC / ОВіК</x:v>
      </x:c>
      <x:c r="E189" s="14" t="str">
        <x:v>Pilot now</x:v>
      </x:c>
      <x:c r="F189" s="14" t="str">
        <x:v>I3</x:v>
      </x:c>
      <x:c r="G189" s="14" t="n">
        <x:v>53</x:v>
      </x:c>
      <x:c r="H189" s="14" t="n">
        <x:v>1</x:v>
      </x:c>
      <x:c r="I189" s="14" t="n">
        <x:v>1</x:v>
      </x:c>
      <x:c r="J189" s="18" t="n">
        <x:v>234348</x:v>
      </x:c>
      <x:c r="K189" s="19" t="n">
        <x:v>46233.29414491898</x:v>
      </x:c>
      <x:c r="L189" s="19" t="n">
        <x:v>46387.4991087963</x:v>
      </x:c>
      <x:c r="M189" s="15" t="str">
        <x:v>Матеріали та комплектуючі для монтажу системи водяного опалення.</x:v>
      </x:c>
      <x:c r="N189" s="15" t="str">
        <x:v>https://prozorro.gov.ua/tender/UA-2026-07-20-005737-a</x:v>
      </x:c>
    </x:row>
    <x:row r="190">
      <x:c r="A190" s="14" t="n">
        <x:v>186</x:v>
      </x:c>
      <x:c r="B190" s="14" t="str">
        <x:v>ФОП КРИГА ІВАН ІВАНОВИЧ</x:v>
      </x:c>
      <x:c r="C190" s="14" t="str">
        <x:v>3424306457</x:v>
      </x:c>
      <x:c r="D190" s="14" t="str">
        <x:v>Електромонтаж</x:v>
      </x:c>
      <x:c r="E190" s="14" t="str">
        <x:v>Pilot now</x:v>
      </x:c>
      <x:c r="F190" s="14" t="str">
        <x:v>I3</x:v>
      </x:c>
      <x:c r="G190" s="14" t="n">
        <x:v>53</x:v>
      </x:c>
      <x:c r="H190" s="14" t="n">
        <x:v>1</x:v>
      </x:c>
      <x:c r="I190" s="14" t="n">
        <x:v>1</x:v>
      </x:c>
      <x:c r="J190" s="18" t="n">
        <x:v>199691</x:v>
      </x:c>
      <x:c r="K190" s="19" t="n">
        <x:v>46239.379091076386</x:v>
      </x:c>
      <x:c r="L190" s="19" t="n">
        <x:v>46387</x:v>
      </x:c>
      <x:c r="M190" s="15" t="str">
        <x:v>Електромонтажні роботи</x:v>
      </x:c>
      <x:c r="N190" s="15" t="str">
        <x:v>https://prozorro.gov.ua/tender/UA-2026-08-05-004847-a</x:v>
      </x:c>
    </x:row>
    <x:row r="191">
      <x:c r="A191" s="14" t="n">
        <x:v>187</x:v>
      </x:c>
      <x:c r="B191" s="14" t="str">
        <x:v>АКЦІОНЕРНЕ ТОВАРИСТВО "ЖИТОМИРОБЛЕНЕРГО"</x:v>
      </x:c>
      <x:c r="C191" s="14" t="str">
        <x:v>22048622</x:v>
      </x:c>
      <x:c r="D191" s="14" t="str">
        <x:v>Електромонтаж</x:v>
      </x:c>
      <x:c r="E191" s="14" t="str">
        <x:v>Pilot now</x:v>
      </x:c>
      <x:c r="F191" s="14" t="str">
        <x:v>I3</x:v>
      </x:c>
      <x:c r="G191" s="14" t="n">
        <x:v>52</x:v>
      </x:c>
      <x:c r="H191" s="14" t="n">
        <x:v>1</x:v>
      </x:c>
      <x:c r="I191" s="14" t="n">
        <x:v>1</x:v>
      </x:c>
      <x:c r="J191" s="18" t="n">
        <x:v>30735.06</x:v>
      </x:c>
      <x:c r="K191" s="19" t="n">
        <x:v>46233.30539790509</x:v>
      </x:c>
      <x:c r="L191" s="19" t="n">
        <x:v>46387</x:v>
      </x:c>
      <x:c r="M191" s="15" t="str">
        <x:v> Електромонтажні роботи</x:v>
      </x:c>
      <x:c r="N191" s="15" t="str">
        <x:v>https://prozorro.gov.ua/tender/UA-2026-07-30-001605-a</x:v>
      </x:c>
    </x:row>
    <x:row r="192">
      <x:c r="A192" s="14" t="n">
        <x:v>188</x:v>
      </x:c>
      <x:c r="B192" s="14" t="str">
        <x:v>АКЦІОНЕРНЕ ТОВАРИСТВО "МИКОЛАЇВОБЛЕНЕРГО"</x:v>
      </x:c>
      <x:c r="C192" s="14" t="str">
        <x:v>23399393</x:v>
      </x:c>
      <x:c r="D192" s="14" t="str">
        <x:v>Електромонтаж</x:v>
      </x:c>
      <x:c r="E192" s="14" t="str">
        <x:v>Pilot now</x:v>
      </x:c>
      <x:c r="F192" s="14" t="str">
        <x:v>I3</x:v>
      </x:c>
      <x:c r="G192" s="14" t="n">
        <x:v>52</x:v>
      </x:c>
      <x:c r="H192" s="14" t="n">
        <x:v>1</x:v>
      </x:c>
      <x:c r="I192" s="14" t="n">
        <x:v>1</x:v>
      </x:c>
      <x:c r="J192" s="18" t="n">
        <x:v>535.88</x:v>
      </x:c>
      <x:c r="K192" s="19" t="n">
        <x:v>46239.46062644676</x:v>
      </x:c>
      <x:c r="L192" s="19" t="n">
        <x:v>46387</x:v>
      </x:c>
      <x:c r="M192" s="15" t="str">
        <x:v>Електромонтажні роботи </x:v>
      </x:c>
      <x:c r="N192" s="15" t="str">
        <x:v>https://prozorro.gov.ua/tender/UA-2026-08-05-007246-a</x:v>
      </x:c>
    </x:row>
    <x:row r="193">
      <x:c r="A193" s="14" t="n">
        <x:v>189</x:v>
      </x:c>
      <x:c r="B193" s="14" t="str">
        <x:v>АКЦІОНЕРНЕ ТОВАРИСТВО "СУМИОБЛЕНЕРГО"</x:v>
      </x:c>
      <x:c r="C193" s="14" t="str">
        <x:v>23293513</x:v>
      </x:c>
      <x:c r="D193" s="14" t="str">
        <x:v>Електромонтаж</x:v>
      </x:c>
      <x:c r="E193" s="14" t="str">
        <x:v>Pilot now</x:v>
      </x:c>
      <x:c r="F193" s="14" t="str">
        <x:v>I3</x:v>
      </x:c>
      <x:c r="G193" s="14" t="n">
        <x:v>52</x:v>
      </x:c>
      <x:c r="H193" s="14" t="n">
        <x:v>1</x:v>
      </x:c>
      <x:c r="I193" s="14" t="n">
        <x:v>1</x:v>
      </x:c>
      <x:c r="J193" s="18" t="n">
        <x:v>16796.16</x:v>
      </x:c>
      <x:c r="K193" s="19" t="n">
        <x:v>46248.270068287035</x:v>
      </x:c>
      <x:c r="L193" s="19" t="n">
        <x:v>46387</x:v>
      </x:c>
      <x:c r="M193" s="15" t="str">
        <x:v>Електромонтажні роботи</x:v>
      </x:c>
      <x:c r="N193" s="15" t="str">
        <x:v>https://prozorro.gov.ua/tender/UA-2026-08-14-000973-a</x:v>
      </x:c>
    </x:row>
    <x:row r="194">
      <x:c r="A194" s="14" t="n">
        <x:v>190</x:v>
      </x:c>
      <x:c r="B194" s="14" t="str">
        <x:v>АКЦІОНЕРНЕ ТОВАРИСТВО "ХМЕЛЬНИЦЬКОБЛЕНЕРГО"</x:v>
      </x:c>
      <x:c r="C194" s="14" t="str">
        <x:v>22767506</x:v>
      </x:c>
      <x:c r="D194" s="14" t="str">
        <x:v>Електромонтаж</x:v>
      </x:c>
      <x:c r="E194" s="14" t="str">
        <x:v>Pilot now</x:v>
      </x:c>
      <x:c r="F194" s="14" t="str">
        <x:v>I3</x:v>
      </x:c>
      <x:c r="G194" s="14" t="n">
        <x:v>52</x:v>
      </x:c>
      <x:c r="H194" s="14" t="n">
        <x:v>1</x:v>
      </x:c>
      <x:c r="I194" s="14" t="n">
        <x:v>1</x:v>
      </x:c>
      <x:c r="J194" s="18" t="n">
        <x:v>6571.51</x:v>
      </x:c>
      <x:c r="K194" s="19" t="n">
        <x:v>46231.310942233795</x:v>
      </x:c>
      <x:c r="L194" s="19" t="n">
        <x:v>46387.352430555555</x:v>
      </x:c>
      <x:c r="M194" s="15" t="str">
        <x:v>Електромонтажні роботи</x:v>
      </x:c>
      <x:c r="N194" s="15" t="str">
        <x:v>https://prozorro.gov.ua/tender/UA-2026-07-28-001942-a</x:v>
      </x:c>
    </x:row>
    <x:row r="195">
      <x:c r="A195" s="14" t="n">
        <x:v>191</x:v>
      </x:c>
      <x:c r="B195" s="14" t="str">
        <x:v>Бучнєв Богдан Володимирович</x:v>
      </x:c>
      <x:c r="C195" s="14" t="str">
        <x:v>3429408577</x:v>
      </x:c>
      <x:c r="D195" s="14" t="str">
        <x:v>Електромонтаж</x:v>
      </x:c>
      <x:c r="E195" s="14" t="str">
        <x:v>Pilot now</x:v>
      </x:c>
      <x:c r="F195" s="14" t="str">
        <x:v>I3</x:v>
      </x:c>
      <x:c r="G195" s="14" t="n">
        <x:v>52</x:v>
      </x:c>
      <x:c r="H195" s="14" t="n">
        <x:v>1</x:v>
      </x:c>
      <x:c r="I195" s="14" t="n">
        <x:v>1</x:v>
      </x:c>
      <x:c r="J195" s="18" t="n">
        <x:v>99000</x:v>
      </x:c>
      <x:c r="K195" s="19" t="n">
        <x:v>46255.6182291088</x:v>
      </x:c>
      <x:c r="L195" s="19" t="n">
        <x:v>46387</x:v>
      </x:c>
      <x:c r="M195" s="15" t="str">
        <x:v>Послуги зі встановлення , монтажу та підключення (сонячної)електростанції до внутрішніх електричних мереж будівлі селищної ради, згідно ДК 021:2015 45260000-7 Покрівельні роботи та інші спеціалізовані будівельні роботи</x:v>
      </x:c>
      <x:c r="N195" s="15" t="str">
        <x:v>https://prozorro.gov.ua/tender/UA-2026-08-21-012488-a</x:v>
      </x:c>
    </x:row>
    <x:row r="196">
      <x:c r="A196" s="14" t="n">
        <x:v>192</x:v>
      </x:c>
      <x:c r="B196" s="14" t="str">
        <x:v>ДОВЖИК ПЕТРО ВАСИЛЬОВИЧ</x:v>
      </x:c>
      <x:c r="C196" s="14" t="str">
        <x:v>2347612999</x:v>
      </x:c>
      <x:c r="D196" s="14" t="str">
        <x:v>Сонячна енергетика</x:v>
      </x:c>
      <x:c r="E196" s="14" t="str">
        <x:v>Expansion discovery</x:v>
      </x:c>
      <x:c r="F196" s="14" t="str">
        <x:v>I3</x:v>
      </x:c>
      <x:c r="G196" s="14" t="n">
        <x:v>52</x:v>
      </x:c>
      <x:c r="H196" s="14" t="n">
        <x:v>2</x:v>
      </x:c>
      <x:c r="I196" s="14" t="n">
        <x:v>1</x:v>
      </x:c>
      <x:c r="J196" s="18" t="n">
        <x:v>199080</x:v>
      </x:c>
      <x:c r="K196" s="19" t="n">
        <x:v>46188.35211075231</x:v>
      </x:c>
      <x:c r="L196" s="19" t="n">
        <x:v>46206</x:v>
      </x:c>
      <x:c r="M196" s="15" t="str">
        <x:v>Послуги з технічного обстеження несучих і огороджувальних конструкцій одно- триповерхової будівлі Комунального закладу «Жмеринський ліцей №6» по вул. Огієнка Івана, буд.3 в м. Жмеринка Вінницької області для встановлення можливості монтажу обладнання сонячних електростанцій
</x:v>
      </x:c>
      <x:c r="N196" s="15" t="str">
        <x:v>https://prozorro.gov.ua/tender/UA-2026-06-15-003455-a</x:v>
      </x:c>
    </x:row>
    <x:row r="197">
      <x:c r="A197" s="14" t="n">
        <x:v>193</x:v>
      </x:c>
      <x:c r="B197" s="14" t="str">
        <x:v>ЖИТОМИРСЬКЕ КОЛЕКТИВНЕ ПІДПРИЄМСТВО ПО ПРОЕКТУВАННЮ ЦИВІЛЬНОГО І ПРОМИСЛОВОГО БУДІВНИЦТВА "ЖИТОМИРПРОЕКТ"</x:v>
      </x:c>
      <x:c r="C197" s="14" t="str">
        <x:v>02498103</x:v>
      </x:c>
      <x:c r="D197" s="14" t="str">
        <x:v>Теплові мережі</x:v>
      </x:c>
      <x:c r="E197" s="14" t="str">
        <x:v>Expansion discovery</x:v>
      </x:c>
      <x:c r="F197" s="14" t="str">
        <x:v>I3</x:v>
      </x:c>
      <x:c r="G197" s="14" t="n">
        <x:v>52</x:v>
      </x:c>
      <x:c r="H197" s="14" t="n">
        <x:v>1</x:v>
      </x:c>
      <x:c r="I197" s="14" t="n">
        <x:v>1</x:v>
      </x:c>
      <x:c r="J197" s="18" t="n">
        <x:v>35565.6</x:v>
      </x:c>
      <x:c r="K197" s="19" t="n">
        <x:v>46254.37346806713</x:v>
      </x:c>
      <x:c r="L197" s="19" t="n">
        <x:v>46387</x:v>
      </x:c>
      <x:c r="M197" s="15" t="str">
        <x:v>Авторський нагляд по об'єкту: "Реконструкція теплової мережі котельні РК-5 від т. 462 до ТК-20 за адресою вул. Чуднівська, 101 в м. Житомирі "(Коригування)</x:v>
      </x:c>
      <x:c r="N197" s="15" t="str">
        <x:v>https://prozorro.gov.ua/tender/UA-2026-08-20-004861-a</x:v>
      </x:c>
    </x:row>
    <x:row r="198">
      <x:c r="A198" s="14" t="n">
        <x:v>194</x:v>
      </x:c>
      <x:c r="B198" s="14" t="str">
        <x:v>КП "Ічнянське ВУ ЖКГ"</x:v>
      </x:c>
      <x:c r="C198" s="14" t="str">
        <x:v>03357895</x:v>
      </x:c>
      <x:c r="D198" s="14" t="str">
        <x:v>Електромонтаж</x:v>
      </x:c>
      <x:c r="E198" s="14" t="str">
        <x:v>Pilot now</x:v>
      </x:c>
      <x:c r="F198" s="14" t="str">
        <x:v>I3</x:v>
      </x:c>
      <x:c r="G198" s="14" t="n">
        <x:v>52</x:v>
      </x:c>
      <x:c r="H198" s="14" t="n">
        <x:v>1</x:v>
      </x:c>
      <x:c r="I198" s="14" t="n">
        <x:v>1</x:v>
      </x:c>
      <x:c r="J198" s="18" t="n">
        <x:v>4164.97</x:v>
      </x:c>
      <x:c r="K198" s="19" t="n">
        <x:v>46252.56156364583</x:v>
      </x:c>
      <x:c r="L198" s="19" t="n">
        <x:v>46387</x:v>
      </x:c>
      <x:c r="M198" s="15" t="str">
        <x:v>електромонтажні роботи</x:v>
      </x:c>
      <x:c r="N198" s="15" t="str">
        <x:v>https://prozorro.gov.ua/tender/UA-2026-08-18-011647-a</x:v>
      </x:c>
    </x:row>
    <x:row r="199">
      <x:c r="A199" s="14" t="n">
        <x:v>195</x:v>
      </x:c>
      <x:c r="B199" s="14" t="str">
        <x:v>ПАТ "Запоріжжяобленерго"</x:v>
      </x:c>
      <x:c r="C199" s="14" t="str">
        <x:v>00130926</x:v>
      </x:c>
      <x:c r="D199" s="14" t="str">
        <x:v>Електромонтаж</x:v>
      </x:c>
      <x:c r="E199" s="14" t="str">
        <x:v>Pilot now</x:v>
      </x:c>
      <x:c r="F199" s="14" t="str">
        <x:v>I3</x:v>
      </x:c>
      <x:c r="G199" s="14" t="n">
        <x:v>52</x:v>
      </x:c>
      <x:c r="H199" s="14" t="n">
        <x:v>1</x:v>
      </x:c>
      <x:c r="I199" s="14" t="n">
        <x:v>1</x:v>
      </x:c>
      <x:c r="J199" s="18" t="n">
        <x:v>19127.3</x:v>
      </x:c>
      <x:c r="K199" s="19" t="n">
        <x:v>46251.470688472225</x:v>
      </x:c>
      <x:c r="L199" s="19" t="n">
        <x:v>46387</x:v>
      </x:c>
      <x:c r="M199" s="15" t="str">
        <x:v>Електромонтажні роботи</x:v>
      </x:c>
      <x:c r="N199" s="15" t="str">
        <x:v>https://prozorro.gov.ua/tender/UA-2026-08-17-007157-a</x:v>
      </x:c>
    </x:row>
    <x:row r="200">
      <x:c r="A200" s="14" t="n">
        <x:v>196</x:v>
      </x:c>
      <x:c r="B200" s="14" t="str">
        <x:v>ПНВП  «Прометей-Сервіс»</x:v>
      </x:c>
      <x:c r="C200" s="14" t="str">
        <x:v>35435961 КБВ: БАДЬОР КИРИЛО ОЛЕКСІЙ, громадянство:</x:v>
      </x:c>
      <x:c r="D200" s="14" t="str">
        <x:v>Пожежогасіння</x:v>
      </x:c>
      <x:c r="E200" s="14" t="str">
        <x:v>Expansion discovery</x:v>
      </x:c>
      <x:c r="F200" s="14" t="str">
        <x:v>I3</x:v>
      </x:c>
      <x:c r="G200" s="14" t="n">
        <x:v>52</x:v>
      </x:c>
      <x:c r="H200" s="14" t="n">
        <x:v>1</x:v>
      </x:c>
      <x:c r="I200" s="14" t="n">
        <x:v>1</x:v>
      </x:c>
      <x:c r="J200" s="18" t="n">
        <x:v>99925.9</x:v>
      </x:c>
      <x:c r="K200" s="19" t="n">
        <x:v>46241.41233940972</x:v>
      </x:c>
      <x:c r="L200" s="19" t="n">
        <x:v>46387</x:v>
      </x:c>
      <x:c r="M200" s="15" t="str">
        <x:v>Електромонтажні роботи - за ДК 021:2015 - 45310000-3 (Роботи з монтажу автоматичної системи пожежної сигналізації та системи мовленнєвого оповіщення людей про пожежу на об'єкті (7 поверх, блок "А")-  за ДК 021:2015 - 45312100-8 Встановлення систем пожежної сигналізації)</x:v>
      </x:c>
      <x:c r="N200" s="15" t="str">
        <x:v>https://prozorro.gov.ua/tender/UA-2026-08-07-005902-a</x:v>
      </x:c>
    </x:row>
    <x:row r="201">
      <x:c r="A201" s="14" t="n">
        <x:v>197</x:v>
      </x:c>
      <x:c r="B201" s="14" t="str">
        <x:v>ПП "Енергодар Т"</x:v>
      </x:c>
      <x:c r="C201" s="14" t="str">
        <x:v>34252343</x:v>
      </x:c>
      <x:c r="D201" s="14" t="str">
        <x:v>Електромонтаж</x:v>
      </x:c>
      <x:c r="E201" s="14" t="str">
        <x:v>Pilot now</x:v>
      </x:c>
      <x:c r="F201" s="14" t="str">
        <x:v>I3</x:v>
      </x:c>
      <x:c r="G201" s="14" t="n">
        <x:v>52</x:v>
      </x:c>
      <x:c r="H201" s="14" t="n">
        <x:v>1</x:v>
      </x:c>
      <x:c r="I201" s="14" t="n">
        <x:v>1</x:v>
      </x:c>
      <x:c r="J201" s="18" t="n">
        <x:v>64360</x:v>
      </x:c>
      <x:c r="K201" s="19" t="n">
        <x:v>46246.499455798614</x:v>
      </x:c>
      <x:c r="L201" s="19" t="n">
        <x:v>46387.543599537035</x:v>
      </x:c>
      <x:c r="M201" s="15" t="str">
        <x:v>Електромонтажні роботи</x:v>
      </x:c>
      <x:c r="N201" s="15" t="str">
        <x:v>https://prozorro.gov.ua/tender/UA-2026-08-12-008165-a</x:v>
      </x:c>
    </x:row>
    <x:row r="202">
      <x:c r="A202" s="14" t="n">
        <x:v>198</x:v>
      </x:c>
      <x:c r="B202" s="14" t="str">
        <x:v>ПП "Формула-безпеки"</x:v>
      </x:c>
      <x:c r="C202" s="14" t="str">
        <x:v>38553461</x:v>
      </x:c>
      <x:c r="D202" s="14" t="str">
        <x:v>Безпека / СКУД / CCTV</x:v>
      </x:c>
      <x:c r="E202" s="14" t="str">
        <x:v>Expansion discovery</x:v>
      </x:c>
      <x:c r="F202" s="14" t="str">
        <x:v>I3</x:v>
      </x:c>
      <x:c r="G202" s="14" t="n">
        <x:v>52</x:v>
      </x:c>
      <x:c r="H202" s="14" t="n">
        <x:v>1</x:v>
      </x:c>
      <x:c r="I202" s="14" t="n">
        <x:v>1</x:v>
      </x:c>
      <x:c r="J202" s="18" t="n">
        <x:v>50050</x:v>
      </x:c>
      <x:c r="K202" s="19" t="n">
        <x:v>46255.44458350694</x:v>
      </x:c>
      <x:c r="L202" s="19" t="n">
        <x:v>46387</x:v>
      </x:c>
      <x:c r="M202" s="15" t="str">
        <x:v>Послуги з монтажу та налаштування системи відеоспостереження. код ДК 021:2015 51310000-8</x:v>
      </x:c>
      <x:c r="N202" s="15" t="str">
        <x:v>https://prozorro.gov.ua/tender/UA-2026-08-21-007420-a</x:v>
      </x:c>
    </x:row>
    <x:row r="203">
      <x:c r="A203" s="14" t="n">
        <x:v>199</x:v>
      </x:c>
      <x:c r="B203" s="14" t="str">
        <x:v>ПП"Енергоресурс"</x:v>
      </x:c>
      <x:c r="C203" s="14" t="str">
        <x:v>32393416</x:v>
      </x:c>
      <x:c r="D203" s="14" t="str">
        <x:v>Електромонтаж</x:v>
      </x:c>
      <x:c r="E203" s="14" t="str">
        <x:v>Pilot now</x:v>
      </x:c>
      <x:c r="F203" s="14" t="str">
        <x:v>I3</x:v>
      </x:c>
      <x:c r="G203" s="14" t="n">
        <x:v>52</x:v>
      </x:c>
      <x:c r="H203" s="14" t="n">
        <x:v>1</x:v>
      </x:c>
      <x:c r="I203" s="14" t="n">
        <x:v>1</x:v>
      </x:c>
      <x:c r="J203" s="18" t="n">
        <x:v>43526.4</x:v>
      </x:c>
      <x:c r="K203" s="19" t="n">
        <x:v>46247.231268020834</x:v>
      </x:c>
      <x:c r="L203" s="19" t="n">
        <x:v>46265.2325462963</x:v>
      </x:c>
      <x:c r="M203" s="15" t="str">
        <x:v>Послуги з поточного ремонту-виготовлення і монтаж контура заземлення, виконання електромонтажних робіт по під'єднанню електроплити, бойлера, холодильника до нової змонтованої електромережі, лабораторні електровимірювальні і випробувальні роботи, перевірка стану нового змонтованого електрообладнання</x:v>
      </x:c>
      <x:c r="N203" s="15" t="str">
        <x:v>https://prozorro.gov.ua/tender/UA-2026-08-13-000311-a</x:v>
      </x:c>
    </x:row>
    <x:row r="204">
      <x:c r="A204" s="14" t="n">
        <x:v>200</x:v>
      </x:c>
      <x:c r="B204" s="14" t="str">
        <x:v>ПРИВАТНА ФІРМА КОМПАНІЯ «НЕО»</x:v>
      </x:c>
      <x:c r="C204" s="14" t="str">
        <x:v>31232303</x:v>
      </x:c>
      <x:c r="D204" s="14" t="str">
        <x:v>Електромонтаж</x:v>
      </x:c>
      <x:c r="E204" s="14" t="str">
        <x:v>Pilot now</x:v>
      </x:c>
      <x:c r="F204" s="14" t="str">
        <x:v>I3</x:v>
      </x:c>
      <x:c r="G204" s="14" t="n">
        <x:v>52</x:v>
      </x:c>
      <x:c r="H204" s="14" t="n">
        <x:v>1</x:v>
      </x:c>
      <x:c r="I204" s="14" t="n">
        <x:v>1</x:v>
      </x:c>
      <x:c r="J204" s="18" t="n">
        <x:v>29126</x:v>
      </x:c>
      <x:c r="K204" s="19" t="n">
        <x:v>46255.32717296296</x:v>
      </x:c>
      <x:c r="L204" s="19" t="n">
        <x:v>46387.916655092595</x:v>
      </x:c>
      <x:c r="M204" s="15" t="str">
        <x:v>Електромонтажні роботи (монтаж кондиціонера)</x:v>
      </x:c>
      <x:c r="N204" s="15" t="str">
        <x:v>https://prozorro.gov.ua/tender/UA-2026-08-21-003061-a</x:v>
      </x:c>
    </x:row>
    <x:row r="205">
      <x:c r="A205" s="14" t="n">
        <x:v>201</x:v>
      </x:c>
      <x:c r="B205" s="14" t="str">
        <x:v>ПРИВАТНЕ ПІДПРИЄМСТВО "ВІНАСТЕРІСК"</x:v>
      </x:c>
      <x:c r="C205" s="14" t="str">
        <x:v>35542326</x:v>
      </x:c>
      <x:c r="D205" s="14" t="str">
        <x:v>Електромонтаж</x:v>
      </x:c>
      <x:c r="E205" s="14" t="str">
        <x:v>Pilot now</x:v>
      </x:c>
      <x:c r="F205" s="14" t="str">
        <x:v>I3</x:v>
      </x:c>
      <x:c r="G205" s="14" t="n">
        <x:v>52</x:v>
      </x:c>
      <x:c r="H205" s="14" t="n">
        <x:v>1</x:v>
      </x:c>
      <x:c r="I205" s="14" t="n">
        <x:v>1</x:v>
      </x:c>
      <x:c r="J205" s="18" t="n">
        <x:v>97500</x:v>
      </x:c>
      <x:c r="K205" s="19" t="n">
        <x:v>46227.429720127315</x:v>
      </x:c>
      <x:c r="L205" s="19" t="n">
        <x:v>46265</x:v>
      </x:c>
      <x:c r="M205" s="15" t="str">
        <x:v>електромонтажні роботи</x:v>
      </x:c>
      <x:c r="N205" s="15" t="str">
        <x:v>https://prozorro.gov.ua/tender/UA-2026-07-24-005773-a</x:v>
      </x:c>
    </x:row>
    <x:row r="206">
      <x:c r="A206" s="14" t="n">
        <x:v>202</x:v>
      </x:c>
      <x:c r="B206" s="14" t="str">
        <x:v>ПРИВАТНЕ ПІДПРИЄМСТВО "ГРАНТ"</x:v>
      </x:c>
      <x:c r="C206" s="14" t="str">
        <x:v>31854396</x:v>
      </x:c>
      <x:c r="D206" s="14" t="str">
        <x:v>Безпека / СКУД / CCTV</x:v>
      </x:c>
      <x:c r="E206" s="14" t="str">
        <x:v>Expansion discovery</x:v>
      </x:c>
      <x:c r="F206" s="14" t="str">
        <x:v>I3</x:v>
      </x:c>
      <x:c r="G206" s="14" t="n">
        <x:v>52</x:v>
      </x:c>
      <x:c r="H206" s="14" t="n">
        <x:v>1</x:v>
      </x:c>
      <x:c r="I206" s="14" t="n">
        <x:v>1</x:v>
      </x:c>
      <x:c r="J206" s="18" t="n">
        <x:v>41364</x:v>
      </x:c>
      <x:c r="K206" s="19" t="n">
        <x:v>46253.333494467595</x:v>
      </x:c>
      <x:c r="L206" s="19" t="n">
        <x:v>46258</x:v>
      </x:c>
      <x:c r="M206" s="15" t="str">
        <x:v>Монтаж та встановлення системи відеоспостереження</x:v>
      </x:c>
      <x:c r="N206" s="15" t="str">
        <x:v>https://prozorro.gov.ua/tender/UA-2026-08-19-003036-a</x:v>
      </x:c>
    </x:row>
    <x:row r="207">
      <x:c r="A207" s="14" t="n">
        <x:v>203</x:v>
      </x:c>
      <x:c r="B207" s="14" t="str">
        <x:v>Рівненська філія Державного підприємства Український державний науково-дослідний інститут проектування міст "ДІПРОМІСТО" імені Ю.М.Білоконя</x:v>
      </x:c>
      <x:c r="C207" s="14" t="str">
        <x:v>02498085</x:v>
      </x:c>
      <x:c r="D207" s="14" t="str">
        <x:v>Мости / інфраструктура</x:v>
      </x:c>
      <x:c r="E207" s="14" t="str">
        <x:v>Expansion discovery</x:v>
      </x:c>
      <x:c r="F207" s="14" t="str">
        <x:v>I3</x:v>
      </x:c>
      <x:c r="G207" s="14" t="n">
        <x:v>52</x:v>
      </x:c>
      <x:c r="H207" s="14" t="n">
        <x:v>1</x:v>
      </x:c>
      <x:c r="I207" s="14" t="n">
        <x:v>1</x:v>
      </x:c>
      <x:c r="J207" s="18" t="n">
        <x:v>8280</x:v>
      </x:c>
      <x:c r="K207" s="19" t="n">
        <x:v>46255.358828206015</x:v>
      </x:c>
      <x:c r="L207" s="19" t="n">
        <x:v>46752</x:v>
      </x:c>
      <x:c r="M207" s="15" t="str">
        <x:v>Авторський нагляд по об’єкту: «Капітальний ремонт пішохідного мосту через річку Устя в районі стадіону «Авангард» у місті Рівному»</x:v>
      </x:c>
      <x:c r="N207" s="15" t="str">
        <x:v>https://prozorro.gov.ua/tender/UA-2026-08-21-004480-a</x:v>
      </x:c>
    </x:row>
    <x:row r="208">
      <x:c r="A208" s="14" t="n">
        <x:v>204</x:v>
      </x:c>
      <x:c r="B208" s="14" t="str">
        <x:v>ТзОВ фірма "Аурас"</x:v>
      </x:c>
      <x:c r="C208" s="14" t="str">
        <x:v>13986474</x:v>
      </x:c>
      <x:c r="D208" s="14" t="str">
        <x:v>Безпека / СКУД / CCTV</x:v>
      </x:c>
      <x:c r="E208" s="14" t="str">
        <x:v>Expansion discovery</x:v>
      </x:c>
      <x:c r="F208" s="14" t="str">
        <x:v>I3</x:v>
      </x:c>
      <x:c r="G208" s="14" t="n">
        <x:v>52</x:v>
      </x:c>
      <x:c r="H208" s="14" t="n">
        <x:v>1</x:v>
      </x:c>
      <x:c r="I208" s="14" t="n">
        <x:v>1</x:v>
      </x:c>
      <x:c r="J208" s="18" t="n">
        <x:v>19857.6</x:v>
      </x:c>
      <x:c r="K208" s="19" t="n">
        <x:v>46224.311575590276</x:v>
      </x:c>
      <x:c r="L208" s="19" t="n">
        <x:v>46387</x:v>
      </x:c>
      <x:c r="M208" s="15" t="str">
        <x:v>Послуги з монтажу системи відеоспостереження</x:v>
      </x:c>
      <x:c r="N208" s="15" t="str">
        <x:v>https://prozorro.gov.ua/tender/UA-2026-07-21-002192-a</x:v>
      </x:c>
    </x:row>
    <x:row r="209">
      <x:c r="A209" s="14" t="n">
        <x:v>205</x:v>
      </x:c>
      <x:c r="B209" s="14" t="str">
        <x:v>ТОВ "АМіЛа"</x:v>
      </x:c>
      <x:c r="C209" s="14" t="str">
        <x:v>25090493</x:v>
      </x:c>
      <x:c r="D209" s="14" t="str">
        <x:v>Газопостачання / котельні</x:v>
      </x:c>
      <x:c r="E209" s="14" t="str">
        <x:v>Expansion discovery</x:v>
      </x:c>
      <x:c r="F209" s="14" t="str">
        <x:v>I3</x:v>
      </x:c>
      <x:c r="G209" s="14" t="n">
        <x:v>52</x:v>
      </x:c>
      <x:c r="H209" s="14" t="n">
        <x:v>1</x:v>
      </x:c>
      <x:c r="I209" s="14" t="n">
        <x:v>1</x:v>
      </x:c>
      <x:c r="J209" s="18" t="n">
        <x:v>63270</x:v>
      </x:c>
      <x:c r="K209" s="19" t="n">
        <x:v>46254.269428611115</x:v>
      </x:c>
      <x:c r="L209" s="19" t="n">
        <x:v>46387</x:v>
      </x:c>
      <x:c r="M209" s="15" t="str">
        <x:v>ДК 021:2015:50720000-8 Послуги з ремонту і технічного обслуговування систем центрального опалення ( Послуги з демонтажу та монтажу димової труби котельні дитячо-юнацької спортивної школи Турійської селищної ради Ковельського району Волинської області)</x:v>
      </x:c>
      <x:c r="N209" s="15" t="str">
        <x:v>https://prozorro.gov.ua/tender/UA-2026-08-20-000929-a</x:v>
      </x:c>
    </x:row>
    <x:row r="210">
      <x:c r="A210" s="14" t="n">
        <x:v>206</x:v>
      </x:c>
      <x:c r="B210" s="14" t="str">
        <x:v>ТОВ "БРІКСТОУН"</x:v>
      </x:c>
      <x:c r="C210" s="14" t="str">
        <x:v>44263744</x:v>
      </x:c>
      <x:c r="D210" s="14" t="str">
        <x:v>Безпека / СКУД / CCTV</x:v>
      </x:c>
      <x:c r="E210" s="14" t="str">
        <x:v>Expansion discovery</x:v>
      </x:c>
      <x:c r="F210" s="14" t="str">
        <x:v>I3</x:v>
      </x:c>
      <x:c r="G210" s="14" t="n">
        <x:v>52</x:v>
      </x:c>
      <x:c r="H210" s="14" t="n">
        <x:v>1</x:v>
      </x:c>
      <x:c r="I210" s="14" t="n">
        <x:v>1</x:v>
      </x:c>
      <x:c r="J210" s="18" t="n">
        <x:v>19830</x:v>
      </x:c>
      <x:c r="K210" s="19" t="n">
        <x:v>46217.371219733795</x:v>
      </x:c>
      <x:c r="L210" s="19" t="n">
        <x:v>46387</x:v>
      </x:c>
      <x:c r="M210" s="15" t="str">
        <x:v>Монтаж системи відеоспостереження (з матеріалів замовника)</x:v>
      </x:c>
      <x:c r="N210" s="15" t="str">
        <x:v>https://prozorro.gov.ua/tender/UA-2026-07-14-004448-a</x:v>
      </x:c>
    </x:row>
    <x:row r="211">
      <x:c r="A211" s="14" t="n">
        <x:v>207</x:v>
      </x:c>
      <x:c r="B211" s="14" t="str">
        <x:v>ТОВ "ІНФОНЕТ ТЕЛЕКОМ"</x:v>
      </x:c>
      <x:c r="C211" s="14" t="str">
        <x:v>39329860</x:v>
      </x:c>
      <x:c r="D211" s="14" t="str">
        <x:v>Безпека / СКУД / CCTV</x:v>
      </x:c>
      <x:c r="E211" s="14" t="str">
        <x:v>Expansion discovery</x:v>
      </x:c>
      <x:c r="F211" s="14" t="str">
        <x:v>I3</x:v>
      </x:c>
      <x:c r="G211" s="14" t="n">
        <x:v>52</x:v>
      </x:c>
      <x:c r="H211" s="14" t="n">
        <x:v>1</x:v>
      </x:c>
      <x:c r="I211" s="14" t="n">
        <x:v>1</x:v>
      </x:c>
      <x:c r="J211" s="18" t="n">
        <x:v>99200</x:v>
      </x:c>
      <x:c r="K211" s="19" t="n">
        <x:v>46245.57245854167</x:v>
      </x:c>
      <x:c r="L211" s="19" t="n">
        <x:v>46259.57413194444</x:v>
      </x:c>
      <x:c r="M211" s="15" t="str">
        <x:v>Монтаж та встановлення системи відеоспостереження з матеріалів замовника</x:v>
      </x:c>
      <x:c r="N211" s="15" t="str">
        <x:v>https://prozorro.gov.ua/tender/UA-2026-08-11-011701-a</x:v>
      </x:c>
    </x:row>
    <x:row r="212">
      <x:c r="A212" s="14" t="n">
        <x:v>208</x:v>
      </x:c>
      <x:c r="B212" s="14" t="str">
        <x:v>ТОВ "КСК ІНЖИНІРИНГ"</x:v>
      </x:c>
      <x:c r="C212" s="14" t="str">
        <x:v>43984787</x:v>
      </x:c>
      <x:c r="D212" s="14" t="str">
        <x:v>Електромонтаж</x:v>
      </x:c>
      <x:c r="E212" s="14" t="str">
        <x:v>Pilot now</x:v>
      </x:c>
      <x:c r="F212" s="14" t="str">
        <x:v>I3</x:v>
      </x:c>
      <x:c r="G212" s="14" t="n">
        <x:v>52</x:v>
      </x:c>
      <x:c r="H212" s="14" t="n">
        <x:v>1</x:v>
      </x:c>
      <x:c r="I212" s="14" t="n">
        <x:v>1</x:v>
      </x:c>
      <x:c r="J212" s="18" t="n">
        <x:v>9185</x:v>
      </x:c>
      <x:c r="K212" s="19" t="n">
        <x:v>46225.40387611111</x:v>
      </x:c>
      <x:c r="L212" s="19" t="n">
        <x:v>46387.447118055556</x:v>
      </x:c>
      <x:c r="M212" s="15" t="str">
        <x:v>Електромонтажні роботи</x:v>
      </x:c>
      <x:c r="N212" s="15" t="str">
        <x:v>https://prozorro.gov.ua/tender/UA-2026-07-22-004999-a</x:v>
      </x:c>
    </x:row>
    <x:row r="213">
      <x:c r="A213" s="14" t="n">
        <x:v>209</x:v>
      </x:c>
      <x:c r="B213" s="14" t="str">
        <x:v>ТОВ "телерадіокомпанія "ГОК"</x:v>
      </x:c>
      <x:c r="C213" s="14" t="str">
        <x:v>24564256</x:v>
      </x:c>
      <x:c r="D213" s="14" t="str">
        <x:v>Безпека / СКУД / CCTV</x:v>
      </x:c>
      <x:c r="E213" s="14" t="str">
        <x:v>Expansion discovery</x:v>
      </x:c>
      <x:c r="F213" s="14" t="str">
        <x:v>I3</x:v>
      </x:c>
      <x:c r="G213" s="14" t="n">
        <x:v>52</x:v>
      </x:c>
      <x:c r="H213" s="14" t="n">
        <x:v>1</x:v>
      </x:c>
      <x:c r="I213" s="14" t="n">
        <x:v>1</x:v>
      </x:c>
      <x:c r="J213" s="18" t="n">
        <x:v>79194.23</x:v>
      </x:c>
      <x:c r="K213" s="19" t="n">
        <x:v>46258.52711094907</x:v>
      </x:c>
      <x:c r="L213" s="19" t="n">
        <x:v>46387.570439814815</x:v>
      </x:c>
      <x:c r="M213" s="15" t="str">
        <x:v>Послуги  з монтажу, установки системи відеоспостереження</x:v>
      </x:c>
      <x:c r="N213" s="15" t="str">
        <x:v>https://prozorro.gov.ua/tender/UA-2026-08-24-008102-a</x:v>
      </x:c>
    </x:row>
    <x:row r="214">
      <x:c r="A214" s="14" t="n">
        <x:v>210</x:v>
      </x:c>
      <x:c r="B214" s="14" t="str">
        <x:v>ТОВ "УКРНОЛА</x:v>
      </x:c>
      <x:c r="C214" s="14" t="str">
        <x:v>39038953</x:v>
      </x:c>
      <x:c r="D214" s="14" t="str">
        <x:v>Електромонтаж</x:v>
      </x:c>
      <x:c r="E214" s="14" t="str">
        <x:v>Pilot now</x:v>
      </x:c>
      <x:c r="F214" s="14" t="str">
        <x:v>I3</x:v>
      </x:c>
      <x:c r="G214" s="14" t="n">
        <x:v>52</x:v>
      </x:c>
      <x:c r="H214" s="14" t="n">
        <x:v>1</x:v>
      </x:c>
      <x:c r="I214" s="14" t="n">
        <x:v>1</x:v>
      </x:c>
      <x:c r="J214" s="18" t="n">
        <x:v>18488.44</x:v>
      </x:c>
      <x:c r="K214" s="19" t="n">
        <x:v>46238.28746832176</x:v>
      </x:c>
      <x:c r="L214" s="19" t="n">
        <x:v>46265</x:v>
      </x:c>
      <x:c r="M214" s="15" t="str">
        <x:v>Електромонтажні роботи</x:v>
      </x:c>
      <x:c r="N214" s="15" t="str">
        <x:v>https://prozorro.gov.ua/tender/UA-2026-08-04-001332-a</x:v>
      </x:c>
    </x:row>
    <x:row r="215">
      <x:c r="A215" s="14" t="n">
        <x:v>211</x:v>
      </x:c>
      <x:c r="B215" s="14" t="str">
        <x:v>Товариство з бмеженою відповідальністю  "ГАРАНТ-ПРОЕКТ"</x:v>
      </x:c>
      <x:c r="C215" s="14" t="str">
        <x:v>40371313</x:v>
      </x:c>
      <x:c r="D215" s="14" t="str">
        <x:v>Водоочищення / очисні споруди</x:v>
      </x:c>
      <x:c r="E215" s="14" t="str">
        <x:v>Expansion discovery</x:v>
      </x:c>
      <x:c r="F215" s="14" t="str">
        <x:v>I3</x:v>
      </x:c>
      <x:c r="G215" s="14" t="n">
        <x:v>52</x:v>
      </x:c>
      <x:c r="H215" s="14" t="n">
        <x:v>1</x:v>
      </x:c>
      <x:c r="I215" s="14" t="n">
        <x:v>1</x:v>
      </x:c>
      <x:c r="J215" s="18" t="n">
        <x:v>17800</x:v>
      </x:c>
      <x:c r="K215" s="19" t="n">
        <x:v>46225.48594824074</x:v>
      </x:c>
      <x:c r="L215" s="19" t="n">
        <x:v>46387</x:v>
      </x:c>
      <x:c r="M215" s="15" t="str">
        <x:v>Авторський нагляд  по обєкту "Реконструкція системи електропостачання (встановлення джерела резервного живлення сонячної електростанції) на будівлі очисних споруд за адресою: вул. Яворницького, 106 м. Сокаль Львівська область"</x:v>
      </x:c>
      <x:c r="N215" s="15" t="str">
        <x:v>https://prozorro.gov.ua/tender/UA-2026-07-22-007284-a</x:v>
      </x:c>
    </x:row>
    <x:row r="216">
      <x:c r="A216" s="14" t="n">
        <x:v>212</x:v>
      </x:c>
      <x:c r="B216" s="14" t="str">
        <x:v>ТОВАРИСТВО З ОБМЕЖЕНОЮ ВІДПОВІДАЛЬНІСТЮ " ДІВІКС"</x:v>
      </x:c>
      <x:c r="C216" s="14" t="str">
        <x:v>33463396</x:v>
      </x:c>
      <x:c r="D216" s="14" t="str">
        <x:v>Безпека / СКУД / CCTV</x:v>
      </x:c>
      <x:c r="E216" s="14" t="str">
        <x:v>Expansion discovery</x:v>
      </x:c>
      <x:c r="F216" s="14" t="str">
        <x:v>I3</x:v>
      </x:c>
      <x:c r="G216" s="14" t="n">
        <x:v>52</x:v>
      </x:c>
      <x:c r="H216" s="14" t="n">
        <x:v>1</x:v>
      </x:c>
      <x:c r="I216" s="14" t="n">
        <x:v>1</x:v>
      </x:c>
      <x:c r="J216" s="18" t="n">
        <x:v>25963.2</x:v>
      </x:c>
      <x:c r="K216" s="19" t="n">
        <x:v>46232.284131747685</x:v>
      </x:c>
      <x:c r="L216" s="19" t="n">
        <x:v>46387</x:v>
      </x:c>
      <x:c r="M216" s="15" t="str">
        <x:v>Послуги з монтажу та пусконалагоджені системи контролю та управління доступом</x:v>
      </x:c>
      <x:c r="N216" s="15" t="str">
        <x:v>https://prozorro.gov.ua/tender/UA-2026-07-29-001219-a</x:v>
      </x:c>
    </x:row>
    <x:row r="217">
      <x:c r="A217" s="14" t="n">
        <x:v>213</x:v>
      </x:c>
      <x:c r="B217" s="14" t="str">
        <x:v>ТОВАРИСТВО З ОБМЕЖЕНОЮ ВІДПОВІДАЛЬНІСТЮ "АКРО ІНЖИНІРИНГ"</x:v>
      </x:c>
      <x:c r="C217" s="14" t="str">
        <x:v>42590106</x:v>
      </x:c>
      <x:c r="D217" s="14" t="str">
        <x:v>Пожежогасіння</x:v>
      </x:c>
      <x:c r="E217" s="14" t="str">
        <x:v>Expansion discovery</x:v>
      </x:c>
      <x:c r="F217" s="14" t="str">
        <x:v>I3</x:v>
      </x:c>
      <x:c r="G217" s="14" t="n">
        <x:v>52</x:v>
      </x:c>
      <x:c r="H217" s="14" t="n">
        <x:v>1</x:v>
      </x:c>
      <x:c r="I217" s="14" t="n">
        <x:v>1</x:v>
      </x:c>
      <x:c r="J217" s="18" t="n">
        <x:v>12450</x:v>
      </x:c>
      <x:c r="K217" s="19" t="n">
        <x:v>46255.494910104164</x:v>
      </x:c>
      <x:c r="L217" s="19" t="n">
        <x:v>46290</x:v>
      </x:c>
      <x:c r="M217" s="15" t="str">
        <x:v>Послуги з виготовлення проектно – кошторисної документації монтажу системи пожежної сигналізації та керування евакуюванням будівлі №17/53</x:v>
      </x:c>
      <x:c r="N217" s="15" t="str">
        <x:v>https://prozorro.gov.ua/tender/UA-2026-08-12-005434-a</x:v>
      </x:c>
    </x:row>
    <x:row r="218">
      <x:c r="A218" s="14" t="n">
        <x:v>214</x:v>
      </x:c>
      <x:c r="B218" s="14" t="str">
        <x:v>ТОВАРИСТВО З ОБМЕЖЕНОЮ ВІДПОВІДАЛЬНІСТЮ "АРХБІТР"</x:v>
      </x:c>
      <x:c r="C218" s="14" t="str">
        <x:v>46058837</x:v>
      </x:c>
      <x:c r="D218" s="14" t="str">
        <x:v>Водоочищення / очисні споруди</x:v>
      </x:c>
      <x:c r="E218" s="14" t="str">
        <x:v>Expansion discovery</x:v>
      </x:c>
      <x:c r="F218" s="14" t="str">
        <x:v>I3</x:v>
      </x:c>
      <x:c r="G218" s="14" t="n">
        <x:v>52</x:v>
      </x:c>
      <x:c r="H218" s="14" t="n">
        <x:v>1</x:v>
      </x:c>
      <x:c r="I218" s="14" t="n">
        <x:v>1</x:v>
      </x:c>
      <x:c r="J218" s="18" t="n">
        <x:v>9000</x:v>
      </x:c>
      <x:c r="K218" s="19" t="n">
        <x:v>46252.30834361111</x:v>
      </x:c>
      <x:c r="L218" s="19" t="n">
        <x:v>46387</x:v>
      </x:c>
      <x:c r="M218" s="15" t="str">
        <x:v>Проведення експертної оцінки кошторисної частини по об'єкту "Реконструкція будівлі матеріального складу цеху очисних споруд КП ДОР "Аульський водовід" (інв. №14) за адресою: Комплекс будівель та споруд №2, селище Аули, Кам'янський район, Дніпропетровська область, в частині влаштування сонячної електростанції з піковою потужністю 78,74 кВт-пік на даху будівлі" (ДК 021:2015 – 71319000-7 - Експертні послуги)</x:v>
      </x:c>
      <x:c r="N218" s="15" t="str">
        <x:v>https://prozorro.gov.ua/tender/UA-2026-08-18-002041-a</x:v>
      </x:c>
    </x:row>
    <x:row r="219">
      <x:c r="A219" s="14" t="n">
        <x:v>215</x:v>
      </x:c>
      <x:c r="B219" s="14" t="str">
        <x:v>ТОВАРИСТВО З ОБМЕЖЕНОЮ ВІДПОВІДАЛЬНІСТЮ "ГРАНІТ. БЕЗПЕКА ТА БІЗНЕС"</x:v>
      </x:c>
      <x:c r="C219" s="14" t="str">
        <x:v>43674658</x:v>
      </x:c>
      <x:c r="D219" s="14" t="str">
        <x:v>Безпека / СКУД / CCTV</x:v>
      </x:c>
      <x:c r="E219" s="14" t="str">
        <x:v>Expansion discovery</x:v>
      </x:c>
      <x:c r="F219" s="14" t="str">
        <x:v>I3</x:v>
      </x:c>
      <x:c r="G219" s="14" t="n">
        <x:v>52</x:v>
      </x:c>
      <x:c r="H219" s="14" t="n">
        <x:v>1</x:v>
      </x:c>
      <x:c r="I219" s="14" t="n">
        <x:v>1</x:v>
      </x:c>
      <x:c r="J219" s="18" t="n">
        <x:v>83640</x:v>
      </x:c>
      <x:c r="K219" s="19" t="n">
        <x:v>46213.33753651621</x:v>
      </x:c>
      <x:c r="L219" s="19" t="n">
        <x:v>46387</x:v>
      </x:c>
      <x:c r="M219" s="15" t="str">
        <x:v>Встановлення системи відеоспостереження (з монтажем, підключенням та налаштуванням)</x:v>
      </x:c>
      <x:c r="N219" s="15" t="str">
        <x:v>https://prozorro.gov.ua/tender/UA-2026-07-10-003006-a</x:v>
      </x:c>
    </x:row>
    <x:row r="220">
      <x:c r="A220" s="14" t="n">
        <x:v>216</x:v>
      </x:c>
      <x:c r="B220" s="14" t="str">
        <x:v>Товариство з обмеженою відповідальністю "Науково-дослідний та проектно-вишукувальний інститут "УКРКОМУНПРОЕКТ"</x:v>
      </x:c>
      <x:c r="C220" s="14" t="str">
        <x:v>44029139</x:v>
      </x:c>
      <x:c r="D220" s="14" t="str">
        <x:v>Насосні станції</x:v>
      </x:c>
      <x:c r="E220" s="14" t="str">
        <x:v>Expansion discovery</x:v>
      </x:c>
      <x:c r="F220" s="14" t="str">
        <x:v>I3</x:v>
      </x:c>
      <x:c r="G220" s="14" t="n">
        <x:v>52</x:v>
      </x:c>
      <x:c r="H220" s="14" t="n">
        <x:v>1</x:v>
      </x:c>
      <x:c r="I220" s="14" t="n">
        <x:v>1</x:v>
      </x:c>
      <x:c r="J220" s="18" t="n">
        <x:v>85895</x:v>
      </x:c>
      <x:c r="K220" s="19" t="n">
        <x:v>46230.62885929398</x:v>
      </x:c>
      <x:c r="L220" s="19" t="n">
        <x:v>46356.669328703705</x:v>
      </x:c>
      <x:c r="M220" s="15" t="str">
        <x:v>Авторський  нагляд по об’єкту «Реконструкція каналізаційної насосної станції КНС-2 по вул. Романа Шухевича, 1а в м. Конотоп Сумської області (Коригування)» (за кодом ДК 021-2015(CPV): 71520000-9 – Послуги з нагляду за виконанням будівельних робіт)</x:v>
      </x:c>
      <x:c r="N220" s="15" t="str">
        <x:v>https://prozorro.gov.ua/tender/UA-2026-07-27-011147-a</x:v>
      </x:c>
    </x:row>
    <x:row r="221">
      <x:c r="A221" s="14" t="n">
        <x:v>217</x:v>
      </x:c>
      <x:c r="B221" s="14" t="str">
        <x:v>ТОВАРИСТВО З ОБМЕЖЕНОЮ ВІДПОВІДАЛЬНІСТЮ "ОХОРОННИЙ ХОЛДІНГ- СЛАВУТИЧ"</x:v>
      </x:c>
      <x:c r="C221" s="14" t="str">
        <x:v>43317264</x:v>
      </x:c>
      <x:c r="D221" s="14" t="str">
        <x:v>Пожежогасіння</x:v>
      </x:c>
      <x:c r="E221" s="14" t="str">
        <x:v>Expansion discovery</x:v>
      </x:c>
      <x:c r="F221" s="14" t="str">
        <x:v>I3</x:v>
      </x:c>
      <x:c r="G221" s="14" t="n">
        <x:v>52</x:v>
      </x:c>
      <x:c r="H221" s="14" t="n">
        <x:v>1</x:v>
      </x:c>
      <x:c r="I221" s="14" t="n">
        <x:v>1</x:v>
      </x:c>
      <x:c r="J221" s="18" t="n">
        <x:v>61771.38</x:v>
      </x:c>
      <x:c r="K221" s="19" t="n">
        <x:v>46219.57483662037</x:v>
      </x:c>
      <x:c r="L221" s="19" t="n">
        <x:v>46387</x:v>
      </x:c>
      <x:c r="M221" s="15" t="str">
        <x:v>Послуги з монтажу, установки пожежної сигналізації, з проектуванням та пусконалагодженням, на об’єкті Замовника за адресою: Дніпропетровська обл., м. Павлоград, вул. Соборна, буд. 54, прим. 101 (45312100-8 - Встановлення систем пожежної сигналізації)</x:v>
      </x:c>
      <x:c r="N221" s="15" t="str">
        <x:v>https://prozorro.gov.ua/tender/UA-2026-07-16-009632-a</x:v>
      </x:c>
    </x:row>
    <x:row r="222">
      <x:c r="A222" s="14" t="n">
        <x:v>218</x:v>
      </x:c>
      <x:c r="B222" s="14" t="str">
        <x:v>ТОВАРИСТВО З ОБМЕЖЕНОЮ ВІДПОВІДАЛЬНІСТЮ "ПОЖЕЖНО-ТЕХНІЧНИЙ ЗАХИСТ"</x:v>
      </x:c>
      <x:c r="C222" s="14" t="str">
        <x:v>38852332</x:v>
      </x:c>
      <x:c r="D222" s="14" t="str">
        <x:v>Пожежогасіння</x:v>
      </x:c>
      <x:c r="E222" s="14" t="str">
        <x:v>Expansion discovery</x:v>
      </x:c>
      <x:c r="F222" s="14" t="str">
        <x:v>I3</x:v>
      </x:c>
      <x:c r="G222" s="14" t="n">
        <x:v>52</x:v>
      </x:c>
      <x:c r="H222" s="14" t="n">
        <x:v>1</x:v>
      </x:c>
      <x:c r="I222" s="14" t="n">
        <x:v>1</x:v>
      </x:c>
      <x:c r="J222" s="18" t="n">
        <x:v>67500</x:v>
      </x:c>
      <x:c r="K222" s="19" t="n">
        <x:v>46246.33533635417</x:v>
      </x:c>
      <x:c r="L222" s="19" t="n">
        <x:v>46308</x:v>
      </x:c>
      <x:c r="M222" s="15" t="str">
        <x:v>Розробка проєктної документації на монтаж систем автоматичної пожежної сигналізації та автоматичного газового пожежогасіння з проведенням експертної оцінки кошторисно-проєктної документації</x:v>
      </x:c>
      <x:c r="N222" s="15" t="str">
        <x:v>https://prozorro.gov.ua/tender/UA-2026-08-12-002950-a</x:v>
      </x:c>
    </x:row>
    <x:row r="223">
      <x:c r="A223" s="14" t="n">
        <x:v>219</x:v>
      </x:c>
      <x:c r="B223" s="14" t="str">
        <x:v>ТОВАРИСТВО З ОБМЕЖЕНОЮ ВІДПОВІДАЛЬНІСТЮ "ПОЖЗАБЕСПЕЧЕННЯ"</x:v>
      </x:c>
      <x:c r="C223" s="14" t="str">
        <x:v>31946570</x:v>
      </x:c>
      <x:c r="D223" s="14" t="str">
        <x:v>Електромонтаж</x:v>
      </x:c>
      <x:c r="E223" s="14" t="str">
        <x:v>Pilot now</x:v>
      </x:c>
      <x:c r="F223" s="14" t="str">
        <x:v>I3</x:v>
      </x:c>
      <x:c r="G223" s="14" t="n">
        <x:v>52</x:v>
      </x:c>
      <x:c r="H223" s="14" t="n">
        <x:v>1</x:v>
      </x:c>
      <x:c r="I223" s="14" t="n">
        <x:v>1</x:v>
      </x:c>
      <x:c r="J223" s="18" t="n">
        <x:v>7805.28</x:v>
      </x:c>
      <x:c r="K223" s="19" t="n">
        <x:v>46240.4004334375</x:v>
      </x:c>
      <x:c r="L223" s="19" t="n">
        <x:v>46265</x:v>
      </x:c>
      <x:c r="M223" s="15" t="str">
        <x:v>Електромонтажні роботи</x:v>
      </x:c>
      <x:c r="N223" s="15" t="str">
        <x:v>https://prozorro.gov.ua/tender/UA-2026-08-06-005253-a</x:v>
      </x:c>
    </x:row>
    <x:row r="224">
      <x:c r="A224" s="14" t="n">
        <x:v>220</x:v>
      </x:c>
      <x:c r="B224" s="14" t="str">
        <x:v>ТОВАРИСТВО З ОБМЕЖЕНОЮ ВІДПОВІДАЛЬНІСТЮ "ПОЖСЕРВІС"</x:v>
      </x:c>
      <x:c r="C224" s="14" t="str">
        <x:v>33020041</x:v>
      </x:c>
      <x:c r="D224" s="14" t="str">
        <x:v>Пожежогасіння</x:v>
      </x:c>
      <x:c r="E224" s="14" t="str">
        <x:v>Expansion discovery</x:v>
      </x:c>
      <x:c r="F224" s="14" t="str">
        <x:v>I3</x:v>
      </x:c>
      <x:c r="G224" s="14" t="n">
        <x:v>52</x:v>
      </x:c>
      <x:c r="H224" s="14" t="n">
        <x:v>1</x:v>
      </x:c>
      <x:c r="I224" s="14" t="n">
        <x:v>1</x:v>
      </x:c>
      <x:c r="J224" s="18" t="n">
        <x:v>95989</x:v>
      </x:c>
      <x:c r="K224" s="19" t="n">
        <x:v>46253.48640649306</x:v>
      </x:c>
      <x:c r="L224" s="19" t="n">
        <x:v>46283</x:v>
      </x:c>
      <x:c r="M224" s="15" t="str">
        <x:v>Послуги з монтажу системи пожежної сигналізації в приміщеннях навчального корпусу за адресою м. Житомир вул. Київська, 9
</x:v>
      </x:c>
      <x:c r="N224" s="15" t="str">
        <x:v>https://prozorro.gov.ua/tender/UA-2026-08-19-008418-a</x:v>
      </x:c>
    </x:row>
    <x:row r="225">
      <x:c r="A225" s="14" t="n">
        <x:v>221</x:v>
      </x:c>
      <x:c r="B225" s="14" t="str">
        <x:v>ТОВАРИСТВО З ОБМЕЖЕНОЮ ВІДПОВІДАЛЬНІСТЮ "ПРОФВІДЕОСЕРВІС 1"</x:v>
      </x:c>
      <x:c r="C225" s="14" t="str">
        <x:v>45991906</x:v>
      </x:c>
      <x:c r="D225" s="14" t="str">
        <x:v>Безпека / СКУД / CCTV</x:v>
      </x:c>
      <x:c r="E225" s="14" t="str">
        <x:v>Expansion discovery</x:v>
      </x:c>
      <x:c r="F225" s="14" t="str">
        <x:v>I3</x:v>
      </x:c>
      <x:c r="G225" s="14" t="n">
        <x:v>52</x:v>
      </x:c>
      <x:c r="H225" s="14" t="n">
        <x:v>1</x:v>
      </x:c>
      <x:c r="I225" s="14" t="n">
        <x:v>1</x:v>
      </x:c>
      <x:c r="J225" s="18" t="n">
        <x:v>40200</x:v>
      </x:c>
      <x:c r="K225" s="19" t="n">
        <x:v>46232.59387545139</x:v>
      </x:c>
      <x:c r="L225" s="19" t="n">
        <x:v>46387</x:v>
      </x:c>
      <x:c r="M225" s="15" t="str">
        <x:v>Послуги з монтажу, налаштування та технічного обслуговування системи відеоспостереження</x:v>
      </x:c>
      <x:c r="N225" s="15" t="str">
        <x:v>https://prozorro.gov.ua/tender/UA-2026-07-29-010611-a</x:v>
      </x:c>
    </x:row>
    <x:row r="226">
      <x:c r="A226" s="14" t="n">
        <x:v>222</x:v>
      </x:c>
      <x:c r="B226" s="14" t="str">
        <x:v>ТОВАРИСТВО З ОБМЕЖЕНОЮ ВІДПОВІДАЛЬНІСТЮ "Сервіс-Енерго ГП"</x:v>
      </x:c>
      <x:c r="C226" s="14" t="str">
        <x:v>45230840</x:v>
      </x:c>
      <x:c r="D226" s="14" t="str">
        <x:v>Резервне живлення</x:v>
      </x:c>
      <x:c r="E226" s="14" t="str">
        <x:v>Expansion discovery</x:v>
      </x:c>
      <x:c r="F226" s="14" t="str">
        <x:v>I3</x:v>
      </x:c>
      <x:c r="G226" s="14" t="n">
        <x:v>52</x:v>
      </x:c>
      <x:c r="H226" s="14" t="n">
        <x:v>1</x:v>
      </x:c>
      <x:c r="I226" s="14" t="n">
        <x:v>1</x:v>
      </x:c>
      <x:c r="J226" s="18" t="n">
        <x:v>15000</x:v>
      </x:c>
      <x:c r="K226" s="19" t="n">
        <x:v>46246.497839027776</x:v>
      </x:c>
      <x:c r="L226" s="19" t="n">
        <x:v>46387</x:v>
      </x:c>
      <x:c r="M226" s="15" t="str">
        <x:v>Послуги з монтажу системи безперебійного живлення </x:v>
      </x:c>
      <x:c r="N226" s="15" t="str">
        <x:v>https://prozorro.gov.ua/tender/UA-2026-08-12-008128-a</x:v>
      </x:c>
    </x:row>
    <x:row r="227">
      <x:c r="A227" s="14" t="n">
        <x:v>223</x:v>
      </x:c>
      <x:c r="B227" s="14" t="str">
        <x:v>ТОВАРИСТВО З ОБМЕЖЕНОЮ ВІДПОВІДАЛЬНІСТЮ "СМАРТ МОДУЛЬ"</x:v>
      </x:c>
      <x:c r="C227" s="14" t="str">
        <x:v>42017273</x:v>
      </x:c>
      <x:c r="D227" s="14" t="str">
        <x:v>HVAC / ОВіК</x:v>
      </x:c>
      <x:c r="E227" s="14" t="str">
        <x:v>Pilot now</x:v>
      </x:c>
      <x:c r="F227" s="14" t="str">
        <x:v>I3</x:v>
      </x:c>
      <x:c r="G227" s="14" t="n">
        <x:v>52</x:v>
      </x:c>
      <x:c r="H227" s="14" t="n">
        <x:v>1</x:v>
      </x:c>
      <x:c r="I227" s="14" t="n">
        <x:v>1</x:v>
      </x:c>
      <x:c r="J227" s="18" t="n">
        <x:v>21018</x:v>
      </x:c>
      <x:c r="K227" s="19" t="n">
        <x:v>46253.29300803241</x:v>
      </x:c>
      <x:c r="L227" s="19" t="n">
        <x:v>46265</x:v>
      </x:c>
      <x:c r="M227" s="15" t="str">
        <x:v>Послуги із демонтажу та монтажу теплолічильника теплової енергії в адміністративній будівлі Черкаської філії ДП «Полтавастандартметрологія» за адресою: м. Черкаси, вул. Гоголя,278, (ДК 021:2015 50720000-8 «Послуги з ремонту і технічного обслуговування систем центрального опалення»)</x:v>
      </x:c>
      <x:c r="N227" s="15" t="str">
        <x:v>https://prozorro.gov.ua/tender/UA-2026-08-19-001541-a</x:v>
      </x:c>
    </x:row>
    <x:row r="228">
      <x:c r="A228" s="14" t="n">
        <x:v>224</x:v>
      </x:c>
      <x:c r="B228" s="14" t="str">
        <x:v>ТОВАРИСТВО З ОБМЕЖЕНОЮ ВІДПОВІДАЛЬНІСТЮ "СУЧАСНІ ВИМІРИ ОПОРУ ІЗОЛЯЦІЇ"</x:v>
      </x:c>
      <x:c r="C228" s="14" t="str">
        <x:v>40813004</x:v>
      </x:c>
      <x:c r="D228" s="14" t="str">
        <x:v>Електромонтаж</x:v>
      </x:c>
      <x:c r="E228" s="14" t="str">
        <x:v>Pilot now</x:v>
      </x:c>
      <x:c r="F228" s="14" t="str">
        <x:v>I3</x:v>
      </x:c>
      <x:c r="G228" s="14" t="n">
        <x:v>52</x:v>
      </x:c>
      <x:c r="H228" s="14" t="n">
        <x:v>1</x:v>
      </x:c>
      <x:c r="I228" s="14" t="n">
        <x:v>1</x:v>
      </x:c>
      <x:c r="J228" s="18" t="n">
        <x:v>17000</x:v>
      </x:c>
      <x:c r="K228" s="19" t="n">
        <x:v>46220.56454997685</x:v>
      </x:c>
      <x:c r="L228" s="19" t="n">
        <x:v>46387</x:v>
      </x:c>
      <x:c r="M228" s="15" t="str">
        <x:v>ДК 021:2015: 71630000-3 Послуги з технічного огляду та випробовувань (Комплекс електровимірювальних робіт по заміру опору розтікання на основних заземлювачах, заземленнях магістралей і устаткування, опору ізоляції, перевірки повного опору петлі фаза-нуль за адресою: м. Київ, провулок Куренівський, 4)</x:v>
      </x:c>
      <x:c r="N228" s="15" t="str">
        <x:v>https://prozorro.gov.ua/tender/UA-2026-07-17-010021-a</x:v>
      </x:c>
    </x:row>
    <x:row r="229">
      <x:c r="A229" s="14" t="n">
        <x:v>225</x:v>
      </x:c>
      <x:c r="B229" s="14" t="str">
        <x:v>ТОВАРИСТВО З ОБМЕЖЕНОЮ ВІДПОВІДАЛЬНІСТЮ "ТВОПТИМУМ"</x:v>
      </x:c>
      <x:c r="C229" s="14" t="str">
        <x:v>39820186</x:v>
      </x:c>
      <x:c r="D229" s="14" t="str">
        <x:v>Електромонтаж</x:v>
      </x:c>
      <x:c r="E229" s="14" t="str">
        <x:v>Pilot now</x:v>
      </x:c>
      <x:c r="F229" s="14" t="str">
        <x:v>I3</x:v>
      </x:c>
      <x:c r="G229" s="14" t="n">
        <x:v>52</x:v>
      </x:c>
      <x:c r="H229" s="14" t="n">
        <x:v>1</x:v>
      </x:c>
      <x:c r="I229" s="14" t="n">
        <x:v>1</x:v>
      </x:c>
      <x:c r="J229" s="18" t="n">
        <x:v>24500</x:v>
      </x:c>
      <x:c r="K229" s="19" t="n">
        <x:v>46253.57545571759</x:v>
      </x:c>
      <x:c r="L229" s="19" t="n">
        <x:v>46387</x:v>
      </x:c>
      <x:c r="M229" s="15" t="str">
        <x:v>Електромонтажні та пуско-налагоджувальні роботи</x:v>
      </x:c>
      <x:c r="N229" s="15" t="str">
        <x:v>https://prozorro.gov.ua/tender/UA-2026-08-19-012215-a</x:v>
      </x:c>
    </x:row>
    <x:row r="230">
      <x:c r="A230" s="14" t="n">
        <x:v>226</x:v>
      </x:c>
      <x:c r="B230" s="14" t="str">
        <x:v>ТОВАРИСТВО З ОБМЕЖЕНОЮ ВІДПОВІДАЛЬНІСТЮ НАУКОВО-ВИРОБНИЧЕ ЕНЕРГЕТИЧНЕ ПІДПРИЄМСТВО "ПРОМІНЬ"</x:v>
      </x:c>
      <x:c r="C230" s="14" t="str">
        <x:v>30593114</x:v>
      </x:c>
      <x:c r="D230" s="14" t="str">
        <x:v>Електромонтаж</x:v>
      </x:c>
      <x:c r="E230" s="14" t="str">
        <x:v>Pilot now</x:v>
      </x:c>
      <x:c r="F230" s="14" t="str">
        <x:v>I3</x:v>
      </x:c>
      <x:c r="G230" s="14" t="n">
        <x:v>52</x:v>
      </x:c>
      <x:c r="H230" s="14" t="n">
        <x:v>1</x:v>
      </x:c>
      <x:c r="I230" s="14" t="n">
        <x:v>1</x:v>
      </x:c>
      <x:c r="J230" s="18" t="n">
        <x:v>74156.47</x:v>
      </x:c>
      <x:c r="K230" s="19" t="n">
        <x:v>46244.39672505787</x:v>
      </x:c>
      <x:c r="L230" s="19" t="n">
        <x:v>46387</x:v>
      </x:c>
      <x:c r="M230" s="15" t="str">
        <x:v>електромонтажні роботи</x:v>
      </x:c>
      <x:c r="N230" s="15" t="str">
        <x:v>https://prozorro.gov.ua/tender/UA-2026-08-10-004471-a</x:v>
      </x:c>
    </x:row>
    <x:row r="231">
      <x:c r="A231" s="14" t="n">
        <x:v>227</x:v>
      </x:c>
      <x:c r="B231" s="14" t="str">
        <x:v>ТОВАРИСТВО З ОБМЕЖЕНОЮ ВІДПОВІДАЛЬНІСТЮ НАУКОВО-ВИРОБНИЧЕ ПІДПРИЄМСТВО "БЛІЦ-КОНТАКТ"</x:v>
      </x:c>
      <x:c r="C231" s="14" t="str">
        <x:v>30992516</x:v>
      </x:c>
      <x:c r="D231" s="14" t="str">
        <x:v>Безпека / СКУД / CCTV</x:v>
      </x:c>
      <x:c r="E231" s="14" t="str">
        <x:v>Expansion discovery</x:v>
      </x:c>
      <x:c r="F231" s="14" t="str">
        <x:v>I3</x:v>
      </x:c>
      <x:c r="G231" s="14" t="n">
        <x:v>52</x:v>
      </x:c>
      <x:c r="H231" s="14" t="n">
        <x:v>1</x:v>
      </x:c>
      <x:c r="I231" s="14" t="n">
        <x:v>1</x:v>
      </x:c>
      <x:c r="J231" s="18" t="n">
        <x:v>35268</x:v>
      </x:c>
      <x:c r="K231" s="19" t="n">
        <x:v>46226.41934983796</x:v>
      </x:c>
      <x:c r="L231" s="19" t="n">
        <x:v>46387</x:v>
      </x:c>
      <x:c r="M231" s="15" t="str">
        <x:v>Послуги з монтажу системи контролю доступу </x:v>
      </x:c>
      <x:c r="N231" s="15" t="str">
        <x:v>https://prozorro.gov.ua/tender/UA-2026-07-23-005645-a</x:v>
      </x:c>
    </x:row>
    <x:row r="232">
      <x:c r="A232" s="14" t="n">
        <x:v>228</x:v>
      </x:c>
      <x:c r="B232" s="14" t="str">
        <x:v>ТОВАРИСТВО З ОБМЕЖЕНОЮ ВІДПОВІДАЛЬНІСТЮ СПЕЦІАЛІЗОВАНЕ ПІДПРИЄМСТВО "ЗАЩИТА-92"</x:v>
      </x:c>
      <x:c r="C232" s="14" t="str">
        <x:v>14008181</x:v>
      </x:c>
      <x:c r="D232" s="14" t="str">
        <x:v>Безпека / СКУД / CCTV</x:v>
      </x:c>
      <x:c r="E232" s="14" t="str">
        <x:v>Expansion discovery</x:v>
      </x:c>
      <x:c r="F232" s="14" t="str">
        <x:v>I3</x:v>
      </x:c>
      <x:c r="G232" s="14" t="n">
        <x:v>52</x:v>
      </x:c>
      <x:c r="H232" s="14" t="n">
        <x:v>1</x:v>
      </x:c>
      <x:c r="I232" s="14" t="n">
        <x:v>1</x:v>
      </x:c>
      <x:c r="J232" s="18" t="n">
        <x:v>28753.56</x:v>
      </x:c>
      <x:c r="K232" s="19" t="n">
        <x:v>46239.61833405092</x:v>
      </x:c>
      <x:c r="L232" s="19" t="n">
        <x:v>46387</x:v>
      </x:c>
      <x:c r="M232" s="15" t="str">
        <x:v>Послуги з монтажу системи відеоспостереження</x:v>
      </x:c>
      <x:c r="N232" s="15" t="str">
        <x:v>https://prozorro.gov.ua/tender/UA-2026-08-05-012230-a</x:v>
      </x:c>
    </x:row>
    <x:row r="233">
      <x:c r="A233" s="14" t="n">
        <x:v>229</x:v>
      </x:c>
      <x:c r="B233" s="14" t="str">
        <x:v>Управління капітального будівництва Чернігівської обласної державної адміністрації</x:v>
      </x:c>
      <x:c r="C233" s="14" t="str">
        <x:v>04014246</x:v>
      </x:c>
      <x:c r="D233" s="14" t="str">
        <x:v>Електромонтаж</x:v>
      </x:c>
      <x:c r="E233" s="14" t="str">
        <x:v>Pilot now</x:v>
      </x:c>
      <x:c r="F233" s="14" t="str">
        <x:v>I3</x:v>
      </x:c>
      <x:c r="G233" s="14" t="n">
        <x:v>52</x:v>
      </x:c>
      <x:c r="H233" s="14" t="n">
        <x:v>1</x:v>
      </x:c>
      <x:c r="I233" s="14" t="n">
        <x:v>1</x:v>
      </x:c>
      <x:c r="J233" s="18" t="n">
        <x:v>18283.8</x:v>
      </x:c>
      <x:c r="K233" s="19" t="n">
        <x:v>46239.532290717594</x:v>
      </x:c>
      <x:c r="L233" s="19" t="n">
        <x:v>46387.57611111111</x:v>
      </x:c>
      <x:c r="M233" s="15" t="str">
        <x:v>Технічний нагляд за виконанням будівельних робіт на будівництві об’єкта: «Реконструкція електричних мереж комунального некомерційного підприємства «Чернігівська обласна дитяча лікарня» Чернігівської обласної ради шляхом монтажу електрогенеруючої установки для заміщення власного споживання електроенергії номінальною потужністю по інвертору 50 кВт, що встановлюється за адресою: м. Чернігів, вул. Пирогова, 16. Триповерхова будівля головного корпусу А1-3» (код за ДК 021:2015 71520000-9 Послуги з нагляду за виконанням будівельних робіт)</x:v>
      </x:c>
      <x:c r="N233" s="15" t="str">
        <x:v>https://prozorro.gov.ua/tender/UA-2026-08-05-010064-a</x:v>
      </x:c>
    </x:row>
    <x:row r="234">
      <x:c r="A234" s="14" t="n">
        <x:v>230</x:v>
      </x:c>
      <x:c r="B234" s="14" t="str">
        <x:v>УПРАВЛІННЯ ПОЛІЦІЇ ОХОРОНИ В ПОЛТАВСЬКІЙ ОБЛАСТІ</x:v>
      </x:c>
      <x:c r="C234" s="14" t="str">
        <x:v>40109042</x:v>
      </x:c>
      <x:c r="D234" s="14" t="str">
        <x:v>Електромонтаж</x:v>
      </x:c>
      <x:c r="E234" s="14" t="str">
        <x:v>Pilot now</x:v>
      </x:c>
      <x:c r="F234" s="14" t="str">
        <x:v>I3</x:v>
      </x:c>
      <x:c r="G234" s="14" t="n">
        <x:v>52</x:v>
      </x:c>
      <x:c r="H234" s="14" t="n">
        <x:v>1</x:v>
      </x:c>
      <x:c r="I234" s="14" t="n">
        <x:v>1</x:v>
      </x:c>
      <x:c r="J234" s="18" t="n">
        <x:v>6508.32</x:v>
      </x:c>
      <x:c r="K234" s="19" t="n">
        <x:v>46238.351603414354</x:v>
      </x:c>
      <x:c r="L234" s="19" t="n">
        <x:v>46387</x:v>
      </x:c>
      <x:c r="M234" s="15" t="str">
        <x:v>Електромонтажні роботи</x:v>
      </x:c>
      <x:c r="N234" s="15" t="str">
        <x:v>https://prozorro.gov.ua/tender/UA-2026-08-04-003667-a</x:v>
      </x:c>
    </x:row>
    <x:row r="235">
      <x:c r="A235" s="14" t="n">
        <x:v>231</x:v>
      </x:c>
      <x:c r="B235" s="14" t="str">
        <x:v>УПРАВЛІННЯ ПОЛІЦІЇ ОХОРОНИ У ВОЛИНСЬКІЙ ОБЛАСТІ</x:v>
      </x:c>
      <x:c r="C235" s="14" t="str">
        <x:v>40108803</x:v>
      </x:c>
      <x:c r="D235" s="14" t="str">
        <x:v>Пожежогасіння</x:v>
      </x:c>
      <x:c r="E235" s="14" t="str">
        <x:v>Expansion discovery</x:v>
      </x:c>
      <x:c r="F235" s="14" t="str">
        <x:v>I3</x:v>
      </x:c>
      <x:c r="G235" s="14" t="n">
        <x:v>52</x:v>
      </x:c>
      <x:c r="H235" s="14" t="n">
        <x:v>1</x:v>
      </x:c>
      <x:c r="I235" s="14" t="n">
        <x:v>1</x:v>
      </x:c>
      <x:c r="J235" s="18" t="n">
        <x:v>99057.2</x:v>
      </x:c>
      <x:c r="K235" s="19" t="n">
        <x:v>46238.511679675925</x:v>
      </x:c>
      <x:c r="L235" s="19" t="n">
        <x:v>46387</x:v>
      </x:c>
      <x:c r="M235" s="15" t="str">
        <x:v>Монтаж системи пожежної сигналізації (ДК 021:2015: 45310000-3 — Електромонтажні роботи)</x:v>
      </x:c>
      <x:c r="N235" s="15" t="str">
        <x:v>https://prozorro.gov.ua/tender/UA-2026-08-04-009018-a</x:v>
      </x:c>
    </x:row>
    <x:row r="236">
      <x:c r="A236" s="14" t="n">
        <x:v>232</x:v>
      </x:c>
      <x:c r="B236" s="14" t="str">
        <x:v>Управління поліції охорони у Закарпатській області</x:v>
      </x:c>
      <x:c r="C236" s="14" t="str">
        <x:v>40108997</x:v>
      </x:c>
      <x:c r="D236" s="14" t="str">
        <x:v>Пожежогасіння</x:v>
      </x:c>
      <x:c r="E236" s="14" t="str">
        <x:v>Expansion discovery</x:v>
      </x:c>
      <x:c r="F236" s="14" t="str">
        <x:v>I3</x:v>
      </x:c>
      <x:c r="G236" s="14" t="n">
        <x:v>52</x:v>
      </x:c>
      <x:c r="H236" s="14" t="n">
        <x:v>1</x:v>
      </x:c>
      <x:c r="I236" s="14" t="n">
        <x:v>1</x:v>
      </x:c>
      <x:c r="J236" s="18" t="n">
        <x:v>51420.62</x:v>
      </x:c>
      <x:c r="K236" s="19" t="n">
        <x:v>46220.33287883102</x:v>
      </x:c>
      <x:c r="L236" s="19" t="n">
        <x:v>46387</x:v>
      </x:c>
      <x:c r="M236" s="15" t="str">
        <x:v>Монтаж, пусконалагоджування системи охоронної та пожежної сигналізації</x:v>
      </x:c>
      <x:c r="N236" s="15" t="str">
        <x:v>https://prozorro.gov.ua/tender/UA-2026-07-17-002821-a</x:v>
      </x:c>
    </x:row>
    <x:row r="237">
      <x:c r="A237" s="14" t="n">
        <x:v>233</x:v>
      </x:c>
      <x:c r="B237" s="14" t="str">
        <x:v>ФОП Пащенко Лариса Станіславівна</x:v>
      </x:c>
      <x:c r="C237" s="14" t="str">
        <x:v>2867217849</x:v>
      </x:c>
      <x:c r="D237" s="14" t="str">
        <x:v>Безпека / СКУД / CCTV</x:v>
      </x:c>
      <x:c r="E237" s="14" t="str">
        <x:v>Expansion discovery</x:v>
      </x:c>
      <x:c r="F237" s="14" t="str">
        <x:v>I3</x:v>
      </x:c>
      <x:c r="G237" s="14" t="n">
        <x:v>52</x:v>
      </x:c>
      <x:c r="H237" s="14" t="n">
        <x:v>2</x:v>
      </x:c>
      <x:c r="I237" s="14" t="n">
        <x:v>1</x:v>
      </x:c>
      <x:c r="J237" s="18" t="n">
        <x:v>143698.35</x:v>
      </x:c>
      <x:c r="K237" s="19" t="n">
        <x:v>46206.32034493056</x:v>
      </x:c>
      <x:c r="L237" s="19" t="n">
        <x:v>46234</x:v>
      </x:c>
      <x:c r="M237" s="15" t="str">
        <x:v>Послуги з монтажу, установки та налаштування системи контролю та управління доступом</x:v>
      </x:c>
      <x:c r="N237" s="15" t="str">
        <x:v>https://prozorro.gov.ua/tender/UA-2026-07-03-002326-a</x:v>
      </x:c>
    </x:row>
    <x:row r="238">
      <x:c r="A238" s="14" t="n">
        <x:v>234</x:v>
      </x:c>
      <x:c r="B238" s="14" t="str">
        <x:v>ПЕЛЕХ РУСЛАН МИРОСЛАВОВИЧ</x:v>
      </x:c>
      <x:c r="C238" s="14" t="str">
        <x:v>2870704977</x:v>
      </x:c>
      <x:c r="D238" s="14" t="str">
        <x:v>HVAC / ОВіК</x:v>
      </x:c>
      <x:c r="E238" s="14" t="str">
        <x:v>Pilot now</x:v>
      </x:c>
      <x:c r="F238" s="14" t="str">
        <x:v>I3</x:v>
      </x:c>
      <x:c r="G238" s="14" t="n">
        <x:v>51</x:v>
      </x:c>
      <x:c r="H238" s="14" t="n">
        <x:v>1</x:v>
      </x:c>
      <x:c r="I238" s="14" t="n">
        <x:v>1</x:v>
      </x:c>
      <x:c r="J238" s="18" t="n">
        <x:v>550074</x:v>
      </x:c>
      <x:c r="K238" s="19" t="n">
        <x:v>46149.558380092596</x:v>
      </x:c>
      <x:c r="L238" s="19" t="n">
        <x:v>46275</x:v>
      </x:c>
      <x:c r="M238" s="15" t="str">
        <x:v>Монтаж системи примусової приточно - витяжної вентиляції у будівлі Поліклініки, КНП «Чортківська ЦМЛ», розташованого за адресою, м.Чортків, вул. Д.Пігута, 31 Б згідно код ДК 021 :2015 45331200-8 Встановлення вентиляційних систем і систем кондиціонування повітря</x:v>
      </x:c>
      <x:c r="N238" s="15" t="str">
        <x:v>https://prozorro.gov.ua/tender/UA-2026-05-07-013060-a</x:v>
      </x:c>
    </x:row>
    <x:row r="239">
      <x:c r="A239" s="14" t="n">
        <x:v>235</x:v>
      </x:c>
      <x:c r="B239" s="14" t="str">
        <x:v>Фізична особа-підприємець БИХНО Валерій Олександрович</x:v>
      </x:c>
      <x:c r="C239" s="14" t="str">
        <x:v>3120918596</x:v>
      </x:c>
      <x:c r="D239" s="14" t="str">
        <x:v>Зовнішні мережі</x:v>
      </x:c>
      <x:c r="E239" s="14" t="str">
        <x:v>Expansion discovery</x:v>
      </x:c>
      <x:c r="F239" s="14" t="str">
        <x:v>I3</x:v>
      </x:c>
      <x:c r="G239" s="14" t="n">
        <x:v>51</x:v>
      </x:c>
      <x:c r="H239" s="14" t="n">
        <x:v>1</x:v>
      </x:c>
      <x:c r="I239" s="14" t="n">
        <x:v>1</x:v>
      </x:c>
      <x:c r="J239" s="18" t="n">
        <x:v>725332.24</x:v>
      </x:c>
      <x:c r="K239" s="19" t="n">
        <x:v>46168.540660659724</x:v>
      </x:c>
      <x:c r="L239" s="19" t="n">
        <x:v>46387</x:v>
      </x:c>
      <x:c r="M239" s="15" t="str">
        <x:v>Послуги інженера консультанта під час будівництва об'єкту "Нове будівництво зовнішніх інженерних мереж індустріального парку "Кривбас" на вул. Фабричній у м. Кривому Розі, Дніпропетровської області" 1 черга</x:v>
      </x:c>
      <x:c r="N239" s="15" t="str">
        <x:v>https://prozorro.gov.ua/tender/UA-2026-05-26-012254-a</x:v>
      </x:c>
    </x:row>
    <x:row r="240">
      <x:c r="A240" s="14" t="n">
        <x:v>236</x:v>
      </x:c>
      <x:c r="B240" s="14" t="str">
        <x:v>ФОП Сіора Ю.А.</x:v>
      </x:c>
      <x:c r="C240" s="14" t="str">
        <x:v>2691100315</x:v>
      </x:c>
      <x:c r="D240" s="14" t="str">
        <x:v>HVAC / ОВіК</x:v>
      </x:c>
      <x:c r="E240" s="14" t="str">
        <x:v>Pilot now</x:v>
      </x:c>
      <x:c r="F240" s="14" t="str">
        <x:v>I3</x:v>
      </x:c>
      <x:c r="G240" s="14" t="n">
        <x:v>51</x:v>
      </x:c>
      <x:c r="H240" s="14" t="n">
        <x:v>1</x:v>
      </x:c>
      <x:c r="I240" s="14" t="n">
        <x:v>1</x:v>
      </x:c>
      <x:c r="J240" s="18" t="n">
        <x:v>1447410</x:v>
      </x:c>
      <x:c r="K240" s="19" t="n">
        <x:v>46176.348150543985</x:v>
      </x:c>
      <x:c r="L240" s="19" t="n">
        <x:v>46265.5799537037</x:v>
      </x:c>
      <x:c r="M240" s="15" t="str">
        <x:v>Послуги з монтажу системи опалення в протирадіаційному укритті обліковий № 54633 закладу дошкільної освіти (ясла-садок) № 3 "Сонечко" Очаківської міської ради</x:v>
      </x:c>
      <x:c r="N240" s="15" t="str">
        <x:v>https://prozorro.gov.ua/tender/UA-2026-06-02-012733-a</x:v>
      </x:c>
    </x:row>
    <x:row r="241">
      <x:c r="A241" s="14" t="n">
        <x:v>237</x:v>
      </x:c>
      <x:c r="B241" s="14" t="str">
        <x:v>ТОВАРИСТВО З ОБМЕЖЕНОЮ ВІДПОВІДАЛЬНІСТЮ "ТЕХНОЕЛІТСЕРВІС"</x:v>
      </x:c>
      <x:c r="C241" s="14" t="str">
        <x:v>46150714</x:v>
      </x:c>
      <x:c r="D241" s="14" t="str">
        <x:v>Пожежогасіння</x:v>
      </x:c>
      <x:c r="E241" s="14" t="str">
        <x:v>Expansion discovery</x:v>
      </x:c>
      <x:c r="F241" s="14" t="str">
        <x:v>I3</x:v>
      </x:c>
      <x:c r="G241" s="14" t="n">
        <x:v>51</x:v>
      </x:c>
      <x:c r="H241" s="14" t="n">
        <x:v>1</x:v>
      </x:c>
      <x:c r="I241" s="14" t="n">
        <x:v>0</x:v>
      </x:c>
      <x:c r="J241" s="18" t="n">
        <x:v>331882.94</x:v>
      </x:c>
      <x:c r="K241" s="19" t="n">
        <x:v>46217.301470659724</x:v>
      </x:c>
      <x:c r="L241" s="19" t="n">
        <x:v>46244</x:v>
      </x:c>
      <x:c r="M241" s="15" t="str">
        <x:v>ДК 021:2015 45310000-3 Електромонтажні роботи    (Встановлення систем пожежної сигналізації (монтаж системи автоматичної пожежної сигналізації, системи оповіщення про пожежу та управління евакуацією людей, пусконалагоджувальні роботи)</x:v>
      </x:c>
      <x:c r="N241" s="15" t="str">
        <x:v>https://prozorro.gov.ua/tender/UA-2026-07-06-004840-a</x:v>
      </x:c>
    </x:row>
    <x:row r="242">
      <x:c r="A242" s="14" t="n">
        <x:v>238</x:v>
      </x:c>
      <x:c r="B242" s="14" t="str">
        <x:v>ФОП "ЛУТ ОЛЕГ ІГОРОВИЧ "</x:v>
      </x:c>
      <x:c r="C242" s="14" t="str">
        <x:v>3445311131</x:v>
      </x:c>
      <x:c r="D242" s="14" t="str">
        <x:v>Внутрішні сантехнічні системи</x:v>
      </x:c>
      <x:c r="E242" s="14" t="str">
        <x:v>Pilot now</x:v>
      </x:c>
      <x:c r="F242" s="14" t="str">
        <x:v>I3</x:v>
      </x:c>
      <x:c r="G242" s="14" t="n">
        <x:v>51</x:v>
      </x:c>
      <x:c r="H242" s="14" t="n">
        <x:v>2</x:v>
      </x:c>
      <x:c r="I242" s="14" t="n">
        <x:v>0</x:v>
      </x:c>
      <x:c r="J242" s="18" t="n">
        <x:v>1156806</x:v>
      </x:c>
      <x:c r="K242" s="19" t="n">
        <x:v>46192.492963854165</x:v>
      </x:c>
      <x:c r="L242" s="19" t="n">
        <x:v>46235</x:v>
      </x:c>
      <x:c r="M242" s="15" t="str">
        <x:v>Послуги з поточного ремонту кабінету фізики (заміна дверей, улаштування покриття з лінолеуму, улаштування підвісних стель, монтаж світильників led, прокладання трубопроводів опалення, водопостачання та каналізації, установлення опалювальних радіаторів) Роменської загальноосвітньої школи l- ll ступенів № 6 Роменської міської ради Сумської області, за адресою: вул. Всіхсвятська, 5, м. Ромни, Сумська область</x:v>
      </x:c>
      <x:c r="N242" s="15" t="str">
        <x:v>https://prozorro.gov.ua/tender/UA-2026-06-11-012067-a</x:v>
      </x:c>
    </x:row>
    <x:row r="243">
      <x:c r="A243" s="14" t="n">
        <x:v>239</x:v>
      </x:c>
      <x:c r="B243" s="14" t="str">
        <x:v>Державний регіональний проектно-вишукувальний інститут «УКРПІВДЕНДІПРО-ВОДГОСП»</x:v>
      </x:c>
      <x:c r="C243" s="14" t="str">
        <x:v>01037904</x:v>
      </x:c>
      <x:c r="D243" s="14" t="str">
        <x:v>Водоочищення / очисні споруди</x:v>
      </x:c>
      <x:c r="E243" s="14" t="str">
        <x:v>Expansion discovery</x:v>
      </x:c>
      <x:c r="F243" s="14" t="str">
        <x:v>I3</x:v>
      </x:c>
      <x:c r="G243" s="14" t="n">
        <x:v>50</x:v>
      </x:c>
      <x:c r="H243" s="14" t="n">
        <x:v>1</x:v>
      </x:c>
      <x:c r="I243" s="14" t="n">
        <x:v>1</x:v>
      </x:c>
      <x:c r="J243" s="18" t="n">
        <x:v>130852.88</x:v>
      </x:c>
      <x:c r="K243" s="19" t="n">
        <x:v>46161.321657291664</x:v>
      </x:c>
      <x:c r="L243" s="19" t="n">
        <x:v>46387.360763888886</x:v>
      </x:c>
      <x:c r="M243" s="15" t="str">
        <x:v>Проектні роботи з коригування проектно-кошторисної документації : «Реконструкція споруд фізико-механічної очистки стічних вод на очисних спорудах господарсько-побутової каналізації у м. Білгород - Дністровський Одеської області. Коригування»</x:v>
      </x:c>
      <x:c r="N243" s="15" t="str">
        <x:v>https://prozorro.gov.ua/tender/UA-2026-05-19-002841-a</x:v>
      </x:c>
    </x:row>
    <x:row r="244">
      <x:c r="A244" s="14" t="n">
        <x:v>240</x:v>
      </x:c>
      <x:c r="B244" s="14" t="str">
        <x:v>Приватне виробничо-комерційне підприємство "Авангард-Н"</x:v>
      </x:c>
      <x:c r="C244" s="14" t="str">
        <x:v>30759920</x:v>
      </x:c>
      <x:c r="D244" s="14" t="str">
        <x:v>Насосні станції</x:v>
      </x:c>
      <x:c r="E244" s="14" t="str">
        <x:v>Expansion discovery</x:v>
      </x:c>
      <x:c r="F244" s="14" t="str">
        <x:v>I3</x:v>
      </x:c>
      <x:c r="G244" s="14" t="n">
        <x:v>50</x:v>
      </x:c>
      <x:c r="H244" s="14" t="n">
        <x:v>1</x:v>
      </x:c>
      <x:c r="I244" s="14" t="n">
        <x:v>1</x:v>
      </x:c>
      <x:c r="J244" s="18" t="n">
        <x:v>7771583.88</x:v>
      </x:c>
      <x:c r="K244" s="19" t="n">
        <x:v>46104.59340543982</x:v>
      </x:c>
      <x:c r="L244" s="19" t="n">
        <x:v>46387.51422453704</x:v>
      </x:c>
      <x:c r="M244" s="15" t="str">
        <x:v>Реконструкція каналізаційної насосної станції з встановленням станції очистки стічних вод в с. Старе Село Сумського району, 45454000-4 «Реконструкція» за ДК 021:2015 Єдиного закупівельного словника</x:v>
      </x:c>
      <x:c r="N244" s="15" t="str">
        <x:v>https://prozorro.gov.ua/tender/UA-2026-02-24-008821-a</x:v>
      </x:c>
    </x:row>
    <x:row r="245">
      <x:c r="A245" s="14" t="n">
        <x:v>241</x:v>
      </x:c>
      <x:c r="B245" s="14" t="str">
        <x:v>ТзОВ "Фортуна -Іршава"</x:v>
      </x:c>
      <x:c r="C245" s="14" t="str">
        <x:v>32123649</x:v>
      </x:c>
      <x:c r="D245" s="14" t="str">
        <x:v>Газопостачання / котельні</x:v>
      </x:c>
      <x:c r="E245" s="14" t="str">
        <x:v>Expansion discovery</x:v>
      </x:c>
      <x:c r="F245" s="14" t="str">
        <x:v>I3</x:v>
      </x:c>
      <x:c r="G245" s="14" t="n">
        <x:v>50</x:v>
      </x:c>
      <x:c r="H245" s="14" t="n">
        <x:v>1</x:v>
      </x:c>
      <x:c r="I245" s="14" t="n">
        <x:v>1</x:v>
      </x:c>
      <x:c r="J245" s="18" t="n">
        <x:v>107754</x:v>
      </x:c>
      <x:c r="K245" s="19" t="n">
        <x:v>46143.383084988425</x:v>
      </x:c>
      <x:c r="L245" s="19" t="n">
        <x:v>46387.42493055556</x:v>
      </x:c>
      <x:c r="M245" s="15" t="str">
        <x:v>Монтаж резервного джерела напруги для резервного живлення існуючої мережі електропостачання будівлі котельні КНП "Іршавська міська лікарня" за адресою вул. Медична,16 м. Іршава.</x:v>
      </x:c>
      <x:c r="N245" s="15" t="str">
        <x:v>https://prozorro.gov.ua/tender/UA-2026-05-01-005468-a</x:v>
      </x:c>
    </x:row>
    <x:row r="246">
      <x:c r="A246" s="14" t="n">
        <x:v>242</x:v>
      </x:c>
      <x:c r="B246" s="14" t="str">
        <x:v>ТОВ МКМ СЕРВІС ЛТД</x:v>
      </x:c>
      <x:c r="C246" s="14" t="str">
        <x:v>36444694</x:v>
      </x:c>
      <x:c r="D246" s="14" t="str">
        <x:v>ВОЛЗ / телеком</x:v>
      </x:c>
      <x:c r="E246" s="14" t="str">
        <x:v>Expansion discovery</x:v>
      </x:c>
      <x:c r="F246" s="14" t="str">
        <x:v>I3</x:v>
      </x:c>
      <x:c r="G246" s="14" t="n">
        <x:v>50</x:v>
      </x:c>
      <x:c r="H246" s="14" t="n">
        <x:v>1</x:v>
      </x:c>
      <x:c r="I246" s="14" t="n">
        <x:v>1</x:v>
      </x:c>
      <x:c r="J246" s="18" t="n">
        <x:v>6828497.65</x:v>
      </x:c>
      <x:c r="K246" s="19" t="n">
        <x:v>46036.33356778935</x:v>
      </x:c>
      <x:c r="L246" s="19" t="n">
        <x:v>46265</x:v>
      </x:c>
      <x:c r="M246" s="15" t="str">
        <x:v>Реконструкція зв’язку шляхом побудови ВОЛЗ від адмінбудівлі НЕК «Укренерго» до ПС 330 кВ «Північна» (інв. № новий). м. Київ та Київська область. І черга будівництва 45454000-4 Реконструкція</x:v>
      </x:c>
      <x:c r="N246" s="15" t="str">
        <x:v>https://prozorro.gov.ua/tender/UA-2025-12-15-005738-a</x:v>
      </x:c>
    </x:row>
    <x:row r="247">
      <x:c r="A247" s="14" t="n">
        <x:v>243</x:v>
      </x:c>
      <x:c r="B247" s="14" t="str">
        <x:v>ТОВАРИСТВО З ОБМЕЖЕНОЮ ВІДПОВІДАЛЬНІСТЮ "АКВАТЕРМ СЕРВІС"</x:v>
      </x:c>
      <x:c r="C247" s="14" t="str">
        <x:v>42121538</x:v>
      </x:c>
      <x:c r="D247" s="14" t="str">
        <x:v>Насосні станції</x:v>
      </x:c>
      <x:c r="E247" s="14" t="str">
        <x:v>Expansion discovery</x:v>
      </x:c>
      <x:c r="F247" s="14" t="str">
        <x:v>I3</x:v>
      </x:c>
      <x:c r="G247" s="14" t="n">
        <x:v>50</x:v>
      </x:c>
      <x:c r="H247" s="14" t="n">
        <x:v>1</x:v>
      </x:c>
      <x:c r="I247" s="14" t="n">
        <x:v>1</x:v>
      </x:c>
      <x:c r="J247" s="18" t="n">
        <x:v>104765</x:v>
      </x:c>
      <x:c r="K247" s="19" t="n">
        <x:v>46184.5446693287</x:v>
      </x:c>
      <x:c r="L247" s="19" t="n">
        <x:v>46387</x:v>
      </x:c>
      <x:c r="M247" s="15" t="str">
        <x:v>Коригування проектно-кошторисної документації по об'єкту: "Реконструкція каналізаційної насосної станції "Інститут" за адресою: вул. Чуднівська, 109 в м.Житомир" (коригування)</x:v>
      </x:c>
      <x:c r="N247" s="15" t="str">
        <x:v>https://prozorro.gov.ua/tender/UA-2026-06-11-011496-a</x:v>
      </x:c>
    </x:row>
    <x:row r="248">
      <x:c r="A248" s="14" t="n">
        <x:v>244</x:v>
      </x:c>
      <x:c r="B248" s="14" t="str">
        <x:v>ТОВАРИСТВО З ОБМЕЖЕНОЮ ВІДПОВІДАЛЬНІСТЮ "ВЕКТОР ЛТД"</x:v>
      </x:c>
      <x:c r="C248" s="14" t="str">
        <x:v>16401209</x:v>
      </x:c>
      <x:c r="D248" s="14" t="str">
        <x:v>Безпека / СКУД / CCTV</x:v>
      </x:c>
      <x:c r="E248" s="14" t="str">
        <x:v>Expansion discovery</x:v>
      </x:c>
      <x:c r="F248" s="14" t="str">
        <x:v>I3</x:v>
      </x:c>
      <x:c r="G248" s="14" t="n">
        <x:v>50</x:v>
      </x:c>
      <x:c r="H248" s="14" t="n">
        <x:v>1</x:v>
      </x:c>
      <x:c r="I248" s="14" t="n">
        <x:v>1</x:v>
      </x:c>
      <x:c r="J248" s="18" t="n">
        <x:v>117567</x:v>
      </x:c>
      <x:c r="K248" s="19" t="n">
        <x:v>46156.44319990741</x:v>
      </x:c>
      <x:c r="L248" s="19" t="n">
        <x:v>46387</x:v>
      </x:c>
      <x:c r="M248" s="15" t="str">
        <x:v>Роботи з монтажу та пусконалагоджувальних робіт системи контролю доступом до адмін будівлі</x:v>
      </x:c>
      <x:c r="N248" s="15" t="str">
        <x:v>https://prozorro.gov.ua/tender/UA-2026-05-14-007547-a</x:v>
      </x:c>
    </x:row>
    <x:row r="249">
      <x:c r="A249" s="14" t="n">
        <x:v>245</x:v>
      </x:c>
      <x:c r="B249" s="14" t="str">
        <x:v>ТОВАРИСТВО З ОБМЕЖЕНОЮ ВІДПОВІДАЛЬНІСТЮ "ГЕНПРОЕКТ"</x:v>
      </x:c>
      <x:c r="C249" s="14" t="str">
        <x:v>40446598</x:v>
      </x:c>
      <x:c r="D249" s="14" t="str">
        <x:v>Насосні станції</x:v>
      </x:c>
      <x:c r="E249" s="14" t="str">
        <x:v>Expansion discovery</x:v>
      </x:c>
      <x:c r="F249" s="14" t="str">
        <x:v>I3</x:v>
      </x:c>
      <x:c r="G249" s="14" t="n">
        <x:v>50</x:v>
      </x:c>
      <x:c r="H249" s="14" t="n">
        <x:v>1</x:v>
      </x:c>
      <x:c r="I249" s="14" t="n">
        <x:v>1</x:v>
      </x:c>
      <x:c r="J249" s="18" t="n">
        <x:v>419604</x:v>
      </x:c>
      <x:c r="K249" s="19" t="n">
        <x:v>46211.424239050924</x:v>
      </x:c>
      <x:c r="L249" s="19" t="n">
        <x:v>46326</x:v>
      </x:c>
      <x:c r="M249" s="15" t="str">
        <x:v>Коригування робочого проекту «Реконструкція систем водопостачання і водовідведення м. Дніпро. Насосна станція водовідведення №69. Коригування» (Код ДК 021:2015 71320000-7 Послуги з інженерного проектування)</x:v>
      </x:c>
      <x:c r="N249" s="15" t="str">
        <x:v>https://prozorro.gov.ua/tender/UA-2026-07-08-005569-a</x:v>
      </x:c>
    </x:row>
    <x:row r="250">
      <x:c r="A250" s="14" t="n">
        <x:v>246</x:v>
      </x:c>
      <x:c r="B250" s="14" t="str">
        <x:v>Товариство з обмеженою відповідальністю "ОМЕГА ВЕСТ ТРЕЙД"</x:v>
      </x:c>
      <x:c r="C250" s="14" t="str">
        <x:v>42418604</x:v>
      </x:c>
      <x:c r="D250" s="14" t="str">
        <x:v>Водоочищення / очисні споруди</x:v>
      </x:c>
      <x:c r="E250" s="14" t="str">
        <x:v>Expansion discovery</x:v>
      </x:c>
      <x:c r="F250" s="14" t="str">
        <x:v>I3</x:v>
      </x:c>
      <x:c r="G250" s="14" t="n">
        <x:v>50</x:v>
      </x:c>
      <x:c r="H250" s="14" t="n">
        <x:v>1</x:v>
      </x:c>
      <x:c r="I250" s="14" t="n">
        <x:v>1</x:v>
      </x:c>
      <x:c r="J250" s="18" t="n">
        <x:v>149520</x:v>
      </x:c>
      <x:c r="K250" s="19" t="n">
        <x:v>46199.34114405092</x:v>
      </x:c>
      <x:c r="L250" s="19" t="n">
        <x:v>46387.3846412037</x:v>
      </x:c>
      <x:c r="M250" s="15" t="str">
        <x:v>Авторський нагляд (надалі-"Роботи") по об'єкту: "Реконструкція очисних споруд каналізації по вул. Конюшківська, 66 в м.Броди Бродівської територіальної громади Золочівського району Львівської області" " ІІ черга будівництва (коригування)</x:v>
      </x:c>
      <x:c r="N250" s="15" t="str">
        <x:v>https://prozorro.gov.ua/tender/UA-2026-06-26-003479-a</x:v>
      </x:c>
    </x:row>
    <x:row r="251">
      <x:c r="A251" s="14" t="n">
        <x:v>247</x:v>
      </x:c>
      <x:c r="B251" s="14" t="str">
        <x:v>Товариство з обмеженою відповідальністю «Будбетон Сервіс»</x:v>
      </x:c>
      <x:c r="C251" s="14" t="str">
        <x:v>39067062</x:v>
      </x:c>
      <x:c r="D251" s="14" t="str">
        <x:v>HVAC / ОВіК</x:v>
      </x:c>
      <x:c r="E251" s="14" t="str">
        <x:v>Pilot now</x:v>
      </x:c>
      <x:c r="F251" s="14" t="str">
        <x:v>I3</x:v>
      </x:c>
      <x:c r="G251" s="14" t="n">
        <x:v>50</x:v>
      </x:c>
      <x:c r="H251" s="14" t="n">
        <x:v>1</x:v>
      </x:c>
      <x:c r="I251" s="14" t="n">
        <x:v>1</x:v>
      </x:c>
      <x:c r="J251" s="18" t="n">
        <x:v>150881</x:v>
      </x:c>
      <x:c r="K251" s="19" t="n">
        <x:v>46178.49249604167</x:v>
      </x:c>
      <x:c r="L251" s="19" t="n">
        <x:v>46387.53518518519</x:v>
      </x:c>
      <x:c r="M251" s="15" t="str">
        <x:v>Поточний ремонт приміщення харчоблоку (монтаж системи вентиляції-) ОЗО "ЗАГАЛЬЦІВСЬКИЙ ЛІЦЕЙ” БСР КИЇВСЬКОЇ ОБЛАСТІ за адресою: вул. НЕЗАЛЕЖНОСТІ, 140А, село Загальці, Київської області</x:v>
      </x:c>
      <x:c r="N251" s="15" t="str">
        <x:v>https://prozorro.gov.ua/tender/UA-2026-06-05-009222-a</x:v>
      </x:c>
    </x:row>
    <x:row r="252">
      <x:c r="A252" s="14" t="n">
        <x:v>248</x:v>
      </x:c>
      <x:c r="B252" s="14" t="str">
        <x:v>ТОВАРИСТВО З ОБМЕЖЕНОЮ ВІД­ПО­ВІД­АЛЬ­НІ­СТЮ «КРАТОС ПОЖЕЖНА ОХОРОНА»</x:v>
      </x:c>
      <x:c r="C252" s="14" t="str">
        <x:v>44229483</x:v>
      </x:c>
      <x:c r="D252" s="14" t="str">
        <x:v>Пожежогасіння</x:v>
      </x:c>
      <x:c r="E252" s="14" t="str">
        <x:v>Expansion discovery</x:v>
      </x:c>
      <x:c r="F252" s="14" t="str">
        <x:v>I3</x:v>
      </x:c>
      <x:c r="G252" s="14" t="n">
        <x:v>50</x:v>
      </x:c>
      <x:c r="H252" s="14" t="n">
        <x:v>1</x:v>
      </x:c>
      <x:c r="I252" s="14" t="n">
        <x:v>1</x:v>
      </x:c>
      <x:c r="J252" s="18" t="n">
        <x:v>179394.48</x:v>
      </x:c>
      <x:c r="K252" s="19" t="n">
        <x:v>46205.501769236114</x:v>
      </x:c>
      <x:c r="L252" s="19" t="n">
        <x:v>46265</x:v>
      </x:c>
      <x:c r="M252" s="15" t="str">
        <x:v>Монтаж системи пожежної сигналізації внутрішніх приміщень будинку за адресою: вул. Помірки, 27 в місті Харкові</x:v>
      </x:c>
      <x:c r="N252" s="15" t="str">
        <x:v>https://prozorro.gov.ua/tender/UA-2026-07-02-007340-a</x:v>
      </x:c>
    </x:row>
    <x:row r="253">
      <x:c r="A253" s="14" t="n">
        <x:v>249</x:v>
      </x:c>
      <x:c r="B253" s="14" t="str">
        <x:v>ДНІПРОВСЬКА ФІЛІЯ ДЕРЖАВНОГО ПІДПРИЄМСТВА "ДЕРЖАВНИЙ НАУКОВО-ДОСЛІДНИЙ ТА ПРОЕКТНО-ВИШУКУВАЛЬНИЙ ІНСТИТУТ "НДІПРОЕКТРЕКОНСТРУКЦІЯ"</x:v>
      </x:c>
      <x:c r="C253" s="14" t="str">
        <x:v>03328965</x:v>
      </x:c>
      <x:c r="D253" s="14" t="str">
        <x:v>Зовнішні мережі</x:v>
      </x:c>
      <x:c r="E253" s="14" t="str">
        <x:v>Expansion discovery</x:v>
      </x:c>
      <x:c r="F253" s="14" t="str">
        <x:v>I3</x:v>
      </x:c>
      <x:c r="G253" s="14" t="n">
        <x:v>50</x:v>
      </x:c>
      <x:c r="H253" s="14" t="n">
        <x:v>2</x:v>
      </x:c>
      <x:c r="I253" s="14" t="n">
        <x:v>0</x:v>
      </x:c>
      <x:c r="J253" s="18" t="n">
        <x:v>138688.69</x:v>
      </x:c>
      <x:c r="K253" s="19" t="n">
        <x:v>46155.56610253472</x:v>
      </x:c>
      <x:c r="L253" s="19" t="n">
        <x:v>46185</x:v>
      </x:c>
      <x:c r="M253" s="15" t="str">
        <x:v>Роботи на виконання експертизи проєктно-кошторисної документації: “Нове будівництво зовнішніх інженерних мереж електропостачання, військове містечко № 25, с. Старичі, Львівська обл.”</x:v>
      </x:c>
      <x:c r="N253" s="15" t="str">
        <x:v>https://prozorro.gov.ua/tender/UA-2026-05-13-012248-a</x:v>
      </x:c>
    </x:row>
    <x:row r="254">
      <x:c r="A254" s="14" t="n">
        <x:v>250</x:v>
      </x:c>
      <x:c r="B254" s="14" t="str">
        <x:v>БОДУ ДАНІЕЛЬ ЖАКОВИЧ</x:v>
      </x:c>
      <x:c r="C254" s="14" t="str">
        <x:v>3493403975</x:v>
      </x:c>
      <x:c r="D254" s="14" t="str">
        <x:v>Сонячна енергетика</x:v>
      </x:c>
      <x:c r="E254" s="14" t="str">
        <x:v>Expansion discovery</x:v>
      </x:c>
      <x:c r="F254" s="14" t="str">
        <x:v>I3</x:v>
      </x:c>
      <x:c r="G254" s="14" t="n">
        <x:v>49</x:v>
      </x:c>
      <x:c r="H254" s="14" t="n">
        <x:v>1</x:v>
      </x:c>
      <x:c r="I254" s="14" t="n">
        <x:v>1</x:v>
      </x:c>
      <x:c r="J254" s="18" t="n">
        <x:v>54361.13</x:v>
      </x:c>
      <x:c r="K254" s="19" t="n">
        <x:v>46252.3238228125</x:v>
      </x:c>
      <x:c r="L254" s="19" t="n">
        <x:v>46265</x:v>
      </x:c>
      <x:c r="M254" s="15" t="str">
        <x:v>Монтаж і пусконалагоджувальні роботи сонячної електростанції </x:v>
      </x:c>
      <x:c r="N254" s="15" t="str">
        <x:v>https://prozorro.gov.ua/tender/UA-2026-08-18-002619-a</x:v>
      </x:c>
    </x:row>
    <x:row r="255">
      <x:c r="A255" s="14" t="n">
        <x:v>251</x:v>
      </x:c>
      <x:c r="B255" s="14" t="str">
        <x:v>Бурков Віталій Анатолійович</x:v>
      </x:c>
      <x:c r="C255" s="14" t="str">
        <x:v>2828322593</x:v>
      </x:c>
      <x:c r="D255" s="14" t="str">
        <x:v>Пожежогасіння</x:v>
      </x:c>
      <x:c r="E255" s="14" t="str">
        <x:v>Expansion discovery</x:v>
      </x:c>
      <x:c r="F255" s="14" t="str">
        <x:v>I3</x:v>
      </x:c>
      <x:c r="G255" s="14" t="n">
        <x:v>49</x:v>
      </x:c>
      <x:c r="H255" s="14" t="n">
        <x:v>1</x:v>
      </x:c>
      <x:c r="I255" s="14" t="n">
        <x:v>1</x:v>
      </x:c>
      <x:c r="J255" s="18" t="n">
        <x:v>49956</x:v>
      </x:c>
      <x:c r="K255" s="19" t="n">
        <x:v>46213.349758993056</x:v>
      </x:c>
      <x:c r="L255" s="19" t="n">
        <x:v>46387</x:v>
      </x:c>
      <x:c r="M255" s="15" t="str">
        <x:v>Послуги з проектування, монтажу та пусконалагодження системи пожежної сигналізації, оповіщення про пожежу та управління евакуацією людей</x:v>
      </x:c>
      <x:c r="N255" s="15" t="str">
        <x:v>https://prozorro.gov.ua/tender/UA-2026-07-10-003474-a</x:v>
      </x:c>
    </x:row>
    <x:row r="256">
      <x:c r="A256" s="14" t="n">
        <x:v>252</x:v>
      </x:c>
      <x:c r="B256" s="14" t="str">
        <x:v>ГАРБУЗ ОЛЕНА МИКОЛАЇВНА</x:v>
      </x:c>
      <x:c r="C256" s="14" t="str">
        <x:v>2602716885</x:v>
      </x:c>
      <x:c r="D256" s="14" t="str">
        <x:v>Промисловий холод</x:v>
      </x:c>
      <x:c r="E256" s="14" t="str">
        <x:v>Expansion discovery</x:v>
      </x:c>
      <x:c r="F256" s="14" t="str">
        <x:v>I3</x:v>
      </x:c>
      <x:c r="G256" s="14" t="n">
        <x:v>49</x:v>
      </x:c>
      <x:c r="H256" s="14" t="n">
        <x:v>1</x:v>
      </x:c>
      <x:c r="I256" s="14" t="n">
        <x:v>1</x:v>
      </x:c>
      <x:c r="J256" s="18" t="n">
        <x:v>41025</x:v>
      </x:c>
      <x:c r="K256" s="19" t="n">
        <x:v>46248.34964133102</x:v>
      </x:c>
      <x:c r="L256" s="19" t="n">
        <x:v>46264</x:v>
      </x:c>
      <x:c r="M256" s="15" t="str">
        <x:v>Послуги монтажу холодильного обладнання  згідно коду ДК 021: 2015: 50730000-1 Послуги з ремонту і технічного обслуговування охолоджувальних установок.</x:v>
      </x:c>
      <x:c r="N256" s="15" t="str">
        <x:v>https://prozorro.gov.ua/tender/UA-2026-08-14-003644-a</x:v>
      </x:c>
    </x:row>
    <x:row r="257">
      <x:c r="A257" s="14" t="n">
        <x:v>253</x:v>
      </x:c>
      <x:c r="B257" s="14" t="str">
        <x:v>Геба Володимир Антонович</x:v>
      </x:c>
      <x:c r="C257" s="14" t="str">
        <x:v>3079916295</x:v>
      </x:c>
      <x:c r="D257" s="14" t="str">
        <x:v>HVAC / ОВіК</x:v>
      </x:c>
      <x:c r="E257" s="14" t="str">
        <x:v>Pilot now</x:v>
      </x:c>
      <x:c r="F257" s="14" t="str">
        <x:v>I3</x:v>
      </x:c>
      <x:c r="G257" s="14" t="n">
        <x:v>49</x:v>
      </x:c>
      <x:c r="H257" s="14" t="n">
        <x:v>1</x:v>
      </x:c>
      <x:c r="I257" s="14" t="n">
        <x:v>1</x:v>
      </x:c>
      <x:c r="J257" s="18" t="n">
        <x:v>23376.62</x:v>
      </x:c>
      <x:c r="K257" s="19" t="n">
        <x:v>46237.34082188657</x:v>
      </x:c>
      <x:c r="L257" s="19" t="n">
        <x:v>46258.34303240741</x:v>
      </x:c>
      <x:c r="M257" s="15" t="str">
        <x:v>Послуги з поточного ремонту системи опалення (демонтаж, монтаж радіаторів системи опалення)</x:v>
      </x:c>
      <x:c r="N257" s="15" t="str">
        <x:v>https://prozorro.gov.ua/tender/UA-2026-08-03-002707-a</x:v>
      </x:c>
    </x:row>
    <x:row r="258">
      <x:c r="A258" s="14" t="n">
        <x:v>254</x:v>
      </x:c>
      <x:c r="B258" s="14" t="str">
        <x:v>ГУЗАР ІГОР МИРОСЛАВОВИЧ</x:v>
      </x:c>
      <x:c r="C258" s="14" t="str">
        <x:v>2433815510</x:v>
      </x:c>
      <x:c r="D258" s="14" t="str">
        <x:v>Електромонтаж</x:v>
      </x:c>
      <x:c r="E258" s="14" t="str">
        <x:v>Pilot now</x:v>
      </x:c>
      <x:c r="F258" s="14" t="str">
        <x:v>I3</x:v>
      </x:c>
      <x:c r="G258" s="14" t="n">
        <x:v>49</x:v>
      </x:c>
      <x:c r="H258" s="14" t="n">
        <x:v>1</x:v>
      </x:c>
      <x:c r="I258" s="14" t="n">
        <x:v>1</x:v>
      </x:c>
      <x:c r="J258" s="18" t="n">
        <x:v>6000</x:v>
      </x:c>
      <x:c r="K258" s="19" t="n">
        <x:v>46244.24487738426</x:v>
      </x:c>
      <x:c r="L258" s="19" t="n">
        <x:v>46387</x:v>
      </x:c>
      <x:c r="M258" s="15" t="str">
        <x:v>Електромонтажні роботи</x:v>
      </x:c>
      <x:c r="N258" s="15" t="str">
        <x:v>https://prozorro.gov.ua/tender/UA-2026-08-10-000273-a</x:v>
      </x:c>
    </x:row>
    <x:row r="259">
      <x:c r="A259" s="14" t="n">
        <x:v>255</x:v>
      </x:c>
      <x:c r="B259" s="14" t="str">
        <x:v>ІЗЮМСЬКА СВІТЛАНА ОЛЕКСАНДРІВНА</x:v>
      </x:c>
      <x:c r="C259" s="14" t="str">
        <x:v>2931010984</x:v>
      </x:c>
      <x:c r="D259" s="14" t="str">
        <x:v>Безпека / СКУД / CCTV</x:v>
      </x:c>
      <x:c r="E259" s="14" t="str">
        <x:v>Expansion discovery</x:v>
      </x:c>
      <x:c r="F259" s="14" t="str">
        <x:v>I3</x:v>
      </x:c>
      <x:c r="G259" s="14" t="n">
        <x:v>49</x:v>
      </x:c>
      <x:c r="H259" s="14" t="n">
        <x:v>1</x:v>
      </x:c>
      <x:c r="I259" s="14" t="n">
        <x:v>1</x:v>
      </x:c>
      <x:c r="J259" s="18" t="n">
        <x:v>41933</x:v>
      </x:c>
      <x:c r="K259" s="19" t="n">
        <x:v>46246.51809078704</x:v>
      </x:c>
      <x:c r="L259" s="19" t="n">
        <x:v>46265</x:v>
      </x:c>
      <x:c r="M259" s="15" t="str">
        <x:v>послуги з монтажу, установки системи відеоспостереження</x:v>
      </x:c>
      <x:c r="N259" s="15" t="str">
        <x:v>https://prozorro.gov.ua/tender/UA-2026-08-12-008644-a</x:v>
      </x:c>
    </x:row>
    <x:row r="260">
      <x:c r="A260" s="14" t="n">
        <x:v>256</x:v>
      </x:c>
      <x:c r="B260" s="14" t="str">
        <x:v>КАРПЕНКО СЕРГІЙ МИКОЛАЙОВИЧ</x:v>
      </x:c>
      <x:c r="C260" s="14" t="str">
        <x:v>2821711877</x:v>
      </x:c>
      <x:c r="D260" s="14" t="str">
        <x:v>Водоочищення / очисні споруди</x:v>
      </x:c>
      <x:c r="E260" s="14" t="str">
        <x:v>Expansion discovery</x:v>
      </x:c>
      <x:c r="F260" s="14" t="str">
        <x:v>I3</x:v>
      </x:c>
      <x:c r="G260" s="14" t="n">
        <x:v>49</x:v>
      </x:c>
      <x:c r="H260" s="14" t="n">
        <x:v>1</x:v>
      </x:c>
      <x:c r="I260" s="14" t="n">
        <x:v>1</x:v>
      </x:c>
      <x:c r="J260" s="18" t="n">
        <x:v>13650</x:v>
      </x:c>
      <x:c r="K260" s="19" t="n">
        <x:v>46217.56952267361</x:v>
      </x:c>
      <x:c r="L260" s="19" t="n">
        <x:v>46387</x:v>
      </x:c>
      <x:c r="M260" s="15" t="str">
        <x:v>71240000-2 Архітектурні, інженерні та планувальні послуги (Авторський нагляд на об’єкті: "Реконструкція ПЛ-10кВ №23 "Технікум" для електропостачання каналізаційних очисних споруд Виконавчого комітету Немішаївської селищної ради с. Микуличі Бучанського району, Київської області кад. № 3221085500:05:001:0416" друга черга)</x:v>
      </x:c>
      <x:c r="N260" s="15" t="str">
        <x:v>https://prozorro.gov.ua/tender/UA-2026-07-14-011049-a</x:v>
      </x:c>
    </x:row>
    <x:row r="261">
      <x:c r="A261" s="14" t="n">
        <x:v>257</x:v>
      </x:c>
      <x:c r="B261" s="14" t="str">
        <x:v>КОЧНОВ ОЛЕКСАНДР АНАТОЛІЙОВИЧ</x:v>
      </x:c>
      <x:c r="C261" s="14" t="str">
        <x:v>3210001651</x:v>
      </x:c>
      <x:c r="D261" s="14" t="str">
        <x:v>Електромонтаж</x:v>
      </x:c>
      <x:c r="E261" s="14" t="str">
        <x:v>Pilot now</x:v>
      </x:c>
      <x:c r="F261" s="14" t="str">
        <x:v>I3</x:v>
      </x:c>
      <x:c r="G261" s="14" t="n">
        <x:v>49</x:v>
      </x:c>
      <x:c r="H261" s="14" t="n">
        <x:v>1</x:v>
      </x:c>
      <x:c r="I261" s="14" t="n">
        <x:v>1</x:v>
      </x:c>
      <x:c r="J261" s="18" t="n">
        <x:v>6000</x:v>
      </x:c>
      <x:c r="K261" s="19" t="n">
        <x:v>46230.49473087963</x:v>
      </x:c>
      <x:c r="L261" s="19" t="n">
        <x:v>46387</x:v>
      </x:c>
      <x:c r="M261" s="15" t="str">
        <x:v>Електромонтажні роботи</x:v>
      </x:c>
      <x:c r="N261" s="15" t="str">
        <x:v>https://prozorro.gov.ua/tender/UA-2026-07-27-007322-a</x:v>
      </x:c>
    </x:row>
    <x:row r="262">
      <x:c r="A262" s="14" t="n">
        <x:v>258</x:v>
      </x:c>
      <x:c r="B262" s="14" t="str">
        <x:v>КРАВЦОВ ЯКІВ ОЛЕГОВИЧ</x:v>
      </x:c>
      <x:c r="C262" s="14" t="str">
        <x:v>3179623274</x:v>
      </x:c>
      <x:c r="D262" s="14" t="str">
        <x:v>Насосні станції</x:v>
      </x:c>
      <x:c r="E262" s="14" t="str">
        <x:v>Expansion discovery</x:v>
      </x:c>
      <x:c r="F262" s="14" t="str">
        <x:v>I3</x:v>
      </x:c>
      <x:c r="G262" s="14" t="n">
        <x:v>49</x:v>
      </x:c>
      <x:c r="H262" s="14" t="n">
        <x:v>1</x:v>
      </x:c>
      <x:c r="I262" s="14" t="n">
        <x:v>1</x:v>
      </x:c>
      <x:c r="J262" s="18" t="n">
        <x:v>20000</x:v>
      </x:c>
      <x:c r="K262" s="19" t="n">
        <x:v>46244.38618738426</x:v>
      </x:c>
      <x:c r="L262" s="19" t="n">
        <x:v>46265</x:v>
      </x:c>
      <x:c r="M262" s="15" t="str">
        <x:v>Контрольне геодезичне знімання на обʼєкті : «Реконструкція каналізаційної насосної станції в смт. Шкло по вул.Богдана Слободи, 1Новояворівська ТГ Яворівського району Львівської області»</x:v>
      </x:c>
      <x:c r="N262" s="15" t="str">
        <x:v>https://prozorro.gov.ua/tender/UA-2026-08-10-004259-a</x:v>
      </x:c>
    </x:row>
    <x:row r="263">
      <x:c r="A263" s="14" t="n">
        <x:v>259</x:v>
      </x:c>
      <x:c r="B263" s="14" t="str">
        <x:v>КРАВЧЕНКО ЯНА ЮРІЇВНА</x:v>
      </x:c>
      <x:c r="C263" s="14" t="str">
        <x:v>3290016085</x:v>
      </x:c>
      <x:c r="D263" s="14" t="str">
        <x:v>Сонячна енергетика</x:v>
      </x:c>
      <x:c r="E263" s="14" t="str">
        <x:v>Expansion discovery</x:v>
      </x:c>
      <x:c r="F263" s="14" t="str">
        <x:v>I3</x:v>
      </x:c>
      <x:c r="G263" s="14" t="n">
        <x:v>49</x:v>
      </x:c>
      <x:c r="H263" s="14" t="n">
        <x:v>1</x:v>
      </x:c>
      <x:c r="I263" s="14" t="n">
        <x:v>1</x:v>
      </x:c>
      <x:c r="J263" s="18" t="n">
        <x:v>74848.95</x:v>
      </x:c>
      <x:c r="K263" s="19" t="n">
        <x:v>46253.48302172454</x:v>
      </x:c>
      <x:c r="L263" s="19" t="n">
        <x:v>46387</x:v>
      </x:c>
      <x:c r="M263" s="15" t="str">
        <x:v>послуги з монтажу та підключення сонячної електростанції(СЕС)</x:v>
      </x:c>
      <x:c r="N263" s="15" t="str">
        <x:v>https://prozorro.gov.ua/tender/UA-2026-08-19-008273-a</x:v>
      </x:c>
    </x:row>
    <x:row r="264">
      <x:c r="A264" s="14" t="n">
        <x:v>260</x:v>
      </x:c>
      <x:c r="B264" s="14" t="str">
        <x:v>КРЕПС КОСТЯНТИН ЛЕОНІДОВИЧ</x:v>
      </x:c>
      <x:c r="C264" s="14" t="str">
        <x:v>3101901393</x:v>
      </x:c>
      <x:c r="D264" s="14" t="str">
        <x:v>HVAC / ОВіК</x:v>
      </x:c>
      <x:c r="E264" s="14" t="str">
        <x:v>Pilot now</x:v>
      </x:c>
      <x:c r="F264" s="14" t="str">
        <x:v>I3</x:v>
      </x:c>
      <x:c r="G264" s="14" t="n">
        <x:v>49</x:v>
      </x:c>
      <x:c r="H264" s="14" t="n">
        <x:v>1</x:v>
      </x:c>
      <x:c r="I264" s="14" t="n">
        <x:v>1</x:v>
      </x:c>
      <x:c r="J264" s="18" t="n">
        <x:v>16992</x:v>
      </x:c>
      <x:c r="K264" s="19" t="n">
        <x:v>46219.391331203704</x:v>
      </x:c>
      <x:c r="L264" s="19" t="n">
        <x:v>46387</x:v>
      </x:c>
      <x:c r="M264" s="15" t="str">
        <x:v>Послуги з монтажу системи кондиціонування та вентиляції</x:v>
      </x:c>
      <x:c r="N264" s="15" t="str">
        <x:v>https://prozorro.gov.ua/tender/UA-2026-07-16-004547-a</x:v>
      </x:c>
    </x:row>
    <x:row r="265">
      <x:c r="A265" s="14" t="n">
        <x:v>261</x:v>
      </x:c>
      <x:c r="B265" s="14" t="str">
        <x:v>КУЗИК РУСЛАН ВАСИЛЬОВИЧ</x:v>
      </x:c>
      <x:c r="C265" s="14" t="str">
        <x:v>3315410237</x:v>
      </x:c>
      <x:c r="D265" s="14" t="str">
        <x:v>Безпека / СКУД / CCTV</x:v>
      </x:c>
      <x:c r="E265" s="14" t="str">
        <x:v>Expansion discovery</x:v>
      </x:c>
      <x:c r="F265" s="14" t="str">
        <x:v>I3</x:v>
      </x:c>
      <x:c r="G265" s="14" t="n">
        <x:v>49</x:v>
      </x:c>
      <x:c r="H265" s="14" t="n">
        <x:v>1</x:v>
      </x:c>
      <x:c r="I265" s="14" t="n">
        <x:v>1</x:v>
      </x:c>
      <x:c r="J265" s="18" t="n">
        <x:v>29735</x:v>
      </x:c>
      <x:c r="K265" s="19" t="n">
        <x:v>46240.683941585645</x:v>
      </x:c>
      <x:c r="L265" s="19" t="n">
        <x:v>46265</x:v>
      </x:c>
      <x:c r="M265" s="15" t="str">
        <x:v>Послуги зі встановлення, монтажу та налаштування системи відеоспостереження в ЗДО</x:v>
      </x:c>
      <x:c r="N265" s="15" t="str">
        <x:v>https://prozorro.gov.ua/tender/UA-2026-08-06-011736-a</x:v>
      </x:c>
    </x:row>
    <x:row r="266">
      <x:c r="A266" s="14" t="n">
        <x:v>262</x:v>
      </x:c>
      <x:c r="B266" s="14" t="str">
        <x:v>КУЧЕРЕНКО МИХАЙЛО ОЛЕКСАНДРОВИЧ</x:v>
      </x:c>
      <x:c r="C266" s="14" t="str">
        <x:v>2885301995</x:v>
      </x:c>
      <x:c r="D266" s="14" t="str">
        <x:v>HVAC / ОВіК</x:v>
      </x:c>
      <x:c r="E266" s="14" t="str">
        <x:v>Pilot now</x:v>
      </x:c>
      <x:c r="F266" s="14" t="str">
        <x:v>I3</x:v>
      </x:c>
      <x:c r="G266" s="14" t="n">
        <x:v>49</x:v>
      </x:c>
      <x:c r="H266" s="14" t="n">
        <x:v>1</x:v>
      </x:c>
      <x:c r="I266" s="14" t="n">
        <x:v>1</x:v>
      </x:c>
      <x:c r="J266" s="18" t="n">
        <x:v>21837.42</x:v>
      </x:c>
      <x:c r="K266" s="19" t="n">
        <x:v>46225.32407886574</x:v>
      </x:c>
      <x:c r="L266" s="19" t="n">
        <x:v>46387</x:v>
      </x:c>
      <x:c r="M266" s="15" t="str">
        <x:v>Послуги з монтажу радіатора, насосу до системи опалення та зливного механізму</x:v>
      </x:c>
      <x:c r="N266" s="15" t="str">
        <x:v>https://prozorro.gov.ua/tender/UA-2026-07-22-002387-a</x:v>
      </x:c>
    </x:row>
    <x:row r="267">
      <x:c r="A267" s="14" t="n">
        <x:v>263</x:v>
      </x:c>
      <x:c r="B267" s="14" t="str">
        <x:v>Макаров Сергій Вадимович</x:v>
      </x:c>
      <x:c r="C267" s="14" t="str">
        <x:v>2858805352</x:v>
      </x:c>
      <x:c r="D267" s="14" t="str">
        <x:v>Технологічні трубопроводи</x:v>
      </x:c>
      <x:c r="E267" s="14" t="str">
        <x:v>Expansion discovery</x:v>
      </x:c>
      <x:c r="F267" s="14" t="str">
        <x:v>I3</x:v>
      </x:c>
      <x:c r="G267" s="14" t="n">
        <x:v>49</x:v>
      </x:c>
      <x:c r="H267" s="14" t="n">
        <x:v>1</x:v>
      </x:c>
      <x:c r="I267" s="14" t="n">
        <x:v>1</x:v>
      </x:c>
      <x:c r="J267" s="18" t="n">
        <x:v>9798.8</x:v>
      </x:c>
      <x:c r="K267" s="19" t="n">
        <x:v>46252.551709074076</x:v>
      </x:c>
      <x:c r="L267" s="19" t="n">
        <x:v>46366</x:v>
      </x:c>
      <x:c r="M267" s="15" t="str">
        <x:v>послуги з демонтажу зношених елементів та монтажу нових запірних вузлів (діаметром 25 мм та 32 мм), включаючи поточний ремонт та заміну супутніх технологічних ділянок трубопроводу для відновлення працездатності системи запірно-регулюючої арматури центральної магістралі </x:v>
      </x:c>
      <x:c r="N267" s="15" t="str">
        <x:v>https://prozorro.gov.ua/tender/UA-2026-08-18-010605-a</x:v>
      </x:c>
    </x:row>
    <x:row r="268">
      <x:c r="A268" s="14" t="n">
        <x:v>264</x:v>
      </x:c>
      <x:c r="B268" s="14" t="str">
        <x:v>МЕЛЬНИЧУК БОРИС МИХАЙЛОВИЧ</x:v>
      </x:c>
      <x:c r="C268" s="14" t="str">
        <x:v>2162304537</x:v>
      </x:c>
      <x:c r="D268" s="14" t="str">
        <x:v>Газопостачання / котельні</x:v>
      </x:c>
      <x:c r="E268" s="14" t="str">
        <x:v>Expansion discovery</x:v>
      </x:c>
      <x:c r="F268" s="14" t="str">
        <x:v>I3</x:v>
      </x:c>
      <x:c r="G268" s="14" t="n">
        <x:v>49</x:v>
      </x:c>
      <x:c r="H268" s="14" t="n">
        <x:v>1</x:v>
      </x:c>
      <x:c r="I268" s="14" t="n">
        <x:v>1</x:v>
      </x:c>
      <x:c r="J268" s="18" t="n">
        <x:v>17810</x:v>
      </x:c>
      <x:c r="K268" s="19" t="n">
        <x:v>46230.387015671295</x:v>
      </x:c>
      <x:c r="L268" s="19" t="n">
        <x:v>46387</x:v>
      </x:c>
      <x:c r="M268" s="15" t="str">
        <x:v>Послуги по монтажу та налаштуванню роботи установки підготовки води в приміщенні котельні</x:v>
      </x:c>
      <x:c r="N268" s="15" t="str">
        <x:v>https://prozorro.gov.ua/tender/UA-2026-07-27-004333-a</x:v>
      </x:c>
    </x:row>
    <x:row r="269">
      <x:c r="A269" s="14" t="n">
        <x:v>265</x:v>
      </x:c>
      <x:c r="B269" s="14" t="str">
        <x:v>НАЗАРЕНКО КАТЕРИНА ЮРІЇВНА</x:v>
      </x:c>
      <x:c r="C269" s="14" t="str">
        <x:v>3206513861</x:v>
      </x:c>
      <x:c r="D269" s="14" t="str">
        <x:v>Мости / інфраструктура</x:v>
      </x:c>
      <x:c r="E269" s="14" t="str">
        <x:v>Expansion discovery</x:v>
      </x:c>
      <x:c r="F269" s="14" t="str">
        <x:v>I3</x:v>
      </x:c>
      <x:c r="G269" s="14" t="n">
        <x:v>49</x:v>
      </x:c>
      <x:c r="H269" s="14" t="n">
        <x:v>1</x:v>
      </x:c>
      <x:c r="I269" s="14" t="n">
        <x:v>1</x:v>
      </x:c>
      <x:c r="J269" s="18" t="n">
        <x:v>66653</x:v>
      </x:c>
      <x:c r="K269" s="19" t="n">
        <x:v>46240.332046944444</x:v>
      </x:c>
      <x:c r="L269" s="19" t="n">
        <x:v>46387</x:v>
      </x:c>
      <x:c r="M269" s="15" t="str">
        <x:v>Коригування проектно-кошторисної документації з проходженням експертизи по об'єкту: "Капітальний ремонт набережної (лівий берег) від пішохідного мосту (ДЮСШ) до автомобільного мосту на вулиці Сарненська в м. Костопіль Рівненського району Рівненської області» коригування</x:v>
      </x:c>
      <x:c r="N269" s="15" t="str">
        <x:v>https://prozorro.gov.ua/tender/UA-2026-08-06-002870-a</x:v>
      </x:c>
    </x:row>
    <x:row r="270">
      <x:c r="A270" s="14" t="n">
        <x:v>266</x:v>
      </x:c>
      <x:c r="B270" s="14" t="str">
        <x:v>НЕСУХ МИХАЙЛО МИХАЙЛОВИЧ</x:v>
      </x:c>
      <x:c r="C270" s="14" t="str">
        <x:v>2094503513</x:v>
      </x:c>
      <x:c r="D270" s="14" t="str">
        <x:v>Насосні станції</x:v>
      </x:c>
      <x:c r="E270" s="14" t="str">
        <x:v>Expansion discovery</x:v>
      </x:c>
      <x:c r="F270" s="14" t="str">
        <x:v>I3</x:v>
      </x:c>
      <x:c r="G270" s="14" t="n">
        <x:v>49</x:v>
      </x:c>
      <x:c r="H270" s="14" t="n">
        <x:v>1</x:v>
      </x:c>
      <x:c r="I270" s="14" t="n">
        <x:v>1</x:v>
      </x:c>
      <x:c r="J270" s="18" t="n">
        <x:v>54000</x:v>
      </x:c>
      <x:c r="K270" s="19" t="n">
        <x:v>46232.512961423614</x:v>
      </x:c>
      <x:c r="L270" s="19" t="n">
        <x:v>46387</x:v>
      </x:c>
      <x:c r="M270" s="15" t="str">
        <x:v>Реконструкція водопровідної насосної станції по вул. Донського та мереж водопостачання та водовідведення вул. Я. Мудрого в м. Свалява Закарпатської області. Коригування”, код ДК (CPV) 021:2015: 71320000-7 Послуги з інженерного проєктування».</x:v>
      </x:c>
      <x:c r="N270" s="15" t="str">
        <x:v>https://prozorro.gov.ua/tender/UA-2026-07-29-008128-a</x:v>
      </x:c>
    </x:row>
    <x:row r="271">
      <x:c r="A271" s="14" t="n">
        <x:v>267</x:v>
      </x:c>
      <x:c r="B271" s="14" t="str">
        <x:v>ПАНЮТА РУВІМ ОЛЕКСАНДРОВИЧ</x:v>
      </x:c>
      <x:c r="C271" s="14" t="str">
        <x:v>3758308754</x:v>
      </x:c>
      <x:c r="D271" s="14" t="str">
        <x:v>Промисловий холод</x:v>
      </x:c>
      <x:c r="E271" s="14" t="str">
        <x:v>Expansion discovery</x:v>
      </x:c>
      <x:c r="F271" s="14" t="str">
        <x:v>I3</x:v>
      </x:c>
      <x:c r="G271" s="14" t="n">
        <x:v>49</x:v>
      </x:c>
      <x:c r="H271" s="14" t="n">
        <x:v>1</x:v>
      </x:c>
      <x:c r="I271" s="14" t="n">
        <x:v>1</x:v>
      </x:c>
      <x:c r="J271" s="18" t="n">
        <x:v>79130</x:v>
      </x:c>
      <x:c r="K271" s="19" t="n">
        <x:v>46225.338014583336</x:v>
      </x:c>
      <x:c r="L271" s="19" t="n">
        <x:v>46387</x:v>
      </x:c>
      <x:c r="M271" s="15" t="str">
        <x:v>Кондиціонер NDI-A18ONF/NDO-A18ONF з монтажем, кондиціонер NDI-A09ONF/NDO-A09ONF з монтажем (За кодом ДК 021:2015-42510000-4 Теплообмінники, кондиціонери повітря, холодильне обладнання та фільтрувальні пристрої)</x:v>
      </x:c>
      <x:c r="N271" s="15" t="str">
        <x:v>https://prozorro.gov.ua/tender/UA-2026-07-22-002831-a</x:v>
      </x:c>
    </x:row>
    <x:row r="272">
      <x:c r="A272" s="14" t="n">
        <x:v>268</x:v>
      </x:c>
      <x:c r="B272" s="14" t="str">
        <x:v>ПІВТОРАК АНАТОЛІЙ МИКОЛАЙОВИЧ</x:v>
      </x:c>
      <x:c r="C272" s="14" t="str">
        <x:v>2411508616</x:v>
      </x:c>
      <x:c r="D272" s="14" t="str">
        <x:v>Електромонтаж</x:v>
      </x:c>
      <x:c r="E272" s="14" t="str">
        <x:v>Pilot now</x:v>
      </x:c>
      <x:c r="F272" s="14" t="str">
        <x:v>I3</x:v>
      </x:c>
      <x:c r="G272" s="14" t="n">
        <x:v>49</x:v>
      </x:c>
      <x:c r="H272" s="14" t="n">
        <x:v>1</x:v>
      </x:c>
      <x:c r="I272" s="14" t="n">
        <x:v>1</x:v>
      </x:c>
      <x:c r="J272" s="18" t="n">
        <x:v>4000</x:v>
      </x:c>
      <x:c r="K272" s="19" t="n">
        <x:v>46230.48517842592</x:v>
      </x:c>
      <x:c r="L272" s="19" t="n">
        <x:v>46387</x:v>
      </x:c>
      <x:c r="M272" s="15" t="str">
        <x:v>Електромонтажні роботи </x:v>
      </x:c>
      <x:c r="N272" s="15" t="str">
        <x:v>https://prozorro.gov.ua/tender/UA-2026-07-27-007001-a</x:v>
      </x:c>
    </x:row>
    <x:row r="273">
      <x:c r="A273" s="14" t="n">
        <x:v>269</x:v>
      </x:c>
      <x:c r="B273" s="14" t="str">
        <x:v>ПОЖАЙРИБКО БОРИС ЄВГЕНІЙОВИЧ</x:v>
      </x:c>
      <x:c r="C273" s="14" t="str">
        <x:v>2104915998</x:v>
      </x:c>
      <x:c r="D273" s="14" t="str">
        <x:v>Сонячна енергетика</x:v>
      </x:c>
      <x:c r="E273" s="14" t="str">
        <x:v>Expansion discovery</x:v>
      </x:c>
      <x:c r="F273" s="14" t="str">
        <x:v>I3</x:v>
      </x:c>
      <x:c r="G273" s="14" t="n">
        <x:v>49</x:v>
      </x:c>
      <x:c r="H273" s="14" t="n">
        <x:v>1</x:v>
      </x:c>
      <x:c r="I273" s="14" t="n">
        <x:v>1</x:v>
      </x:c>
      <x:c r="J273" s="18" t="n">
        <x:v>20822</x:v>
      </x:c>
      <x:c r="K273" s="19" t="n">
        <x:v>46247.44847260417</x:v>
      </x:c>
      <x:c r="L273" s="19" t="n">
        <x:v>46387</x:v>
      </x:c>
      <x:c r="M273" s="15" t="str">
        <x:v>Технічний нагляд за виконанням робіт «Реконструкція системи електропостачання (монтаж дахової сонячної електростанції для власних потреб) філії опорного закладу Початкова школа Ліцею імені Героїв 68-го батальйону Перечинської міської ради по вул. Ужанська, 9 в м. Перечин, Ужгородського району, Закарпатської області»</x:v>
      </x:c>
      <x:c r="N273" s="15" t="str">
        <x:v>https://prozorro.gov.ua/tender/UA-2026-08-13-006658-a</x:v>
      </x:c>
    </x:row>
    <x:row r="274">
      <x:c r="A274" s="14" t="n">
        <x:v>270</x:v>
      </x:c>
      <x:c r="B274" s="14" t="str">
        <x:v>Попач Максим Іванович</x:v>
      </x:c>
      <x:c r="C274" s="14" t="str">
        <x:v>3275813571</x:v>
      </x:c>
      <x:c r="D274" s="14" t="str">
        <x:v>Електромонтаж</x:v>
      </x:c>
      <x:c r="E274" s="14" t="str">
        <x:v>Pilot now</x:v>
      </x:c>
      <x:c r="F274" s="14" t="str">
        <x:v>I3</x:v>
      </x:c>
      <x:c r="G274" s="14" t="n">
        <x:v>49</x:v>
      </x:c>
      <x:c r="H274" s="14" t="n">
        <x:v>1</x:v>
      </x:c>
      <x:c r="I274" s="14" t="n">
        <x:v>1</x:v>
      </x:c>
      <x:c r="J274" s="18" t="n">
        <x:v>76220</x:v>
      </x:c>
      <x:c r="K274" s="19" t="n">
        <x:v>46237.43505826389</x:v>
      </x:c>
      <x:c r="L274" s="19" t="n">
        <x:v>46387</x:v>
      </x:c>
      <x:c r="M274" s="15" t="str">
        <x:v>Електромонтажні роботи</x:v>
      </x:c>
      <x:c r="N274" s="15" t="str">
        <x:v>https://prozorro.gov.ua/tender/UA-2026-08-03-005437-a</x:v>
      </x:c>
    </x:row>
    <x:row r="275">
      <x:c r="A275" s="14" t="n">
        <x:v>271</x:v>
      </x:c>
      <x:c r="B275" s="14" t="str">
        <x:v>РОМАНЕНКО ВАЛЕНТИНА ВОЛОДИМИРІВНА</x:v>
      </x:c>
      <x:c r="C275" s="14" t="str">
        <x:v>2506620985</x:v>
      </x:c>
      <x:c r="D275" s="14" t="str">
        <x:v>Сонячна енергетика</x:v>
      </x:c>
      <x:c r="E275" s="14" t="str">
        <x:v>Expansion discovery</x:v>
      </x:c>
      <x:c r="F275" s="14" t="str">
        <x:v>I3</x:v>
      </x:c>
      <x:c r="G275" s="14" t="n">
        <x:v>49</x:v>
      </x:c>
      <x:c r="H275" s="14" t="n">
        <x:v>1</x:v>
      </x:c>
      <x:c r="I275" s="14" t="n">
        <x:v>1</x:v>
      </x:c>
      <x:c r="J275" s="18" t="n">
        <x:v>66029</x:v>
      </x:c>
      <x:c r="K275" s="19" t="n">
        <x:v>46248.43009769676</x:v>
      </x:c>
      <x:c r="L275" s="19" t="n">
        <x:v>46387</x:v>
      </x:c>
      <x:c r="M275" s="15" t="str">
        <x:v>Комплектуючі матеріали для монтажу сонячної електростанції </x:v>
      </x:c>
      <x:c r="N275" s="15" t="str">
        <x:v>https://prozorro.gov.ua/tender/UA-2026-08-14-006249-a</x:v>
      </x:c>
    </x:row>
    <x:row r="276">
      <x:c r="A276" s="14" t="n">
        <x:v>272</x:v>
      </x:c>
      <x:c r="B276" s="14" t="str">
        <x:v>РУДЕНКО ВІТАЛІЙ ВАСИЛЬОВИЧ</x:v>
      </x:c>
      <x:c r="C276" s="14" t="str">
        <x:v>3019104154</x:v>
      </x:c>
      <x:c r="D276" s="14" t="str">
        <x:v>HVAC / ОВіК</x:v>
      </x:c>
      <x:c r="E276" s="14" t="str">
        <x:v>Pilot now</x:v>
      </x:c>
      <x:c r="F276" s="14" t="str">
        <x:v>I3</x:v>
      </x:c>
      <x:c r="G276" s="14" t="n">
        <x:v>49</x:v>
      </x:c>
      <x:c r="H276" s="14" t="n">
        <x:v>1</x:v>
      </x:c>
      <x:c r="I276" s="14" t="n">
        <x:v>1</x:v>
      </x:c>
      <x:c r="J276" s="18" t="n">
        <x:v>14700</x:v>
      </x:c>
      <x:c r="K276" s="19" t="n">
        <x:v>46240.571095162035</x:v>
      </x:c>
      <x:c r="L276" s="19" t="n">
        <x:v>46310</x:v>
      </x:c>
      <x:c r="M276" s="15" t="str">
        <x:v>послуги з проведення ремонтно-обслуговуючих робіт внутрішньої мережі (демонтаж та монтаж водопровідно-сантехнічного устаткування) в тепловому пункті за адресою: м. Вінниця, проспект Юності,4 код ДК 021:2015 -50720000-8 «Послуги з ремонту і технічного обслуговування систем центрального опалення»</x:v>
      </x:c>
      <x:c r="N276" s="15" t="str">
        <x:v>https://prozorro.gov.ua/tender/UA-2026-08-06-010642-a</x:v>
      </x:c>
    </x:row>
    <x:row r="277">
      <x:c r="A277" s="14" t="n">
        <x:v>273</x:v>
      </x:c>
      <x:c r="B277" s="14" t="str">
        <x:v>ТКАЧУК ОЛЕНА СЕРГІЇВНА</x:v>
      </x:c>
      <x:c r="C277" s="14" t="str">
        <x:v>3055908485</x:v>
      </x:c>
      <x:c r="D277" s="14" t="str">
        <x:v>HVAC / ОВіК</x:v>
      </x:c>
      <x:c r="E277" s="14" t="str">
        <x:v>Pilot now</x:v>
      </x:c>
      <x:c r="F277" s="14" t="str">
        <x:v>I3</x:v>
      </x:c>
      <x:c r="G277" s="14" t="n">
        <x:v>49</x:v>
      </x:c>
      <x:c r="H277" s="14" t="n">
        <x:v>1</x:v>
      </x:c>
      <x:c r="I277" s="14" t="n">
        <x:v>1</x:v>
      </x:c>
      <x:c r="J277" s="18" t="n">
        <x:v>91475</x:v>
      </x:c>
      <x:c r="K277" s="19" t="n">
        <x:v>46220.37996715278</x:v>
      </x:c>
      <x:c r="L277" s="19" t="n">
        <x:v>46387</x:v>
      </x:c>
      <x:c r="M277" s="15" t="str">
        <x:v>Монтаж системи опалення в приміщенні Дубово-Махаринецької АЗПСМ </x:v>
      </x:c>
      <x:c r="N277" s="15" t="str">
        <x:v>https://prozorro.gov.ua/tender/UA-2026-07-17-004517-a</x:v>
      </x:c>
    </x:row>
    <x:row r="278">
      <x:c r="A278" s="14" t="n">
        <x:v>274</x:v>
      </x:c>
      <x:c r="B278" s="14" t="str">
        <x:v>Фізична особа-підприємець  Трунов Вадим Олексійович</x:v>
      </x:c>
      <x:c r="C278" s="14" t="str">
        <x:v>2843106371</x:v>
      </x:c>
      <x:c r="D278" s="14" t="str">
        <x:v>Насосні станції</x:v>
      </x:c>
      <x:c r="E278" s="14" t="str">
        <x:v>Expansion discovery</x:v>
      </x:c>
      <x:c r="F278" s="14" t="str">
        <x:v>I3</x:v>
      </x:c>
      <x:c r="G278" s="14" t="n">
        <x:v>49</x:v>
      </x:c>
      <x:c r="H278" s="14" t="n">
        <x:v>1</x:v>
      </x:c>
      <x:c r="I278" s="14" t="n">
        <x:v>1</x:v>
      </x:c>
      <x:c r="J278" s="18" t="n">
        <x:v>76016.47</x:v>
      </x:c>
      <x:c r="K278" s="19" t="n">
        <x:v>46255.235803171294</x:v>
      </x:c>
      <x:c r="L278" s="19" t="n">
        <x:v>46386</x:v>
      </x:c>
      <x:c r="M278" s="15" t="str">
        <x:v>Технічний нагляд за будівництвом на об’єкті: Реконструкція будівлі хлораторної (літ. Б-1) під цех з виробництва низькоконцентрованого гіпохлориту натрію на території водопровідної	 насосної станції «Ігрень» КП «Дніпроводоканал» по вул. Кокчетавській, 60Н у м. Дніпрі (Код ДК 021:2015 71240000-2 – Архітектурні, інженерні та планувальні послуги)</x:v>
      </x:c>
      <x:c r="N278" s="15" t="str">
        <x:v>https://prozorro.gov.ua/tender/UA-2026-08-21-000289-a</x:v>
      </x:c>
    </x:row>
    <x:row r="279">
      <x:c r="A279" s="14" t="n">
        <x:v>275</x:v>
      </x:c>
      <x:c r="B279" s="14" t="str">
        <x:v>Фізична особа-підприємець Бліщ Роман Дмитрович</x:v>
      </x:c>
      <x:c r="C279" s="14" t="str">
        <x:v>2450716653</x:v>
      </x:c>
      <x:c r="D279" s="14" t="str">
        <x:v>Мости / інфраструктура</x:v>
      </x:c>
      <x:c r="E279" s="14" t="str">
        <x:v>Expansion discovery</x:v>
      </x:c>
      <x:c r="F279" s="14" t="str">
        <x:v>I3</x:v>
      </x:c>
      <x:c r="G279" s="14" t="n">
        <x:v>49</x:v>
      </x:c>
      <x:c r="H279" s="14" t="n">
        <x:v>1</x:v>
      </x:c>
      <x:c r="I279" s="14" t="n">
        <x:v>1</x:v>
      </x:c>
      <x:c r="J279" s="18" t="n">
        <x:v>2500</x:v>
      </x:c>
      <x:c r="K279" s="19" t="n">
        <x:v>46247.57161953704</x:v>
      </x:c>
      <x:c r="L279" s="19" t="n">
        <x:v>46387</x:v>
      </x:c>
      <x:c r="M279" s="15" t="str">
        <x:v>Послуги з технічного нагляду за поточним ремонтом дорожнього полотна на підходах до мосту по вул. Енергетична  в м. Шумськ Кременецького району Тернопільської області</x:v>
      </x:c>
      <x:c r="N279" s="15" t="str">
        <x:v>https://prozorro.gov.ua/tender/UA-2026-08-13-011741-a</x:v>
      </x:c>
    </x:row>
    <x:row r="280">
      <x:c r="A280" s="14" t="n">
        <x:v>276</x:v>
      </x:c>
      <x:c r="B280" s="14" t="str">
        <x:v>Фізична особа-підприємець Гуленко Руслан Володимирович</x:v>
      </x:c>
      <x:c r="C280" s="14" t="str">
        <x:v>2607317499</x:v>
      </x:c>
      <x:c r="D280" s="14" t="str">
        <x:v>Безпека / СКУД / CCTV</x:v>
      </x:c>
      <x:c r="E280" s="14" t="str">
        <x:v>Expansion discovery</x:v>
      </x:c>
      <x:c r="F280" s="14" t="str">
        <x:v>I3</x:v>
      </x:c>
      <x:c r="G280" s="14" t="n">
        <x:v>49</x:v>
      </x:c>
      <x:c r="H280" s="14" t="n">
        <x:v>1</x:v>
      </x:c>
      <x:c r="I280" s="14" t="n">
        <x:v>1</x:v>
      </x:c>
      <x:c r="J280" s="18" t="n">
        <x:v>83818</x:v>
      </x:c>
      <x:c r="K280" s="19" t="n">
        <x:v>46238.32611070602</x:v>
      </x:c>
      <x:c r="L280" s="19" t="n">
        <x:v>46387.368425925924</x:v>
      </x:c>
      <x:c r="M280" s="15" t="str">
        <x:v>Послуги з монтажу, установки та налаштування системи контролю та управління доступом</x:v>
      </x:c>
      <x:c r="N280" s="15" t="str">
        <x:v>https://prozorro.gov.ua/tender/UA-2026-08-04-002580-a</x:v>
      </x:c>
    </x:row>
    <x:row r="281">
      <x:c r="A281" s="14" t="n">
        <x:v>277</x:v>
      </x:c>
      <x:c r="B281" s="14" t="str">
        <x:v>Фізична особа-підприємець Кравченко Юлія Миколаївна</x:v>
      </x:c>
      <x:c r="C281" s="14" t="str">
        <x:v>3034523404</x:v>
      </x:c>
      <x:c r="D281" s="14" t="str">
        <x:v>Безпека / СКУД / CCTV</x:v>
      </x:c>
      <x:c r="E281" s="14" t="str">
        <x:v>Expansion discovery</x:v>
      </x:c>
      <x:c r="F281" s="14" t="str">
        <x:v>I3</x:v>
      </x:c>
      <x:c r="G281" s="14" t="n">
        <x:v>49</x:v>
      </x:c>
      <x:c r="H281" s="14" t="n">
        <x:v>1</x:v>
      </x:c>
      <x:c r="I281" s="14" t="n">
        <x:v>1</x:v>
      </x:c>
      <x:c r="J281" s="18" t="n">
        <x:v>16850</x:v>
      </x:c>
      <x:c r="K281" s="19" t="n">
        <x:v>46232.629361875</x:v>
      </x:c>
      <x:c r="L281" s="19" t="n">
        <x:v>46387.673368055555</x:v>
      </x:c>
      <x:c r="M281" s="15" t="str">
        <x:v>Монтаж системи відеоспостереження</x:v>
      </x:c>
      <x:c r="N281" s="15" t="str">
        <x:v>https://prozorro.gov.ua/tender/UA-2026-07-29-010910-a</x:v>
      </x:c>
    </x:row>
    <x:row r="282">
      <x:c r="A282" s="14" t="n">
        <x:v>278</x:v>
      </x:c>
      <x:c r="B282" s="14" t="str">
        <x:v>Фізична особа-підприємець Марчук Володимир Васильович</x:v>
      </x:c>
      <x:c r="C282" s="14" t="str">
        <x:v>3024703610</x:v>
      </x:c>
      <x:c r="D282" s="14" t="str">
        <x:v>HVAC / ОВіК</x:v>
      </x:c>
      <x:c r="E282" s="14" t="str">
        <x:v>Pilot now</x:v>
      </x:c>
      <x:c r="F282" s="14" t="str">
        <x:v>I3</x:v>
      </x:c>
      <x:c r="G282" s="14" t="n">
        <x:v>49</x:v>
      </x:c>
      <x:c r="H282" s="14" t="n">
        <x:v>1</x:v>
      </x:c>
      <x:c r="I282" s="14" t="n">
        <x:v>1</x:v>
      </x:c>
      <x:c r="J282" s="18" t="n">
        <x:v>80000</x:v>
      </x:c>
      <x:c r="K282" s="19" t="n">
        <x:v>46252.71302846065</x:v>
      </x:c>
      <x:c r="L282" s="19" t="n">
        <x:v>46387</x:v>
      </x:c>
      <x:c r="M282" s="15" t="str">
        <x:v>Матеріали для монтажу систем опалення та водопостачання (трубна ізоляція, трубопровідна арматура та фітинги)</x:v>
      </x:c>
      <x:c r="N282" s="15" t="str">
        <x:v>https://prozorro.gov.ua/tender/UA-2026-07-30-004523-a</x:v>
      </x:c>
    </x:row>
    <x:row r="283">
      <x:c r="A283" s="14" t="n">
        <x:v>279</x:v>
      </x:c>
      <x:c r="B283" s="14" t="str">
        <x:v>Фізична особа-підприємець Ракчеєв Юрій В'ячеславович</x:v>
      </x:c>
      <x:c r="C283" s="14" t="str">
        <x:v>3013618459</x:v>
      </x:c>
      <x:c r="D283" s="14" t="str">
        <x:v>Електромонтаж</x:v>
      </x:c>
      <x:c r="E283" s="14" t="str">
        <x:v>Pilot now</x:v>
      </x:c>
      <x:c r="F283" s="14" t="str">
        <x:v>I3</x:v>
      </x:c>
      <x:c r="G283" s="14" t="n">
        <x:v>49</x:v>
      </x:c>
      <x:c r="H283" s="14" t="n">
        <x:v>1</x:v>
      </x:c>
      <x:c r="I283" s="14" t="n">
        <x:v>1</x:v>
      </x:c>
      <x:c r="J283" s="18" t="n">
        <x:v>3700</x:v>
      </x:c>
      <x:c r="K283" s="19" t="n">
        <x:v>46254.557632337965</x:v>
      </x:c>
      <x:c r="L283" s="19" t="n">
        <x:v>46280</x:v>
      </x:c>
      <x:c r="M283" s="15" t="str">
        <x:v>Електромонтажні та пусконалагоджувальні роботи</x:v>
      </x:c>
      <x:c r="N283" s="15" t="str">
        <x:v>https://prozorro.gov.ua/tender/UA-2026-08-20-011768-a</x:v>
      </x:c>
    </x:row>
    <x:row r="284">
      <x:c r="A284" s="14" t="n">
        <x:v>280</x:v>
      </x:c>
      <x:c r="B284" s="14" t="str">
        <x:v>Фізична особа-підприємець Стукалов Олександр Олександрович</x:v>
      </x:c>
      <x:c r="C284" s="14" t="str">
        <x:v>3064321858</x:v>
      </x:c>
      <x:c r="D284" s="14" t="str">
        <x:v>Безпека / СКУД / CCTV</x:v>
      </x:c>
      <x:c r="E284" s="14" t="str">
        <x:v>Expansion discovery</x:v>
      </x:c>
      <x:c r="F284" s="14" t="str">
        <x:v>I3</x:v>
      </x:c>
      <x:c r="G284" s="14" t="n">
        <x:v>49</x:v>
      </x:c>
      <x:c r="H284" s="14" t="n">
        <x:v>1</x:v>
      </x:c>
      <x:c r="I284" s="14" t="n">
        <x:v>1</x:v>
      </x:c>
      <x:c r="J284" s="18" t="n">
        <x:v>21749.12</x:v>
      </x:c>
      <x:c r="K284" s="19" t="n">
        <x:v>46248.28367704861</x:v>
      </x:c>
      <x:c r="L284" s="19" t="n">
        <x:v>46387</x:v>
      </x:c>
      <x:c r="M284" s="15" t="str">
        <x:v>Поточний ремонт та облаштування споруд цивільного захисту (укриття, бомбосховища тощо), які увійшли до фонду захисних споруд цивільного захисту Чорноморської міської територіальної громади, як найпростіші укриття, монтаж систем контролю та дистанцйного керування доступом до укриття за адресою: м. Чорноморськ, вул. Захисників України, 8-А</x:v>
      </x:c>
      <x:c r="N284" s="15" t="str">
        <x:v>https://prozorro.gov.ua/tender/UA-2026-08-14-001348-a</x:v>
      </x:c>
    </x:row>
    <x:row r="285">
      <x:c r="A285" s="14" t="n">
        <x:v>281</x:v>
      </x:c>
      <x:c r="B285" s="14" t="str">
        <x:v>ФІЛІЯ ДЕРЖАВНОГО ПІДПРИЄМСТВА "СПЕЦІАЛІЗОВАНА ДЕРЖАВНА ЕКСПЕРТНА ОРГАНІЗАЦІЯ - ЦЕНТРАЛЬНА СЛУЖБА УКРАЇНСЬКОЇ ДЕРЖАВНОЇ БУДІВЕЛЬНОЇ ЕКСПЕРТИЗИ" У КІРОВОГРАДСЬКІЙ ОБЛАСТІ</x:v>
      </x:c>
      <x:c r="C285" s="14" t="str">
        <x:v>35851226</x:v>
      </x:c>
      <x:c r="D285" s="14" t="str">
        <x:v>Водоочищення / очисні споруди</x:v>
      </x:c>
      <x:c r="E285" s="14" t="str">
        <x:v>Expansion discovery</x:v>
      </x:c>
      <x:c r="F285" s="14" t="str">
        <x:v>I3</x:v>
      </x:c>
      <x:c r="G285" s="14" t="n">
        <x:v>49</x:v>
      </x:c>
      <x:c r="H285" s="14" t="n">
        <x:v>1</x:v>
      </x:c>
      <x:c r="I285" s="14" t="n">
        <x:v>1</x:v>
      </x:c>
      <x:c r="J285" s="18" t="n">
        <x:v>30207.38</x:v>
      </x:c>
      <x:c r="K285" s="19" t="n">
        <x:v>46209.3442668287</x:v>
      </x:c>
      <x:c r="L285" s="19" t="n">
        <x:v>46387</x:v>
      </x:c>
      <x:c r="M285" s="15" t="str">
        <x:v>Виконання експертизи  проєкту будівництва  "Реконструкція очисних споруд та каналізаційної насосної станції" у  с. Созонівка Кропивницького району.</x:v>
      </x:c>
      <x:c r="N285" s="15" t="str">
        <x:v>https://prozorro.gov.ua/tender/UA-2026-07-06-002679-a</x:v>
      </x:c>
    </x:row>
    <x:row r="286">
      <x:c r="A286" s="14" t="n">
        <x:v>282</x:v>
      </x:c>
      <x:c r="B286" s="14" t="str">
        <x:v>ФОП "Охрімчук Людмила Володимирівна"</x:v>
      </x:c>
      <x:c r="C286" s="14" t="str">
        <x:v>3165601120</x:v>
      </x:c>
      <x:c r="D286" s="14" t="str">
        <x:v>Насосні станції</x:v>
      </x:c>
      <x:c r="E286" s="14" t="str">
        <x:v>Expansion discovery</x:v>
      </x:c>
      <x:c r="F286" s="14" t="str">
        <x:v>I3</x:v>
      </x:c>
      <x:c r="G286" s="14" t="n">
        <x:v>49</x:v>
      </x:c>
      <x:c r="H286" s="14" t="n">
        <x:v>1</x:v>
      </x:c>
      <x:c r="I286" s="14" t="n">
        <x:v>1</x:v>
      </x:c>
      <x:c r="J286" s="18" t="n">
        <x:v>3560</x:v>
      </x:c>
      <x:c r="K286" s="19" t="n">
        <x:v>46255.510079976855</x:v>
      </x:c>
      <x:c r="L286" s="19" t="n">
        <x:v>46261.51119212963</x:v>
      </x:c>
      <x:c r="M286" s="15" t="str">
        <x:v>Перевірка кошторисної документації учасників процедури закупівлі "Реконструкція системи електропостачання насосної станції 2-го підйому КП "Сквир-водоканал" по вул. Залізничній, 57 в м. Сквира з додатковим встановленням системи альтернативного електропостачання (сонячні панелі, інвертор і акумуляторні батареї) ДК 021:2015-71530000-2 Консультаційні послуги в галузі будівництва.</x:v>
      </x:c>
      <x:c r="N286" s="15" t="str">
        <x:v>https://prozorro.gov.ua/tender/UA-2026-08-21-009995-a</x:v>
      </x:c>
    </x:row>
    <x:row r="287">
      <x:c r="A287" s="14" t="n">
        <x:v>283</x:v>
      </x:c>
      <x:c r="B287" s="14" t="str">
        <x:v>ФОП Бацура ВС</x:v>
      </x:c>
      <x:c r="C287" s="14" t="str">
        <x:v>2951200878</x:v>
      </x:c>
      <x:c r="D287" s="14" t="str">
        <x:v>Пожежогасіння</x:v>
      </x:c>
      <x:c r="E287" s="14" t="str">
        <x:v>Expansion discovery</x:v>
      </x:c>
      <x:c r="F287" s="14" t="str">
        <x:v>I3</x:v>
      </x:c>
      <x:c r="G287" s="14" t="n">
        <x:v>49</x:v>
      </x:c>
      <x:c r="H287" s="14" t="n">
        <x:v>1</x:v>
      </x:c>
      <x:c r="I287" s="14" t="n">
        <x:v>1</x:v>
      </x:c>
      <x:c r="J287" s="18" t="n">
        <x:v>69120</x:v>
      </x:c>
      <x:c r="K287" s="19" t="n">
        <x:v>46250.48431451389</x:v>
      </x:c>
      <x:c r="L287" s="19" t="n">
        <x:v>46387.526400462964</x:v>
      </x:c>
      <x:c r="M287" s="15" t="str">
        <x:v>Монтаж системи пожежної сигналізації</x:v>
      </x:c>
      <x:c r="N287" s="15" t="str">
        <x:v>https://prozorro.gov.ua/tender/UA-2026-08-16-000232-a</x:v>
      </x:c>
    </x:row>
    <x:row r="288">
      <x:c r="A288" s="14" t="n">
        <x:v>284</x:v>
      </x:c>
      <x:c r="B288" s="14" t="str">
        <x:v>ФОП Бихно Віктор Віталійович</x:v>
      </x:c>
      <x:c r="C288" s="14" t="str">
        <x:v>3726400913</x:v>
      </x:c>
      <x:c r="D288" s="14" t="str">
        <x:v>Мости / інфраструктура</x:v>
      </x:c>
      <x:c r="E288" s="14" t="str">
        <x:v>Expansion discovery</x:v>
      </x:c>
      <x:c r="F288" s="14" t="str">
        <x:v>I3</x:v>
      </x:c>
      <x:c r="G288" s="14" t="n">
        <x:v>49</x:v>
      </x:c>
      <x:c r="H288" s="14" t="n">
        <x:v>1</x:v>
      </x:c>
      <x:c r="I288" s="14" t="n">
        <x:v>1</x:v>
      </x:c>
      <x:c r="J288" s="18" t="n">
        <x:v>8327</x:v>
      </x:c>
      <x:c r="K288" s="19" t="n">
        <x:v>46251.46706481482</x:v>
      </x:c>
      <x:c r="L288" s="19" t="n">
        <x:v>46285</x:v>
      </x:c>
      <x:c r="M288" s="15" t="str">
        <x:v>Здійснення технічного нагляду за наданням послуг із поточного ремонту мосту через р. Саксагань на сел. Більшовик</x:v>
      </x:c>
      <x:c r="N288" s="15" t="str">
        <x:v>https://prozorro.gov.ua/tender/UA-2026-08-17-007037-a</x:v>
      </x:c>
    </x:row>
    <x:row r="289">
      <x:c r="A289" s="14" t="n">
        <x:v>285</x:v>
      </x:c>
      <x:c r="B289" s="14" t="str">
        <x:v>ФОП БОВКУН РОМАН АНДРІЙОВИЧ</x:v>
      </x:c>
      <x:c r="C289" s="14" t="str">
        <x:v>2913718431</x:v>
      </x:c>
      <x:c r="D289" s="14" t="str">
        <x:v>Електромонтаж</x:v>
      </x:c>
      <x:c r="E289" s="14" t="str">
        <x:v>Pilot now</x:v>
      </x:c>
      <x:c r="F289" s="14" t="str">
        <x:v>I3</x:v>
      </x:c>
      <x:c r="G289" s="14" t="n">
        <x:v>49</x:v>
      </x:c>
      <x:c r="H289" s="14" t="n">
        <x:v>1</x:v>
      </x:c>
      <x:c r="I289" s="14" t="n">
        <x:v>1</x:v>
      </x:c>
      <x:c r="J289" s="18" t="n">
        <x:v>99000</x:v>
      </x:c>
      <x:c r="K289" s="19" t="n">
        <x:v>46227.23317170139</x:v>
      </x:c>
      <x:c r="L289" s="19" t="n">
        <x:v>46387</x:v>
      </x:c>
      <x:c r="M289" s="15" t="str">
        <x:v>Електромонтажні роботи</x:v>
      </x:c>
      <x:c r="N289" s="15" t="str">
        <x:v>https://prozorro.gov.ua/tender/UA-2026-07-24-000245-a</x:v>
      </x:c>
    </x:row>
    <x:row r="290">
      <x:c r="A290" s="14" t="n">
        <x:v>286</x:v>
      </x:c>
      <x:c r="B290" s="14" t="str">
        <x:v>ФОП Богоніс Юрій Романович</x:v>
      </x:c>
      <x:c r="C290" s="14" t="str">
        <x:v>3768310975</x:v>
      </x:c>
      <x:c r="D290" s="14" t="str">
        <x:v>Електромонтаж</x:v>
      </x:c>
      <x:c r="E290" s="14" t="str">
        <x:v>Pilot now</x:v>
      </x:c>
      <x:c r="F290" s="14" t="str">
        <x:v>I3</x:v>
      </x:c>
      <x:c r="G290" s="14" t="n">
        <x:v>49</x:v>
      </x:c>
      <x:c r="H290" s="14" t="n">
        <x:v>1</x:v>
      </x:c>
      <x:c r="I290" s="14" t="n">
        <x:v>1</x:v>
      </x:c>
      <x:c r="J290" s="18" t="n">
        <x:v>14500</x:v>
      </x:c>
      <x:c r="K290" s="19" t="n">
        <x:v>46226.547773101855</x:v>
      </x:c>
      <x:c r="L290" s="19" t="n">
        <x:v>46387.591365740744</x:v>
      </x:c>
      <x:c r="M290" s="15" t="str">
        <x:v>Електромонтажні роботи</x:v>
      </x:c>
      <x:c r="N290" s="15" t="str">
        <x:v>https://prozorro.gov.ua/tender/UA-2026-07-23-010224-a</x:v>
      </x:c>
    </x:row>
    <x:row r="291">
      <x:c r="A291" s="14" t="n">
        <x:v>287</x:v>
      </x:c>
      <x:c r="B291" s="14" t="str">
        <x:v>ФОП Бойцун Віктор Олександрович</x:v>
      </x:c>
      <x:c r="C291" s="14" t="str">
        <x:v>2313903114</x:v>
      </x:c>
      <x:c r="D291" s="14" t="str">
        <x:v>HVAC / ОВіК</x:v>
      </x:c>
      <x:c r="E291" s="14" t="str">
        <x:v>Pilot now</x:v>
      </x:c>
      <x:c r="F291" s="14" t="str">
        <x:v>I3</x:v>
      </x:c>
      <x:c r="G291" s="14" t="n">
        <x:v>49</x:v>
      </x:c>
      <x:c r="H291" s="14" t="n">
        <x:v>1</x:v>
      </x:c>
      <x:c r="I291" s="14" t="n">
        <x:v>1</x:v>
      </x:c>
      <x:c r="J291" s="18" t="n">
        <x:v>75180</x:v>
      </x:c>
      <x:c r="K291" s="19" t="n">
        <x:v>46245.5273869213</x:v>
      </x:c>
      <x:c r="L291" s="19" t="n">
        <x:v>46356.57037037037</x:v>
      </x:c>
      <x:c r="M291" s="15" t="str">
        <x:v>Чистка камери згорання та теплообмінника, демонтаж, монтаж, продувка жиклерів, заміна теплоізоляції камери згорання, ремонт блока розпалу, заміна датчика по перегріву, заміна датчика NTC, заміна газового клапана, заміна електрода іонізації, заміна автоматичного розповітрювача, хімічна промивка теплообмінника за кодом ДК 021-2015 (CPV)  50720000-8 - Послуги з ремонту і технічного обслуговування систем центрального опалення</x:v>
      </x:c>
      <x:c r="N291" s="15" t="str">
        <x:v>https://prozorro.gov.ua/tender/UA-2026-08-11-009974-a</x:v>
      </x:c>
    </x:row>
    <x:row r="292">
      <x:c r="A292" s="14" t="n">
        <x:v>288</x:v>
      </x:c>
      <x:c r="B292" s="14" t="str">
        <x:v>ФОП Дзюра М.І.</x:v>
      </x:c>
      <x:c r="C292" s="14" t="str">
        <x:v>1906205534</x:v>
      </x:c>
      <x:c r="D292" s="14" t="str">
        <x:v>Мости / інфраструктура</x:v>
      </x:c>
      <x:c r="E292" s="14" t="str">
        <x:v>Expansion discovery</x:v>
      </x:c>
      <x:c r="F292" s="14" t="str">
        <x:v>I3</x:v>
      </x:c>
      <x:c r="G292" s="14" t="n">
        <x:v>49</x:v>
      </x:c>
      <x:c r="H292" s="14" t="n">
        <x:v>1</x:v>
      </x:c>
      <x:c r="I292" s="14" t="n">
        <x:v>1</x:v>
      </x:c>
      <x:c r="J292" s="18" t="n">
        <x:v>41200</x:v>
      </x:c>
      <x:c r="K292" s="19" t="n">
        <x:v>46254.324462268516</x:v>
      </x:c>
      <x:c r="L292" s="19" t="n">
        <x:v>46387</x:v>
      </x:c>
      <x:c r="M292" s="15" t="str">
        <x:v>Код за ДК 021:2015:50110000-9 – Послуги з ремонту і технічного обслуговування мототранспортних засобів і супутнього обладнання (Ремонтні роботи заднього моста вантажного автомобіля)</x:v>
      </x:c>
      <x:c r="N292" s="15" t="str">
        <x:v>https://prozorro.gov.ua/tender/UA-2026-08-20-002827-a</x:v>
      </x:c>
    </x:row>
    <x:row r="293">
      <x:c r="A293" s="14" t="n">
        <x:v>289</x:v>
      </x:c>
      <x:c r="B293" s="14" t="str">
        <x:v>ФОП Довганюк Вікторія Валеріївна</x:v>
      </x:c>
      <x:c r="C293" s="14" t="str">
        <x:v>3414011349</x:v>
      </x:c>
      <x:c r="D293" s="14" t="str">
        <x:v>Електромонтаж</x:v>
      </x:c>
      <x:c r="E293" s="14" t="str">
        <x:v>Pilot now</x:v>
      </x:c>
      <x:c r="F293" s="14" t="str">
        <x:v>I3</x:v>
      </x:c>
      <x:c r="G293" s="14" t="n">
        <x:v>49</x:v>
      </x:c>
      <x:c r="H293" s="14" t="n">
        <x:v>1</x:v>
      </x:c>
      <x:c r="I293" s="14" t="n">
        <x:v>1</x:v>
      </x:c>
      <x:c r="J293" s="18" t="n">
        <x:v>38982</x:v>
      </x:c>
      <x:c r="K293" s="19" t="n">
        <x:v>46258.302548761574</x:v>
      </x:c>
      <x:c r="L293" s="19" t="n">
        <x:v>46387.34575231482</x:v>
      </x:c>
      <x:c r="M293" s="15" t="str">
        <x:v>Електромонтажні роботи</x:v>
      </x:c>
      <x:c r="N293" s="15" t="str">
        <x:v>https://prozorro.gov.ua/tender/UA-2026-08-24-001409-a</x:v>
      </x:c>
    </x:row>
    <x:row r="294">
      <x:c r="A294" s="14" t="n">
        <x:v>290</x:v>
      </x:c>
      <x:c r="B294" s="14" t="str">
        <x:v>ФОП Жданюк Андрій Васильйович</x:v>
      </x:c>
      <x:c r="C294" s="14" t="str">
        <x:v>3050412072</x:v>
      </x:c>
      <x:c r="D294" s="14" t="str">
        <x:v>Безпека / СКУД / CCTV</x:v>
      </x:c>
      <x:c r="E294" s="14" t="str">
        <x:v>Expansion discovery</x:v>
      </x:c>
      <x:c r="F294" s="14" t="str">
        <x:v>I3</x:v>
      </x:c>
      <x:c r="G294" s="14" t="n">
        <x:v>49</x:v>
      </x:c>
      <x:c r="H294" s="14" t="n">
        <x:v>1</x:v>
      </x:c>
      <x:c r="I294" s="14" t="n">
        <x:v>1</x:v>
      </x:c>
      <x:c r="J294" s="18" t="n">
        <x:v>4950</x:v>
      </x:c>
      <x:c r="K294" s="19" t="n">
        <x:v>46233.424376319446</x:v>
      </x:c>
      <x:c r="L294" s="19" t="n">
        <x:v>46387.41515046296</x:v>
      </x:c>
      <x:c r="M294" s="15" t="str">
        <x:v>Послуги із монтажу і ремонту систем відеоспостереження та систем контроля доступу</x:v>
      </x:c>
      <x:c r="N294" s="15" t="str">
        <x:v>https://prozorro.gov.ua/tender/UA-2026-07-30-003780-a</x:v>
      </x:c>
    </x:row>
    <x:row r="295">
      <x:c r="A295" s="14" t="n">
        <x:v>291</x:v>
      </x:c>
      <x:c r="B295" s="14" t="str">
        <x:v>ФОП Жовтун Олександра Реджебівна</x:v>
      </x:c>
      <x:c r="C295" s="14" t="str">
        <x:v>3332914667</x:v>
      </x:c>
      <x:c r="D295" s="14" t="str">
        <x:v>Безпека / СКУД / CCTV</x:v>
      </x:c>
      <x:c r="E295" s="14" t="str">
        <x:v>Expansion discovery</x:v>
      </x:c>
      <x:c r="F295" s="14" t="str">
        <x:v>I3</x:v>
      </x:c>
      <x:c r="G295" s="14" t="n">
        <x:v>49</x:v>
      </x:c>
      <x:c r="H295" s="14" t="n">
        <x:v>1</x:v>
      </x:c>
      <x:c r="I295" s="14" t="n">
        <x:v>1</x:v>
      </x:c>
      <x:c r="J295" s="18" t="n">
        <x:v>63600</x:v>
      </x:c>
      <x:c r="K295" s="19" t="n">
        <x:v>46248.55315047454</x:v>
      </x:c>
      <x:c r="L295" s="19" t="n">
        <x:v>46387.59710648148</x:v>
      </x:c>
      <x:c r="M295" s="15" t="str">
        <x:v>Монтаж системи відеоспостереження</x:v>
      </x:c>
      <x:c r="N295" s="15" t="str">
        <x:v>https://prozorro.gov.ua/tender/UA-2026-08-14-010513-a</x:v>
      </x:c>
    </x:row>
    <x:row r="296">
      <x:c r="A296" s="14" t="n">
        <x:v>292</x:v>
      </x:c>
      <x:c r="B296" s="14" t="str">
        <x:v>ФОП Кметюк В.М.</x:v>
      </x:c>
      <x:c r="C296" s="14" t="str">
        <x:v>3267715811</x:v>
      </x:c>
      <x:c r="D296" s="14" t="str">
        <x:v>Електромонтаж</x:v>
      </x:c>
      <x:c r="E296" s="14" t="str">
        <x:v>Pilot now</x:v>
      </x:c>
      <x:c r="F296" s="14" t="str">
        <x:v>I3</x:v>
      </x:c>
      <x:c r="G296" s="14" t="n">
        <x:v>49</x:v>
      </x:c>
      <x:c r="H296" s="14" t="n">
        <x:v>1</x:v>
      </x:c>
      <x:c r="I296" s="14" t="n">
        <x:v>1</x:v>
      </x:c>
      <x:c r="J296" s="18" t="n">
        <x:v>8937.87</x:v>
      </x:c>
      <x:c r="K296" s="19" t="n">
        <x:v>46258.36646300926</x:v>
      </x:c>
      <x:c r="L296" s="19" t="n">
        <x:v>46258</x:v>
      </x:c>
      <x:c r="M296" s="15" t="str">
        <x:v>електромонтажні роботи</x:v>
      </x:c>
      <x:c r="N296" s="15" t="str">
        <x:v>https://prozorro.gov.ua/tender/UA-2026-08-24-003617-a</x:v>
      </x:c>
    </x:row>
    <x:row r="297">
      <x:c r="A297" s="14" t="n">
        <x:v>293</x:v>
      </x:c>
      <x:c r="B297" s="14" t="str">
        <x:v>ФОП Курєнков Сергій Олександрович</x:v>
      </x:c>
      <x:c r="C297" s="14" t="str">
        <x:v>3169902736</x:v>
      </x:c>
      <x:c r="D297" s="14" t="str">
        <x:v>Безпека / СКУД / CCTV</x:v>
      </x:c>
      <x:c r="E297" s="14" t="str">
        <x:v>Expansion discovery</x:v>
      </x:c>
      <x:c r="F297" s="14" t="str">
        <x:v>I3</x:v>
      </x:c>
      <x:c r="G297" s="14" t="n">
        <x:v>49</x:v>
      </x:c>
      <x:c r="H297" s="14" t="n">
        <x:v>1</x:v>
      </x:c>
      <x:c r="I297" s="14" t="n">
        <x:v>1</x:v>
      </x:c>
      <x:c r="J297" s="18" t="n">
        <x:v>9850</x:v>
      </x:c>
      <x:c r="K297" s="19" t="n">
        <x:v>46225.49115436342</x:v>
      </x:c>
      <x:c r="L297" s="19" t="n">
        <x:v>46266.493113425924</x:v>
      </x:c>
      <x:c r="M297" s="15" t="str">
        <x:v>Послуги з монтажу системи відеоспостереження</x:v>
      </x:c>
      <x:c r="N297" s="15" t="str">
        <x:v>https://prozorro.gov.ua/tender/UA-2026-07-22-007424-a</x:v>
      </x:c>
    </x:row>
    <x:row r="298">
      <x:c r="A298" s="14" t="n">
        <x:v>294</x:v>
      </x:c>
      <x:c r="B298" s="14" t="str">
        <x:v>ФОП Макін О В</x:v>
      </x:c>
      <x:c r="C298" s="14" t="str">
        <x:v>2558204430</x:v>
      </x:c>
      <x:c r="D298" s="14" t="str">
        <x:v>HVAC / ОВіК</x:v>
      </x:c>
      <x:c r="E298" s="14" t="str">
        <x:v>Pilot now</x:v>
      </x:c>
      <x:c r="F298" s="14" t="str">
        <x:v>I3</x:v>
      </x:c>
      <x:c r="G298" s="14" t="n">
        <x:v>49</x:v>
      </x:c>
      <x:c r="H298" s="14" t="n">
        <x:v>1</x:v>
      </x:c>
      <x:c r="I298" s="14" t="n">
        <x:v>1</x:v>
      </x:c>
      <x:c r="J298" s="18" t="n">
        <x:v>51150</x:v>
      </x:c>
      <x:c r="K298" s="19" t="n">
        <x:v>46219.33511291667</x:v>
      </x:c>
      <x:c r="L298" s="19" t="n">
        <x:v>46387</x:v>
      </x:c>
      <x:c r="M298" s="15" t="str">
        <x:v>Електромонтажні роботи (монтаж вентиляційної системи)</x:v>
      </x:c>
      <x:c r="N298" s="15" t="str">
        <x:v>https://prozorro.gov.ua/tender/UA-2026-07-16-002589-a</x:v>
      </x:c>
    </x:row>
    <x:row r="299">
      <x:c r="A299" s="14" t="n">
        <x:v>295</x:v>
      </x:c>
      <x:c r="B299" s="14" t="str">
        <x:v>ФОП Олефіренко Андрій Анатолійович</x:v>
      </x:c>
      <x:c r="C299" s="14" t="str">
        <x:v>3195907118</x:v>
      </x:c>
      <x:c r="D299" s="14" t="str">
        <x:v>Безпека / СКУД / CCTV</x:v>
      </x:c>
      <x:c r="E299" s="14" t="str">
        <x:v>Expansion discovery</x:v>
      </x:c>
      <x:c r="F299" s="14" t="str">
        <x:v>I3</x:v>
      </x:c>
      <x:c r="G299" s="14" t="n">
        <x:v>49</x:v>
      </x:c>
      <x:c r="H299" s="14" t="n">
        <x:v>1</x:v>
      </x:c>
      <x:c r="I299" s="14" t="n">
        <x:v>1</x:v>
      </x:c>
      <x:c r="J299" s="18" t="n">
        <x:v>34162</x:v>
      </x:c>
      <x:c r="K299" s="19" t="n">
        <x:v>46216.51562196759</x:v>
      </x:c>
      <x:c r="L299" s="19" t="n">
        <x:v>46381.556597222225</x:v>
      </x:c>
      <x:c r="M299" s="15" t="str">
        <x:v>Послуги  монтажні та пусконалагоджувальні роботи з монтажу системи відеоспостереження.</x:v>
      </x:c>
      <x:c r="N299" s="15" t="str">
        <x:v>https://prozorro.gov.ua/tender/UA-2026-07-13-008065-a</x:v>
      </x:c>
    </x:row>
    <x:row r="300">
      <x:c r="A300" s="14" t="n">
        <x:v>296</x:v>
      </x:c>
      <x:c r="B300" s="14" t="str">
        <x:v>ФОП Саакян А.С.</x:v>
      </x:c>
      <x:c r="C300" s="14" t="str">
        <x:v>2733721519</x:v>
      </x:c>
      <x:c r="D300" s="14" t="str">
        <x:v>Мости / інфраструктура</x:v>
      </x:c>
      <x:c r="E300" s="14" t="str">
        <x:v>Expansion discovery</x:v>
      </x:c>
      <x:c r="F300" s="14" t="str">
        <x:v>I3</x:v>
      </x:c>
      <x:c r="G300" s="14" t="n">
        <x:v>49</x:v>
      </x:c>
      <x:c r="H300" s="14" t="n">
        <x:v>1</x:v>
      </x:c>
      <x:c r="I300" s="14" t="n">
        <x:v>1</x:v>
      </x:c>
      <x:c r="J300" s="18" t="n">
        <x:v>70190.23</x:v>
      </x:c>
      <x:c r="K300" s="19" t="n">
        <x:v>46255.52196247685</x:v>
      </x:c>
      <x:c r="L300" s="19" t="n">
        <x:v>46387.56453703704</x:v>
      </x:c>
      <x:c r="M300" s="15" t="str">
        <x:v>Послуга по поточному (дрібному) ремонту дорожнього покриття сільського мосту між вул.Шевченко,48 та вул.Митрофанівська,26 в с.Перегонівка Голованівського р-ону Кіровоградської обл.</x:v>
      </x:c>
      <x:c r="N300" s="15" t="str">
        <x:v>https://prozorro.gov.ua/tender/UA-2026-08-21-010512-a</x:v>
      </x:c>
    </x:row>
    <x:row r="301">
      <x:c r="A301" s="14" t="n">
        <x:v>297</x:v>
      </x:c>
      <x:c r="B301" s="14" t="str">
        <x:v>ФОП Сапіга Михайло Євгенович</x:v>
      </x:c>
      <x:c r="C301" s="14" t="str">
        <x:v>2473003698</x:v>
      </x:c>
      <x:c r="D301" s="14" t="str">
        <x:v>Газопостачання / котельні</x:v>
      </x:c>
      <x:c r="E301" s="14" t="str">
        <x:v>Expansion discovery</x:v>
      </x:c>
      <x:c r="F301" s="14" t="str">
        <x:v>I3</x:v>
      </x:c>
      <x:c r="G301" s="14" t="n">
        <x:v>49</x:v>
      </x:c>
      <x:c r="H301" s="14" t="n">
        <x:v>1</x:v>
      </x:c>
      <x:c r="I301" s="14" t="n">
        <x:v>1</x:v>
      </x:c>
      <x:c r="J301" s="18" t="n">
        <x:v>49200</x:v>
      </x:c>
      <x:c r="K301" s="19" t="n">
        <x:v>46254.44403056713</x:v>
      </x:c>
      <x:c r="L301" s="19" t="n">
        <x:v>46387.48663194444</x:v>
      </x:c>
      <x:c r="M301" s="15" t="str">
        <x:v>Монтаж системи підготовки мережевої води в  котельні по вул. Богдана Хмельницького,7-К, м. Богуслав, Обухівського району (45330000-9 – Водопровідні та санітарно-технічні роботи ).</x:v>
      </x:c>
      <x:c r="N301" s="15" t="str">
        <x:v>https://prozorro.gov.ua/tender/UA-2026-08-20-006819-a</x:v>
      </x:c>
    </x:row>
    <x:row r="302">
      <x:c r="A302" s="14" t="n">
        <x:v>298</x:v>
      </x:c>
      <x:c r="B302" s="14" t="str">
        <x:v>ФОП Тертишник Сергій Миколайович</x:v>
      </x:c>
      <x:c r="C302" s="14" t="str">
        <x:v>3633807710</x:v>
      </x:c>
      <x:c r="D302" s="14" t="str">
        <x:v>Електромонтаж</x:v>
      </x:c>
      <x:c r="E302" s="14" t="str">
        <x:v>Pilot now</x:v>
      </x:c>
      <x:c r="F302" s="14" t="str">
        <x:v>I3</x:v>
      </x:c>
      <x:c r="G302" s="14" t="n">
        <x:v>49</x:v>
      </x:c>
      <x:c r="H302" s="14" t="n">
        <x:v>1</x:v>
      </x:c>
      <x:c r="I302" s="14" t="n">
        <x:v>1</x:v>
      </x:c>
      <x:c r="J302" s="18" t="n">
        <x:v>19952.96</x:v>
      </x:c>
      <x:c r="K302" s="19" t="n">
        <x:v>46254.29946659722</x:v>
      </x:c>
      <x:c r="L302" s="19" t="n">
        <x:v>46387.34100694444</x:v>
      </x:c>
      <x:c r="M302" s="15" t="str">
        <x:v>Електромонтажні роботи</x:v>
      </x:c>
      <x:c r="N302" s="15" t="str">
        <x:v>https://prozorro.gov.ua/tender/UA-2026-08-20-001719-a</x:v>
      </x:c>
    </x:row>
    <x:row r="303">
      <x:c r="A303" s="14" t="n">
        <x:v>299</x:v>
      </x:c>
      <x:c r="B303" s="14" t="str">
        <x:v>ФОП Ткаченко.П.І</x:v>
      </x:c>
      <x:c r="C303" s="14" t="str">
        <x:v>2147602655</x:v>
      </x:c>
      <x:c r="D303" s="14" t="str">
        <x:v>Промисловий холод</x:v>
      </x:c>
      <x:c r="E303" s="14" t="str">
        <x:v>Expansion discovery</x:v>
      </x:c>
      <x:c r="F303" s="14" t="str">
        <x:v>I3</x:v>
      </x:c>
      <x:c r="G303" s="14" t="n">
        <x:v>49</x:v>
      </x:c>
      <x:c r="H303" s="14" t="n">
        <x:v>1</x:v>
      </x:c>
      <x:c r="I303" s="14" t="n">
        <x:v>1</x:v>
      </x:c>
      <x:c r="J303" s="18" t="n">
        <x:v>30965</x:v>
      </x:c>
      <x:c r="K303" s="19" t="n">
        <x:v>46216.28865054398</x:v>
      </x:c>
      <x:c r="L303" s="19" t="n">
        <x:v>46387</x:v>
      </x:c>
      <x:c r="M303" s="15" t="str">
        <x:v>Встановлення холодильного обладнання</x:v>
      </x:c>
      <x:c r="N303" s="15" t="str">
        <x:v>https://prozorro.gov.ua/tender/UA-2026-07-13-001172-a</x:v>
      </x:c>
    </x:row>
    <x:row r="304">
      <x:c r="A304" s="14" t="n">
        <x:v>300</x:v>
      </x:c>
      <x:c r="B304" s="14" t="str">
        <x:v>ФОП Фоменкова О.В.</x:v>
      </x:c>
      <x:c r="C304" s="14" t="str">
        <x:v>2715111789</x:v>
      </x:c>
      <x:c r="D304" s="14" t="str">
        <x:v>Мости / інфраструктура</x:v>
      </x:c>
      <x:c r="E304" s="14" t="str">
        <x:v>Expansion discovery</x:v>
      </x:c>
      <x:c r="F304" s="14" t="str">
        <x:v>I3</x:v>
      </x:c>
      <x:c r="G304" s="14" t="n">
        <x:v>49</x:v>
      </x:c>
      <x:c r="H304" s="14" t="n">
        <x:v>1</x:v>
      </x:c>
      <x:c r="I304" s="14" t="n">
        <x:v>1</x:v>
      </x:c>
      <x:c r="J304" s="18" t="n">
        <x:v>25000</x:v>
      </x:c>
      <x:c r="K304" s="19" t="n">
        <x:v>46216.628633657405</x:v>
      </x:c>
      <x:c r="L304" s="19" t="n">
        <x:v>46387.67122685185</x:v>
      </x:c>
      <x:c r="M304" s="15" t="str">
        <x:v>ПКД на "Поточний ремонт дорожнього покриття по вул.Українська,(від мосту через р.Верхня терса  до перетину з вул.Магістральна) смт Новомиколаївка,Запорізького району Запорізької області"</x:v>
      </x:c>
      <x:c r="N304" s="15" t="str">
        <x:v>https://prozorro.gov.ua/tender/UA-2026-07-13-011130-a</x:v>
      </x:c>
    </x:row>
    <x:row r="305">
      <x:c r="A305" s="14" t="n">
        <x:v>301</x:v>
      </x:c>
      <x:c r="B305" s="14" t="str">
        <x:v>ФОП Чорнобай Ігор Анатолійович</x:v>
      </x:c>
      <x:c r="C305" s="14" t="str">
        <x:v>2420414479</x:v>
      </x:c>
      <x:c r="D305" s="14" t="str">
        <x:v>Електромонтаж</x:v>
      </x:c>
      <x:c r="E305" s="14" t="str">
        <x:v>Pilot now</x:v>
      </x:c>
      <x:c r="F305" s="14" t="str">
        <x:v>I3</x:v>
      </x:c>
      <x:c r="G305" s="14" t="n">
        <x:v>49</x:v>
      </x:c>
      <x:c r="H305" s="14" t="n">
        <x:v>1</x:v>
      </x:c>
      <x:c r="I305" s="14" t="n">
        <x:v>1</x:v>
      </x:c>
      <x:c r="J305" s="18" t="n">
        <x:v>19600</x:v>
      </x:c>
      <x:c r="K305" s="19" t="n">
        <x:v>46258.42393379629</x:v>
      </x:c>
      <x:c r="L305" s="19" t="n">
        <x:v>46265.425775462965</x:v>
      </x:c>
      <x:c r="M305" s="15" t="str">
        <x:v>Електромонтажні роботи з  влаштування електроживлення бойлерів</x:v>
      </x:c>
      <x:c r="N305" s="15" t="str">
        <x:v>https://prozorro.gov.ua/tender/UA-2026-08-24-005216-a</x:v>
      </x:c>
    </x:row>
    <x:row r="306">
      <x:c r="A306" s="14" t="n">
        <x:v>302</x:v>
      </x:c>
      <x:c r="B306" s="14" t="str">
        <x:v>ФРІД ЯРОСЛАВ ЙОСИПОВИЧ</x:v>
      </x:c>
      <x:c r="C306" s="14" t="str">
        <x:v>2818517395</x:v>
      </x:c>
      <x:c r="D306" s="14" t="str">
        <x:v>Пожежогасіння</x:v>
      </x:c>
      <x:c r="E306" s="14" t="str">
        <x:v>Expansion discovery</x:v>
      </x:c>
      <x:c r="F306" s="14" t="str">
        <x:v>I3</x:v>
      </x:c>
      <x:c r="G306" s="14" t="n">
        <x:v>49</x:v>
      </x:c>
      <x:c r="H306" s="14" t="n">
        <x:v>1</x:v>
      </x:c>
      <x:c r="I306" s="14" t="n">
        <x:v>1</x:v>
      </x:c>
      <x:c r="J306" s="18" t="n">
        <x:v>75000</x:v>
      </x:c>
      <x:c r="K306" s="19" t="n">
        <x:v>46227.47163215278</x:v>
      </x:c>
      <x:c r="L306" s="19" t="n">
        <x:v>46387</x:v>
      </x:c>
      <x:c r="M306" s="15" t="str">
        <x:v>Послуги з монтажу системи автоматичної пожежної сигналізації в приміщення будинку культури по вул. Шевченка, 8 с. Сторожниця Ужгородського району</x:v>
      </x:c>
      <x:c r="N306" s="15" t="str">
        <x:v>https://prozorro.gov.ua/tender/UA-2026-07-24-007093-a</x:v>
      </x:c>
    </x:row>
    <x:row r="307">
      <x:c r="A307" s="14" t="n">
        <x:v>303</x:v>
      </x:c>
      <x:c r="B307" s="14" t="str">
        <x:v>ХОМЕНКО ВІТАЛІЙ ВІКТОРОВИЧ</x:v>
      </x:c>
      <x:c r="C307" s="14" t="str">
        <x:v>3339918455</x:v>
      </x:c>
      <x:c r="D307" s="14" t="str">
        <x:v>Безпека / СКУД / CCTV</x:v>
      </x:c>
      <x:c r="E307" s="14" t="str">
        <x:v>Expansion discovery</x:v>
      </x:c>
      <x:c r="F307" s="14" t="str">
        <x:v>I3</x:v>
      </x:c>
      <x:c r="G307" s="14" t="n">
        <x:v>49</x:v>
      </x:c>
      <x:c r="H307" s="14" t="n">
        <x:v>1</x:v>
      </x:c>
      <x:c r="I307" s="14" t="n">
        <x:v>1</x:v>
      </x:c>
      <x:c r="J307" s="18" t="n">
        <x:v>37962</x:v>
      </x:c>
      <x:c r="K307" s="19" t="n">
        <x:v>46251.375759664355</x:v>
      </x:c>
      <x:c r="L307" s="19" t="n">
        <x:v>46387</x:v>
      </x:c>
      <x:c r="M307" s="15" t="str">
        <x:v>Послуги з монтажу системи контролю та управління доступом автомобілів за адресою: м. Київ, вул. Кловський узвіз, 8 (ДК 021:2015: 45350000-5 — Механо-монтажні роботи) </x:v>
      </x:c>
      <x:c r="N307" s="15" t="str">
        <x:v>https://prozorro.gov.ua/tender/UA-2026-08-17-004383-a</x:v>
      </x:c>
    </x:row>
    <x:row r="308">
      <x:c r="A308" s="14" t="n">
        <x:v>304</x:v>
      </x:c>
      <x:c r="B308" s="14" t="str">
        <x:v>Чернобильський Євген Володимирович</x:v>
      </x:c>
      <x:c r="C308" s="14" t="str">
        <x:v>2713905975</x:v>
      </x:c>
      <x:c r="D308" s="14" t="str">
        <x:v>Промисловий холод</x:v>
      </x:c>
      <x:c r="E308" s="14" t="str">
        <x:v>Expansion discovery</x:v>
      </x:c>
      <x:c r="F308" s="14" t="str">
        <x:v>I3</x:v>
      </x:c>
      <x:c r="G308" s="14" t="n">
        <x:v>49</x:v>
      </x:c>
      <x:c r="H308" s="14" t="n">
        <x:v>1</x:v>
      </x:c>
      <x:c r="I308" s="14" t="n">
        <x:v>1</x:v>
      </x:c>
      <x:c r="J308" s="18" t="n">
        <x:v>41625</x:v>
      </x:c>
      <x:c r="K308" s="19" t="n">
        <x:v>46241.26161476852</x:v>
      </x:c>
      <x:c r="L308" s="19" t="n">
        <x:v>46387</x:v>
      </x:c>
      <x:c r="M308" s="15" t="str">
        <x:v>Монтаж холодильного обладнання з підключенням до мереж (ДК 021:2015 50730000-1 Послуги з ремонту і технічного обслуговування охолоджувальних установок)</x:v>
      </x:c>
      <x:c r="N308" s="15" t="str">
        <x:v>https://prozorro.gov.ua/tender/UA-2026-08-07-000749-a</x:v>
      </x:c>
    </x:row>
    <x:row r="309">
      <x:c r="A309" s="14" t="n">
        <x:v>305</x:v>
      </x:c>
      <x:c r="B309" s="14" t="str">
        <x:v>Шелінговський  Віктор Антонович</x:v>
      </x:c>
      <x:c r="C309" s="14" t="str">
        <x:v>2333919831</x:v>
      </x:c>
      <x:c r="D309" s="14" t="str">
        <x:v>HVAC / ОВіК</x:v>
      </x:c>
      <x:c r="E309" s="14" t="str">
        <x:v>Pilot now</x:v>
      </x:c>
      <x:c r="F309" s="14" t="str">
        <x:v>I3</x:v>
      </x:c>
      <x:c r="G309" s="14" t="n">
        <x:v>49</x:v>
      </x:c>
      <x:c r="H309" s="14" t="n">
        <x:v>1</x:v>
      </x:c>
      <x:c r="I309" s="14" t="n">
        <x:v>1</x:v>
      </x:c>
      <x:c r="J309" s="18" t="n">
        <x:v>19805.2</x:v>
      </x:c>
      <x:c r="K309" s="19" t="n">
        <x:v>46248.40554746528</x:v>
      </x:c>
      <x:c r="L309" s="19" t="n">
        <x:v>46387</x:v>
      </x:c>
      <x:c r="M309" s="15" t="str">
        <x:v>Ремонт  системи опалення закладу дошкільної освіти ( виконання робіт з демонтажу, монтажу радіаторів опалення, встановлення кранів, демонтажу та монтажу труби, ремонтно - зварювальні роботи)</x:v>
      </x:c>
      <x:c r="N309" s="15" t="str">
        <x:v>https://prozorro.gov.ua/tender/UA-2026-08-14-005615-a</x:v>
      </x:c>
    </x:row>
    <x:row r="310">
      <x:c r="A310" s="14" t="n">
        <x:v>306</x:v>
      </x:c>
      <x:c r="B310" s="14" t="str">
        <x:v>ЯРЕМЧУК МАРІЯ АНДРІЇВНА</x:v>
      </x:c>
      <x:c r="C310" s="14" t="str">
        <x:v>2535503908</x:v>
      </x:c>
      <x:c r="D310" s="14" t="str">
        <x:v>HVAC / ОВіК</x:v>
      </x:c>
      <x:c r="E310" s="14" t="str">
        <x:v>Pilot now</x:v>
      </x:c>
      <x:c r="F310" s="14" t="str">
        <x:v>I3</x:v>
      </x:c>
      <x:c r="G310" s="14" t="n">
        <x:v>49</x:v>
      </x:c>
      <x:c r="H310" s="14" t="n">
        <x:v>1</x:v>
      </x:c>
      <x:c r="I310" s="14" t="n">
        <x:v>1</x:v>
      </x:c>
      <x:c r="J310" s="18" t="n">
        <x:v>1810</x:v>
      </x:c>
      <x:c r="K310" s="19" t="n">
        <x:v>46224.45935636574</x:v>
      </x:c>
      <x:c r="L310" s="19" t="n">
        <x:v>46387</x:v>
      </x:c>
      <x:c r="M310" s="15" t="str">
        <x:v>Матеріали та комплектуючі для монтажу системи водяного опалення.</x:v>
      </x:c>
      <x:c r="N310" s="15" t="str">
        <x:v>https://prozorro.gov.ua/tender/UA-2026-07-21-006404-a</x:v>
      </x:c>
    </x:row>
    <x:row r="311">
      <x:c r="A311" s="14" t="n">
        <x:v>307</x:v>
      </x:c>
      <x:c r="B311" s="14" t="str">
        <x:v>ЯРОШЕНКО АНДРІЙ ЄВГЕНОВИЧ</x:v>
      </x:c>
      <x:c r="C311" s="14" t="str">
        <x:v>3118813890</x:v>
      </x:c>
      <x:c r="D311" s="14" t="str">
        <x:v>Сонячна енергетика</x:v>
      </x:c>
      <x:c r="E311" s="14" t="str">
        <x:v>Expansion discovery</x:v>
      </x:c>
      <x:c r="F311" s="14" t="str">
        <x:v>I3</x:v>
      </x:c>
      <x:c r="G311" s="14" t="n">
        <x:v>49</x:v>
      </x:c>
      <x:c r="H311" s="14" t="n">
        <x:v>1</x:v>
      </x:c>
      <x:c r="I311" s="14" t="n">
        <x:v>1</x:v>
      </x:c>
      <x:c r="J311" s="18" t="n">
        <x:v>98700</x:v>
      </x:c>
      <x:c r="K311" s="19" t="n">
        <x:v>46216.312423414354</x:v>
      </x:c>
      <x:c r="L311" s="19" t="n">
        <x:v>46387</x:v>
      </x:c>
      <x:c r="M311" s="15" t="str">
        <x:v>Послуги з демонтажу, повторного монтажу та підключення дахової сонячної електростанції розташованої на корпусі № 16 Державного некомерційного підприємства «Національна дитяча спеціалізована лікарня «Охматдит» МОЗ України» за адресою: м. Київ, вул. В’ячеслава Чорновола, 28/1, за кодом ДК 021:2015: 51110000-6 Послуги зі встановлення електричного обладнання</x:v>
      </x:c>
      <x:c r="N311" s="15" t="str">
        <x:v>https://prozorro.gov.ua/tender/UA-2026-07-13-001820-a</x:v>
      </x:c>
    </x:row>
    <x:row r="312">
      <x:c r="A312" s="14" t="n">
        <x:v>308</x:v>
      </x:c>
      <x:c r="B312" s="14" t="str">
        <x:v>ЯСИНСЬКИЙ ВІТАЛІЙ ВОЛОДИМИРОВИЧ</x:v>
      </x:c>
      <x:c r="C312" s="14" t="str">
        <x:v>3094208552</x:v>
      </x:c>
      <x:c r="D312" s="14" t="str">
        <x:v>Безпека / СКУД / CCTV</x:v>
      </x:c>
      <x:c r="E312" s="14" t="str">
        <x:v>Expansion discovery</x:v>
      </x:c>
      <x:c r="F312" s="14" t="str">
        <x:v>I3</x:v>
      </x:c>
      <x:c r="G312" s="14" t="n">
        <x:v>49</x:v>
      </x:c>
      <x:c r="H312" s="14" t="n">
        <x:v>1</x:v>
      </x:c>
      <x:c r="I312" s="14" t="n">
        <x:v>1</x:v>
      </x:c>
      <x:c r="J312" s="18" t="n">
        <x:v>22076</x:v>
      </x:c>
      <x:c r="K312" s="19" t="n">
        <x:v>46258.271759780095</x:v>
      </x:c>
      <x:c r="L312" s="19" t="n">
        <x:v>46387</x:v>
      </x:c>
      <x:c r="M312" s="15" t="str">
        <x:v>Послуги з монтажу та налаштування системи відеоспостереження</x:v>
      </x:c>
      <x:c r="N312" s="15" t="str">
        <x:v>https://prozorro.gov.ua/tender/UA-2026-08-24-000723-a</x:v>
      </x:c>
    </x:row>
    <x:row r="313">
      <x:c r="A313" s="14" t="n">
        <x:v>309</x:v>
      </x:c>
      <x:c r="B313" s="14" t="str">
        <x:v>ТОВ "МАРЛІН ІНК"</x:v>
      </x:c>
      <x:c r="C313" s="14" t="str">
        <x:v>45197711</x:v>
      </x:c>
      <x:c r="D313" s="14" t="str">
        <x:v>ГНБ / безтраншейні роботи</x:v>
      </x:c>
      <x:c r="E313" s="14" t="str">
        <x:v>Expansion discovery</x:v>
      </x:c>
      <x:c r="F313" s="14" t="str">
        <x:v>I3</x:v>
      </x:c>
      <x:c r="G313" s="14" t="n">
        <x:v>49</x:v>
      </x:c>
      <x:c r="H313" s="14" t="n">
        <x:v>2</x:v>
      </x:c>
      <x:c r="I313" s="14" t="n">
        <x:v>0</x:v>
      </x:c>
      <x:c r="J313" s="18" t="n">
        <x:v>16099379</x:v>
      </x:c>
      <x:c r="K313" s="19" t="n">
        <x:v>45883.3629891088</x:v>
      </x:c>
      <x:c r="L313" s="19" t="n">
        <x:v>46022</x:v>
      </x:c>
      <x:c r="M313" s="15" t="str">
        <x:v>Демонтаж резервуарів, фундаментів та технологічних трубопроводів резервуарного парку +++ НГВУ «Чернігівнафтогаз» ПАТ «Укрнафта» Чернігівська обл. Прилуцький р-н, +++</x:v>
      </x:c>
      <x:c r="N313" s="15" t="str">
        <x:v>https://prozorro.gov.ua/tender/UA-2025-07-16-005656-a</x:v>
      </x:c>
    </x:row>
    <x:row r="314">
      <x:c r="A314" s="14" t="n">
        <x:v>310</x:v>
      </x:c>
      <x:c r="B314" s="14" t="str">
        <x:v>ТОВ "ПРОЕКТНИЙ ЦЕНТР РЕМБУД"</x:v>
      </x:c>
      <x:c r="C314" s="14" t="str">
        <x:v>44939177</x:v>
      </x:c>
      <x:c r="D314" s="14" t="str">
        <x:v>Насосні станції</x:v>
      </x:c>
      <x:c r="E314" s="14" t="str">
        <x:v>Expansion discovery</x:v>
      </x:c>
      <x:c r="F314" s="14" t="str">
        <x:v>I3</x:v>
      </x:c>
      <x:c r="G314" s="14" t="n">
        <x:v>49</x:v>
      </x:c>
      <x:c r="H314" s="14" t="n">
        <x:v>1</x:v>
      </x:c>
      <x:c r="I314" s="14" t="n">
        <x:v>0</x:v>
      </x:c>
      <x:c r="J314" s="18" t="n">
        <x:v>1200000</x:v>
      </x:c>
      <x:c r="K314" s="19" t="n">
        <x:v>46175.30792525463</x:v>
      </x:c>
      <x:c r="L314" s="19" t="n">
        <x:v>46213.30908564815</x:v>
      </x:c>
      <x:c r="M314" s="15" t="str">
        <x:v>Коригування проектної документації по об"єкту: "Реконструкція водопровідної насосної станції "Бобровиця", розташованої на землях Киселівської ОТГ Чернігівського району Чернігівської області." Коригування</x:v>
      </x:c>
      <x:c r="N314" s="15" t="str">
        <x:v>https://prozorro.gov.ua/tender/UA-2026-06-02-002181-a</x:v>
      </x:c>
    </x:row>
    <x:row r="315">
      <x:c r="A315" s="14" t="n">
        <x:v>311</x:v>
      </x:c>
      <x:c r="B315" s="14" t="str">
        <x:v>ТОВАРИСТВО З ОБМЕЖЕНОЮ ВІДПОВІДАЛЬНІСТЮ "ІННОВАЦІЙНА КОМПАНІЯ "ДЕКА"</x:v>
      </x:c>
      <x:c r="C315" s="14" t="str">
        <x:v>43880471</x:v>
      </x:c>
      <x:c r="D315" s="14" t="str">
        <x:v>Водоочищення / очисні споруди</x:v>
      </x:c>
      <x:c r="E315" s="14" t="str">
        <x:v>Expansion discovery</x:v>
      </x:c>
      <x:c r="F315" s="14" t="str">
        <x:v>I3</x:v>
      </x:c>
      <x:c r="G315" s="14" t="n">
        <x:v>49</x:v>
      </x:c>
      <x:c r="H315" s="14" t="n">
        <x:v>1</x:v>
      </x:c>
      <x:c r="I315" s="14" t="n">
        <x:v>0</x:v>
      </x:c>
      <x:c r="J315" s="18" t="n">
        <x:v>662692.01</x:v>
      </x:c>
      <x:c r="K315" s="19" t="n">
        <x:v>46154.3828858912</x:v>
      </x:c>
      <x:c r="L315" s="19" t="n">
        <x:v>46214</x:v>
      </x:c>
      <x:c r="M315" s="15" t="str">
        <x:v>Інженерно-геологічні та геодезичні вишукування на об'єкті «Реконструкція частини мережі каналізації шляхом встановлення модульних очисних споруд в селищі Олександрівка, Краматорського району, Донецької області»</x:v>
      </x:c>
      <x:c r="N315" s="15" t="str">
        <x:v>https://prozorro.gov.ua/tender/UA-2026-05-12-003036-a</x:v>
      </x:c>
    </x:row>
    <x:row r="316">
      <x:c r="A316" s="14" t="n">
        <x:v>312</x:v>
      </x:c>
      <x:c r="B316" s="14" t="str">
        <x:v>ТОВАРИСТВО З ОБМЕЖЕНОЮ ВІДПОВІДАЛЬНІСТЮ "НАУКОВО-ВИРОБНИЧЕ ПІДПРИЄМСТВО "УКРАЇНСЬКІ ТЕПЛОВІ МЕРЕЖІ"</x:v>
      </x:c>
      <x:c r="C316" s="14" t="str">
        <x:v>41157207</x:v>
      </x:c>
      <x:c r="D316" s="14" t="str">
        <x:v>HVAC / ОВіК</x:v>
      </x:c>
      <x:c r="E316" s="14" t="str">
        <x:v>Pilot now</x:v>
      </x:c>
      <x:c r="F316" s="14" t="str">
        <x:v>I3</x:v>
      </x:c>
      <x:c r="G316" s="14" t="n">
        <x:v>49</x:v>
      </x:c>
      <x:c r="H316" s="14" t="n">
        <x:v>1</x:v>
      </x:c>
      <x:c r="I316" s="14" t="n">
        <x:v>0</x:v>
      </x:c>
      <x:c r="J316" s="18" t="n">
        <x:v>545375</x:v>
      </x:c>
      <x:c r="K316" s="19" t="n">
        <x:v>46148.5671849537</x:v>
      </x:c>
      <x:c r="L316" s="19" t="n">
        <x:v>46172.87498842592</x:v>
      </x:c>
      <x:c r="M316" s="15" t="str">
        <x:v>Послуги з монтажу топкової та підключення її обладнання до існуючої системи опалення за адресою м. Харків, вул. Основ’янська, 17, відповідний код ЄЗС: ДК 021:2015: 45331000-6  Встановлення опалювальних, вентиляційних систем і систем кондиціонування повітря </x:v>
      </x:c>
      <x:c r="N316" s="15" t="str">
        <x:v>https://prozorro.gov.ua/tender/UA-2026-04-24-009702-a</x:v>
      </x:c>
    </x:row>
    <x:row r="317">
      <x:c r="A317" s="14" t="n">
        <x:v>313</x:v>
      </x:c>
      <x:c r="B317" s="14" t="str">
        <x:v>ПРИВАТНЕ ПІДПРИЄМСТВО "ППА-СЕРВІС"</x:v>
      </x:c>
      <x:c r="C317" s="14" t="str">
        <x:v>31188679</x:v>
      </x:c>
      <x:c r="D317" s="14" t="str">
        <x:v>Безпека / СКУД / CCTV</x:v>
      </x:c>
      <x:c r="E317" s="14" t="str">
        <x:v>Expansion discovery</x:v>
      </x:c>
      <x:c r="F317" s="14" t="str">
        <x:v>I3</x:v>
      </x:c>
      <x:c r="G317" s="14" t="n">
        <x:v>48</x:v>
      </x:c>
      <x:c r="H317" s="14" t="n">
        <x:v>2</x:v>
      </x:c>
      <x:c r="I317" s="14" t="n">
        <x:v>2</x:v>
      </x:c>
      <x:c r="J317" s="18" t="n">
        <x:v>72472</x:v>
      </x:c>
      <x:c r="K317" s="19" t="n">
        <x:v>46120.22883804398</x:v>
      </x:c>
      <x:c r="L317" s="19" t="n">
        <x:v>46387</x:v>
      </x:c>
      <x:c r="M317" s="15" t="str">
        <x:v>Послуги з монтажу та налаштування перепускної системи, а саме системи домофонного зв'язку та контролю доступу до неї</x:v>
      </x:c>
      <x:c r="N317" s="15" t="str">
        <x:v>https://prozorro.gov.ua/tender/UA-2026-04-08-000154-a</x:v>
      </x:c>
    </x:row>
    <x:row r="318">
      <x:c r="A318" s="14" t="n">
        <x:v>314</x:v>
      </x:c>
      <x:c r="B318" s="14" t="str">
        <x:v>ТОВАРИСТВО З ОБМЕЖЕНОЮ ВІДПОВІДАЛЬНІСТЮ "ГЕОДЕЗИЧНА КОМПАНІЯ "ГЕОПРОМ"</x:v>
      </x:c>
      <x:c r="C318" s="14" t="str">
        <x:v>39747316</x:v>
      </x:c>
      <x:c r="D318" s="14" t="str">
        <x:v>Водоочищення / очисні споруди</x:v>
      </x:c>
      <x:c r="E318" s="14" t="str">
        <x:v>Expansion discovery</x:v>
      </x:c>
      <x:c r="F318" s="14" t="str">
        <x:v>I3</x:v>
      </x:c>
      <x:c r="G318" s="14" t="n">
        <x:v>48</x:v>
      </x:c>
      <x:c r="H318" s="14" t="n">
        <x:v>2</x:v>
      </x:c>
      <x:c r="I318" s="14" t="n">
        <x:v>2</x:v>
      </x:c>
      <x:c r="J318" s="18" t="n">
        <x:v>89763</x:v>
      </x:c>
      <x:c r="K318" s="19" t="n">
        <x:v>46115.331812083336</x:v>
      </x:c>
      <x:c r="L318" s="19" t="n">
        <x:v>46387</x:v>
      </x:c>
      <x:c r="M318" s="15" t="str">
        <x:v>Виконання інженерно-геологічних вишукувальних робіт по обє’кту: «Реконструкція каналізаційних очисних споруд та ліній по обробці мулу у м. Харків. Міські очисні споруди водовідведення №2. Комплекс «Харківводовідведення», пр. Гагаріна 354, Харків (ПК9)»</x:v>
      </x:c>
      <x:c r="N318" s="15" t="str">
        <x:v>https://prozorro.gov.ua/tender/UA-2026-04-03-003509-a</x:v>
      </x:c>
    </x:row>
    <x:row r="319">
      <x:c r="A319" s="14" t="n">
        <x:v>315</x:v>
      </x:c>
      <x:c r="B319" s="14" t="str">
        <x:v>МОСТОВЕНКО ІГОР ВОЛОДИМИРОВИЧ</x:v>
      </x:c>
      <x:c r="C319" s="14" t="str">
        <x:v>2925317359</x:v>
      </x:c>
      <x:c r="D319" s="14" t="str">
        <x:v>Електромонтаж</x:v>
      </x:c>
      <x:c r="E319" s="14" t="str">
        <x:v>Pilot now</x:v>
      </x:c>
      <x:c r="F319" s="14" t="str">
        <x:v>I3</x:v>
      </x:c>
      <x:c r="G319" s="14" t="n">
        <x:v>48</x:v>
      </x:c>
      <x:c r="H319" s="14" t="n">
        <x:v>2</x:v>
      </x:c>
      <x:c r="I319" s="14" t="n">
        <x:v>1</x:v>
      </x:c>
      <x:c r="J319" s="18" t="n">
        <x:v>5000</x:v>
      </x:c>
      <x:c r="K319" s="19" t="n">
        <x:v>46211.47979754629</x:v>
      </x:c>
      <x:c r="L319" s="19" t="n">
        <x:v>46387</x:v>
      </x:c>
      <x:c r="M319" s="15" t="str">
        <x:v>Послуги з технічного обслуговування та утримання в належному стані внутрішніх та зовнішніх електромереж (Електровимірювальні роботи: вимірювання опору розтікання на основних заземлювачах і заземленнях магістралей і устаткування; перевірка ізоляції кабелів та проводів; перевірка повного опору петлі фаза-нуль)</x:v>
      </x:c>
      <x:c r="N319" s="15" t="str">
        <x:v>https://prozorro.gov.ua/tender/UA-2026-07-08-007220-a</x:v>
      </x:c>
    </x:row>
    <x:row r="320">
      <x:c r="A320" s="14" t="n">
        <x:v>316</x:v>
      </x:c>
      <x:c r="B320" s="14" t="str">
        <x:v>Фізична особа-підприємець Петрук Олександр Володимирович</x:v>
      </x:c>
      <x:c r="C320" s="14" t="str">
        <x:v>3283004214</x:v>
      </x:c>
      <x:c r="D320" s="14" t="str">
        <x:v>Безпека / СКУД / CCTV</x:v>
      </x:c>
      <x:c r="E320" s="14" t="str">
        <x:v>Expansion discovery</x:v>
      </x:c>
      <x:c r="F320" s="14" t="str">
        <x:v>I3</x:v>
      </x:c>
      <x:c r="G320" s="14" t="n">
        <x:v>48</x:v>
      </x:c>
      <x:c r="H320" s="14" t="n">
        <x:v>2</x:v>
      </x:c>
      <x:c r="I320" s="14" t="n">
        <x:v>1</x:v>
      </x:c>
      <x:c r="J320" s="18" t="n">
        <x:v>28866</x:v>
      </x:c>
      <x:c r="K320" s="19" t="n">
        <x:v>46174.57358927083</x:v>
      </x:c>
      <x:c r="L320" s="19" t="n">
        <x:v>46203</x:v>
      </x:c>
      <x:c r="M320" s="15" t="str">
        <x:v>Послуги з монтажу системи відеоспостереження</x:v>
      </x:c>
      <x:c r="N320" s="15" t="str">
        <x:v>https://prozorro.gov.ua/tender/UA-2026-06-01-010801-a</x:v>
      </x:c>
    </x:row>
    <x:row r="321">
      <x:c r="A321" s="14" t="n">
        <x:v>317</x:v>
      </x:c>
      <x:c r="B321" s="14" t="str">
        <x:v>ФОП Городецький Володимир Володимирович</x:v>
      </x:c>
      <x:c r="C321" s="14" t="str">
        <x:v>3114503914</x:v>
      </x:c>
      <x:c r="D321" s="14" t="str">
        <x:v>Безпека / СКУД / CCTV</x:v>
      </x:c>
      <x:c r="E321" s="14" t="str">
        <x:v>Expansion discovery</x:v>
      </x:c>
      <x:c r="F321" s="14" t="str">
        <x:v>I3</x:v>
      </x:c>
      <x:c r="G321" s="14" t="n">
        <x:v>48</x:v>
      </x:c>
      <x:c r="H321" s="14" t="n">
        <x:v>2</x:v>
      </x:c>
      <x:c r="I321" s="14" t="n">
        <x:v>1</x:v>
      </x:c>
      <x:c r="J321" s="18" t="n">
        <x:v>86418</x:v>
      </x:c>
      <x:c r="K321" s="19" t="n">
        <x:v>46211.336785775464</x:v>
      </x:c>
      <x:c r="L321" s="19" t="n">
        <x:v>46387.38082175926</x:v>
      </x:c>
      <x:c r="M321" s="15" t="str">
        <x:v>Послуги з монтажу та налагодження системи відеоспостереження</x:v>
      </x:c>
      <x:c r="N321" s="15" t="str">
        <x:v>https://prozorro.gov.ua/tender/UA-2026-07-08-003023-a</x:v>
      </x:c>
    </x:row>
    <x:row r="322">
      <x:c r="A322" s="14" t="n">
        <x:v>318</x:v>
      </x:c>
      <x:c r="B322" s="14" t="str">
        <x:v>БАРАН МИХАЙЛО МИРОНОВИЧ</x:v>
      </x:c>
      <x:c r="C322" s="14" t="str">
        <x:v>3272605818</x:v>
      </x:c>
      <x:c r="D322" s="14" t="str">
        <x:v>Промисловий холод</x:v>
      </x:c>
      <x:c r="E322" s="14" t="str">
        <x:v>Expansion discovery</x:v>
      </x:c>
      <x:c r="F322" s="14" t="str">
        <x:v>I3</x:v>
      </x:c>
      <x:c r="G322" s="14" t="n">
        <x:v>48</x:v>
      </x:c>
      <x:c r="H322" s="14" t="n">
        <x:v>1</x:v>
      </x:c>
      <x:c r="I322" s="14" t="n">
        <x:v>0</x:v>
      </x:c>
      <x:c r="J322" s="18" t="n">
        <x:v>128160</x:v>
      </x:c>
      <x:c r="K322" s="19" t="n">
        <x:v>46223.503721168985</x:v>
      </x:c>
      <x:c r="L322" s="19" t="n">
        <x:v>46234</x:v>
      </x:c>
      <x:c r="M322" s="15" t="str">
        <x:v>Холодильний агрегат типу Аспера OP-MSHM026 надтихоходний, - 1 шт., випарник типу Гюнтер GDF 030.1В/24.EN150.E - 1 шт., пульт керування - 1 шт., монтаж холодильного обладнання пуско-налагоджувальні роботи - 1 послуга, монтажний комплект - 1 комплект.  </x:v>
      </x:c>
      <x:c r="N322" s="15" t="str">
        <x:v>https://prozorro.gov.ua/tender/UA-2026-07-20-007339-a</x:v>
      </x:c>
    </x:row>
    <x:row r="323">
      <x:c r="A323" s="14" t="n">
        <x:v>319</x:v>
      </x:c>
      <x:c r="B323" s="14" t="str">
        <x:v>Фізична особа - підприємець Гумен Ігор Ігорович</x:v>
      </x:c>
      <x:c r="C323" s="14" t="str">
        <x:v>3346402459</x:v>
      </x:c>
      <x:c r="D323" s="14" t="str">
        <x:v>Безпека / СКУД / CCTV</x:v>
      </x:c>
      <x:c r="E323" s="14" t="str">
        <x:v>Expansion discovery</x:v>
      </x:c>
      <x:c r="F323" s="14" t="str">
        <x:v>I3</x:v>
      </x:c>
      <x:c r="G323" s="14" t="n">
        <x:v>48</x:v>
      </x:c>
      <x:c r="H323" s="14" t="n">
        <x:v>3</x:v>
      </x:c>
      <x:c r="I323" s="14" t="n">
        <x:v>0</x:v>
      </x:c>
      <x:c r="J323" s="18" t="n">
        <x:v>2130</x:v>
      </x:c>
      <x:c r="K323" s="19" t="n">
        <x:v>46139.473454189814</x:v>
      </x:c>
      <x:c r="L323" s="19" t="n">
        <x:v>46233</x:v>
      </x:c>
      <x:c r="M323" s="15" t="str">
        <x:v>Розетка "Luxel" для монтажу системи контролю доступу (домофонної системи) у ЗДО №75 Львівської міської ради (ДК 021:2015:31220000-4 - Елементи електричних схем)</x:v>
      </x:c>
      <x:c r="N323" s="15" t="str">
        <x:v>https://prozorro.gov.ua/tender/UA-2026-04-27-008025-a</x:v>
      </x:c>
    </x:row>
    <x:row r="324">
      <x:c r="A324" s="14" t="n">
        <x:v>320</x:v>
      </x:c>
      <x:c r="B324" s="14" t="str">
        <x:v>ФОП Пінтеску Ірина Володимирівна</x:v>
      </x:c>
      <x:c r="C324" s="14" t="str">
        <x:v>3052119989</x:v>
      </x:c>
      <x:c r="D324" s="14" t="str">
        <x:v>Мости / інфраструктура</x:v>
      </x:c>
      <x:c r="E324" s="14" t="str">
        <x:v>Expansion discovery</x:v>
      </x:c>
      <x:c r="F324" s="14" t="str">
        <x:v>I3</x:v>
      </x:c>
      <x:c r="G324" s="14" t="n">
        <x:v>48</x:v>
      </x:c>
      <x:c r="H324" s="14" t="n">
        <x:v>1</x:v>
      </x:c>
      <x:c r="I324" s="14" t="n">
        <x:v>0</x:v>
      </x:c>
      <x:c r="J324" s="18" t="n">
        <x:v>272400</x:v>
      </x:c>
      <x:c r="K324" s="19" t="n">
        <x:v>46241.46543015046</x:v>
      </x:c>
      <x:c r="L324" s="19" t="n">
        <x:v>46249</x:v>
      </x:c>
      <x:c r="M324" s="15" t="str">
        <x:v>послуги з ремонту автомобільного транспорту, а саме послуги з поточного (аварійного, позапланового) ремонту заднього мосту екскаватора-навантажувача Hyundai Н940S з запасними частинами, та матеріалами</x:v>
      </x:c>
      <x:c r="N324" s="15" t="str">
        <x:v>https://prozorro.gov.ua/tender/UA-2026-08-07-007492-a</x:v>
      </x:c>
    </x:row>
    <x:row r="325">
      <x:c r="A325" s="14" t="n">
        <x:v>321</x:v>
      </x:c>
      <x:c r="B325" s="14" t="str">
        <x:v>БРОДОВСЬКИЙ АНДРІЙ ПЕТРОВИЧ</x:v>
      </x:c>
      <x:c r="C325" s="14" t="str">
        <x:v>3223905592</x:v>
      </x:c>
      <x:c r="D325" s="14" t="str">
        <x:v>Газопостачання / котельні</x:v>
      </x:c>
      <x:c r="E325" s="14" t="str">
        <x:v>Expansion discovery</x:v>
      </x:c>
      <x:c r="F325" s="14" t="str">
        <x:v>I3</x:v>
      </x:c>
      <x:c r="G325" s="14" t="n">
        <x:v>47</x:v>
      </x:c>
      <x:c r="H325" s="14" t="n">
        <x:v>1</x:v>
      </x:c>
      <x:c r="I325" s="14" t="n">
        <x:v>1</x:v>
      </x:c>
      <x:c r="J325" s="18" t="n">
        <x:v>2552941.97</x:v>
      </x:c>
      <x:c r="K325" s="19" t="n">
        <x:v>46134.54516891204</x:v>
      </x:c>
      <x:c r="L325" s="19" t="n">
        <x:v>46265</x:v>
      </x:c>
      <x:c r="M325" s="15" t="str">
        <x:v>ДК 021:2015-45251000-1 Будівництво електростанцій і теплових станцій. Нове будівництво модульної  транспортабельної котельні в м.Харкові за адресою: **** (резервного живлення). Зворотна засипка фундаменту та монтаж ферми
</x:v>
      </x:c>
      <x:c r="N325" s="15" t="str">
        <x:v>https://prozorro.gov.ua/tender/UA-2026-04-22-013301-a</x:v>
      </x:c>
    </x:row>
    <x:row r="326">
      <x:c r="A326" s="14" t="n">
        <x:v>322</x:v>
      </x:c>
      <x:c r="B326" s="14" t="str">
        <x:v>ЛИМАР ОЛЕКСАНДР АНАТОЛІЙОВИЧ</x:v>
      </x:c>
      <x:c r="C326" s="14" t="str">
        <x:v>3035717452</x:v>
      </x:c>
      <x:c r="D326" s="14" t="str">
        <x:v>Насосні станції</x:v>
      </x:c>
      <x:c r="E326" s="14" t="str">
        <x:v>Expansion discovery</x:v>
      </x:c>
      <x:c r="F326" s="14" t="str">
        <x:v>I3</x:v>
      </x:c>
      <x:c r="G326" s="14" t="n">
        <x:v>47</x:v>
      </x:c>
      <x:c r="H326" s="14" t="n">
        <x:v>1</x:v>
      </x:c>
      <x:c r="I326" s="14" t="n">
        <x:v>1</x:v>
      </x:c>
      <x:c r="J326" s="18" t="n">
        <x:v>149426.52</x:v>
      </x:c>
      <x:c r="K326" s="19" t="n">
        <x:v>46198.55497143519</x:v>
      </x:c>
      <x:c r="L326" s="19" t="n">
        <x:v>46416</x:v>
      </x:c>
      <x:c r="M326" s="15" t="str">
        <x:v>Коригування проектної документації для об'єкту будівництва: «Реконструкція водоочисних споруд насосної станції ІІ підйому по вул. Київська 130 В м. Обухів, Київської області». Коригування</x:v>
      </x:c>
      <x:c r="N326" s="15" t="str">
        <x:v>https://prozorro.gov.ua/tender/UA-2026-06-25-011409-a</x:v>
      </x:c>
    </x:row>
    <x:row r="327">
      <x:c r="A327" s="14" t="n">
        <x:v>323</x:v>
      </x:c>
      <x:c r="B327" s="14" t="str">
        <x:v>ФІЗИЧНА ОСОБА-ПІДПРИЄМЕЦЬ  ВАРИВОД СВІТЛАНАОЛЕКСІЇВНА </x:v>
      </x:c>
      <x:c r="C327" s="14" t="str">
        <x:v>2394708105</x:v>
      </x:c>
      <x:c r="D327" s="14" t="str">
        <x:v>Резервне живлення</x:v>
      </x:c>
      <x:c r="E327" s="14" t="str">
        <x:v>Expansion discovery</x:v>
      </x:c>
      <x:c r="F327" s="14" t="str">
        <x:v>I3</x:v>
      </x:c>
      <x:c r="G327" s="14" t="n">
        <x:v>47</x:v>
      </x:c>
      <x:c r="H327" s="14" t="n">
        <x:v>1</x:v>
      </x:c>
      <x:c r="I327" s="14" t="n">
        <x:v>1</x:v>
      </x:c>
      <x:c r="J327" s="18" t="n">
        <x:v>400000</x:v>
      </x:c>
      <x:c r="K327" s="19" t="n">
        <x:v>46202.35694439815</x:v>
      </x:c>
      <x:c r="L327" s="19" t="n">
        <x:v>46387</x:v>
      </x:c>
      <x:c r="M327" s="15" t="str">
        <x:v>«Придбання та встановлення, монтаж та пусконаладка на місці безпосередньої експлуатації (Смілянський міський будинок культури за адресою: вул.Соборна, буд. 100 м.Сміла, Смілянської територіальної громади, Черкаського району, Черкаської області) комплекту  безперебійної системи живлення у складі: гібридний інвертор /3- фазний, з чистою синусоїдою /, акумуляторні батареї, кабель живлення акамулятора, негативний кабель живлення акамулятора, кабель КГНВ, автоматичний вимикач,  перемикач навантаження , щит розподільчий або «еквівалент»  ( код ДК 021:2015 (CPV):   31150000-2 Баласти для розрядних ламп чи трубок );
</x:v>
      </x:c>
      <x:c r="N327" s="15" t="str">
        <x:v>https://prozorro.gov.ua/tender/UA-2026-06-29-003504-a</x:v>
      </x:c>
    </x:row>
    <x:row r="328">
      <x:c r="A328" s="14" t="n">
        <x:v>324</x:v>
      </x:c>
      <x:c r="B328" s="14" t="str">
        <x:v>ФОП "ДАЦКО ВОЛОДИМИР ОЛЕКСАНДРОВИЧ"</x:v>
      </x:c>
      <x:c r="C328" s="14" t="str">
        <x:v>3277407176</x:v>
      </x:c>
      <x:c r="D328" s="14" t="str">
        <x:v>Промисловий холод</x:v>
      </x:c>
      <x:c r="E328" s="14" t="str">
        <x:v>Expansion discovery</x:v>
      </x:c>
      <x:c r="F328" s="14" t="str">
        <x:v>I3</x:v>
      </x:c>
      <x:c r="G328" s="14" t="n">
        <x:v>47</x:v>
      </x:c>
      <x:c r="H328" s="14" t="n">
        <x:v>1</x:v>
      </x:c>
      <x:c r="I328" s="14" t="n">
        <x:v>1</x:v>
      </x:c>
      <x:c r="J328" s="18" t="n">
        <x:v>342000</x:v>
      </x:c>
      <x:c r="K328" s="19" t="n">
        <x:v>46205.56342530093</x:v>
      </x:c>
      <x:c r="L328" s="19" t="n">
        <x:v>46265</x:v>
      </x:c>
      <x:c r="M328" s="15" t="str">
        <x:v>«Обладнання кондиціювання та рекуперації повітря з монтажем»(ДК 021:2015 «Єдиний закупівельний словник»код CPV 42510000-4 Теплообмінники, кондиціонери повітря, холодильне обладнання та фільтрувальні пристрої)
</x:v>
      </x:c>
      <x:c r="N328" s="15" t="str">
        <x:v>https://prozorro.gov.ua/tender/UA-2026-06-22-002485-a</x:v>
      </x:c>
    </x:row>
    <x:row r="329">
      <x:c r="A329" s="14" t="n">
        <x:v>325</x:v>
      </x:c>
      <x:c r="B329" s="14" t="str">
        <x:v>ФОП Притова Люсьєна Володимирівна</x:v>
      </x:c>
      <x:c r="C329" s="14" t="str">
        <x:v>2944318767</x:v>
      </x:c>
      <x:c r="D329" s="14" t="str">
        <x:v>Насосні станції</x:v>
      </x:c>
      <x:c r="E329" s="14" t="str">
        <x:v>Expansion discovery</x:v>
      </x:c>
      <x:c r="F329" s="14" t="str">
        <x:v>I3</x:v>
      </x:c>
      <x:c r="G329" s="14" t="n">
        <x:v>47</x:v>
      </x:c>
      <x:c r="H329" s="14" t="n">
        <x:v>1</x:v>
      </x:c>
      <x:c r="I329" s="14" t="n">
        <x:v>1</x:v>
      </x:c>
      <x:c r="J329" s="18" t="n">
        <x:v>220000</x:v>
      </x:c>
      <x:c r="K329" s="19" t="n">
        <x:v>46176.571798703706</x:v>
      </x:c>
      <x:c r="L329" s="19" t="n">
        <x:v>46387</x:v>
      </x:c>
      <x:c r="M329" s="15" t="str">
        <x:v>Роботи з топографо-геодезичного знімання території в маштабі 1:500 для проектування об'єкту "Реконструкція першої нитки водогону вздовж Соборна-Строна від насосної станції II в/п (вул. Соборна, 95 а) до насосної станції III в/п із встановлення СЕС потужністю 200 кВт в місті Горішні Плавні</x:v>
      </x:c>
      <x:c r="N329" s="15" t="str">
        <x:v>https://prozorro.gov.ua/tender/UA-2026-06-03-012857-a</x:v>
      </x:c>
    </x:row>
    <x:row r="330">
      <x:c r="A330" s="14" t="n">
        <x:v>326</x:v>
      </x:c>
      <x:c r="B330" s="14" t="str">
        <x:v>ФОП РАКИЧ ІВАН ВАЛЕРІЙОВИЧ</x:v>
      </x:c>
      <x:c r="C330" s="14" t="str">
        <x:v>2825816131</x:v>
      </x:c>
      <x:c r="D330" s="14" t="str">
        <x:v>Газопостачання / котельні</x:v>
      </x:c>
      <x:c r="E330" s="14" t="str">
        <x:v>Expansion discovery</x:v>
      </x:c>
      <x:c r="F330" s="14" t="str">
        <x:v>I3</x:v>
      </x:c>
      <x:c r="G330" s="14" t="n">
        <x:v>47</x:v>
      </x:c>
      <x:c r="H330" s="14" t="n">
        <x:v>1</x:v>
      </x:c>
      <x:c r="I330" s="14" t="n">
        <x:v>1</x:v>
      </x:c>
      <x:c r="J330" s="18" t="n">
        <x:v>102553.13</x:v>
      </x:c>
      <x:c r="K330" s="19" t="n">
        <x:v>46209.461327337965</x:v>
      </x:c>
      <x:c r="L330" s="19" t="n">
        <x:v>46387</x:v>
      </x:c>
      <x:c r="M330" s="15" t="str">
        <x:v>Технічний нагляд за проведенням робіт по об’єкту: «Нове будівництво модульної транспортабельної котельні в м. Харкові за адресою: просп. *** (резервне живлення). Підготовчі роботи, будівельні роботи з улаштування фундаменту та монтаж ферми і димових труб»  (код ДК 021:2015 – 71520000-9 – Послуги з нагляду за виконанням будівельних робіт)</x:v>
      </x:c>
      <x:c r="N330" s="15" t="str">
        <x:v>https://prozorro.gov.ua/tender/UA-2026-07-06-005716-a</x:v>
      </x:c>
    </x:row>
    <x:row r="331">
      <x:c r="A331" s="14" t="n">
        <x:v>327</x:v>
      </x:c>
      <x:c r="B331" s="14" t="str">
        <x:v>ПРИВАТНЕ ПІДПРИЄМСТВО "БЕРКУТ-НП"</x:v>
      </x:c>
      <x:c r="C331" s="14" t="str">
        <x:v>37857696</x:v>
      </x:c>
      <x:c r="D331" s="14" t="str">
        <x:v>Безпека / СКУД / CCTV</x:v>
      </x:c>
      <x:c r="E331" s="14" t="str">
        <x:v>Expansion discovery</x:v>
      </x:c>
      <x:c r="F331" s="14" t="str">
        <x:v>I3</x:v>
      </x:c>
      <x:c r="G331" s="14" t="n">
        <x:v>47</x:v>
      </x:c>
      <x:c r="H331" s="14" t="n">
        <x:v>1</x:v>
      </x:c>
      <x:c r="I331" s="14" t="n">
        <x:v>0</x:v>
      </x:c>
      <x:c r="J331" s="18" t="n">
        <x:v>16654.57</x:v>
      </x:c>
      <x:c r="K331" s="19" t="n">
        <x:v>46220.355459467595</x:v>
      </x:c>
      <x:c r="L331" s="19" t="n">
        <x:v>46234</x:v>
      </x:c>
      <x:c r="M331" s="15" t="str">
        <x:v>Послуги з монтажу контрольного обладнання і пусконалагодження системи контролю та управління доступу (СКУД) в приміщення Житомирської окружної прокуратури за адресою м. Житомир, вул. Леха Качинського, 2</x:v>
      </x:c>
      <x:c r="N331" s="15" t="str">
        <x:v>https://prozorro.gov.ua/tender/UA-2026-07-17-003668-a</x:v>
      </x:c>
    </x:row>
    <x:row r="332">
      <x:c r="A332" s="14" t="n">
        <x:v>328</x:v>
      </x:c>
      <x:c r="B332" s="14" t="str">
        <x:v>ТОВАРИСТВО З ОБМЕЖЕНОЮ ВІДПОВІДАЛЬНІСТЮ "БЕЗПЕКА УНІВЕРСАЛ"</x:v>
      </x:c>
      <x:c r="C332" s="14" t="str">
        <x:v>35798901</x:v>
      </x:c>
      <x:c r="D332" s="14" t="str">
        <x:v>Безпека / СКУД / CCTV</x:v>
      </x:c>
      <x:c r="E332" s="14" t="str">
        <x:v>Expansion discovery</x:v>
      </x:c>
      <x:c r="F332" s="14" t="str">
        <x:v>I3</x:v>
      </x:c>
      <x:c r="G332" s="14" t="n">
        <x:v>47</x:v>
      </x:c>
      <x:c r="H332" s="14" t="n">
        <x:v>1</x:v>
      </x:c>
      <x:c r="I332" s="14" t="n">
        <x:v>0</x:v>
      </x:c>
      <x:c r="J332" s="18" t="n">
        <x:v>61467.6</x:v>
      </x:c>
      <x:c r="K332" s="19" t="n">
        <x:v>46219.58351846065</x:v>
      </x:c>
      <x:c r="L332" s="19" t="n">
        <x:v>46229</x:v>
      </x:c>
      <x:c r="M332" s="15" t="str">
        <x:v>послуги з монтажу та налаштування системи відеоспостереження</x:v>
      </x:c>
      <x:c r="N332" s="15" t="str">
        <x:v>https://prozorro.gov.ua/tender/UA-2026-07-16-009633-a</x:v>
      </x:c>
    </x:row>
    <x:row r="333">
      <x:c r="A333" s="14" t="n">
        <x:v>329</x:v>
      </x:c>
      <x:c r="B333" s="14" t="str">
        <x:v>ТОВАРИСТВО З ОБМЕЖЕНОЮ ВІДПОВІДАЛЬНІСТЮ "ПРОСТІР ЗАХИСТУ"</x:v>
      </x:c>
      <x:c r="C333" s="14" t="str">
        <x:v>46266443</x:v>
      </x:c>
      <x:c r="D333" s="14" t="str">
        <x:v>Безпека / СКУД / CCTV</x:v>
      </x:c>
      <x:c r="E333" s="14" t="str">
        <x:v>Expansion discovery</x:v>
      </x:c>
      <x:c r="F333" s="14" t="str">
        <x:v>I3</x:v>
      </x:c>
      <x:c r="G333" s="14" t="n">
        <x:v>47</x:v>
      </x:c>
      <x:c r="H333" s="14" t="n">
        <x:v>1</x:v>
      </x:c>
      <x:c r="I333" s="14" t="n">
        <x:v>0</x:v>
      </x:c>
      <x:c r="J333" s="18" t="n">
        <x:v>7600</x:v>
      </x:c>
      <x:c r="K333" s="19" t="n">
        <x:v>46213.51147287037</x:v>
      </x:c>
      <x:c r="L333" s="19" t="n">
        <x:v>46231</x:v>
      </x:c>
      <x:c r="M333" s="15" t="str">
        <x:v>Послуга з монтажу системи відеоспостереження (4 камери)</x:v>
      </x:c>
      <x:c r="N333" s="15" t="str">
        <x:v>https://prozorro.gov.ua/tender/UA-2026-07-10-008786-a</x:v>
      </x:c>
    </x:row>
    <x:row r="334">
      <x:c r="A334" s="14" t="n">
        <x:v>330</x:v>
      </x:c>
      <x:c r="B334" s="14" t="str">
        <x:v>ТОВАРИСТВО З ОБМЕЖЕНОЮ ВІДПОВІДАЛЬНІСТЮ "СІТІ - ХОЛДІНГ ІНСТАЛЯТОР"</x:v>
      </x:c>
      <x:c r="C334" s="14" t="str">
        <x:v>35496150</x:v>
      </x:c>
      <x:c r="D334" s="14" t="str">
        <x:v>Безпека / СКУД / CCTV</x:v>
      </x:c>
      <x:c r="E334" s="14" t="str">
        <x:v>Expansion discovery</x:v>
      </x:c>
      <x:c r="F334" s="14" t="str">
        <x:v>I3</x:v>
      </x:c>
      <x:c r="G334" s="14" t="n">
        <x:v>47</x:v>
      </x:c>
      <x:c r="H334" s="14" t="n">
        <x:v>1</x:v>
      </x:c>
      <x:c r="I334" s="14" t="n">
        <x:v>0</x:v>
      </x:c>
      <x:c r="J334" s="18" t="n">
        <x:v>16944</x:v>
      </x:c>
      <x:c r="K334" s="19" t="n">
        <x:v>46223.54157770833</x:v>
      </x:c>
      <x:c r="L334" s="19" t="n">
        <x:v>46234</x:v>
      </x:c>
      <x:c r="M334" s="15" t="str">
        <x:v>Послуги з монтажу та налаштування системи відеоспостереження</x:v>
      </x:c>
      <x:c r="N334" s="15" t="str">
        <x:v>https://prozorro.gov.ua/tender/UA-2026-07-20-008886-a</x:v>
      </x:c>
    </x:row>
    <x:row r="335">
      <x:c r="A335" s="14" t="n">
        <x:v>331</x:v>
      </x:c>
      <x:c r="B335" s="14" t="str">
        <x:v>ФОП Димидюк Олександр Миколайович</x:v>
      </x:c>
      <x:c r="C335" s="14" t="str">
        <x:v>3218015659</x:v>
      </x:c>
      <x:c r="D335" s="14" t="str">
        <x:v>Промисловий холод</x:v>
      </x:c>
      <x:c r="E335" s="14" t="str">
        <x:v>Expansion discovery</x:v>
      </x:c>
      <x:c r="F335" s="14" t="str">
        <x:v>I3</x:v>
      </x:c>
      <x:c r="G335" s="14" t="n">
        <x:v>47</x:v>
      </x:c>
      <x:c r="H335" s="14" t="n">
        <x:v>2</x:v>
      </x:c>
      <x:c r="I335" s="14" t="n">
        <x:v>0</x:v>
      </x:c>
      <x:c r="J335" s="18" t="n">
        <x:v>2450000</x:v>
      </x:c>
      <x:c r="K335" s="19" t="n">
        <x:v>46132.21822082176</x:v>
      </x:c>
      <x:c r="L335" s="19" t="n">
        <x:v>46204.32021990741</x:v>
      </x:c>
      <x:c r="M335" s="15" t="str">
        <x:v>Послуги з виготовлення та встановлення холодильного обладнання в існуючому підвальному приміщенні</x:v>
      </x:c>
      <x:c r="N335" s="15" t="str">
        <x:v>https://prozorro.gov.ua/tender/UA-2026-04-05-000075-a</x:v>
      </x:c>
    </x:row>
    <x:row r="336">
      <x:c r="A336" s="14" t="n">
        <x:v>332</x:v>
      </x:c>
      <x:c r="B336" s="14" t="str">
        <x:v>АТ"ІЦ"УКРГАЗТЕХНІКА"</x:v>
      </x:c>
      <x:c r="C336" s="14" t="str">
        <x:v>14073155</x:v>
      </x:c>
      <x:c r="D336" s="14" t="str">
        <x:v>Газопостачання / котельні</x:v>
      </x:c>
      <x:c r="E336" s="14" t="str">
        <x:v>Expansion discovery</x:v>
      </x:c>
      <x:c r="F336" s="14" t="str">
        <x:v>I3</x:v>
      </x:c>
      <x:c r="G336" s="14" t="n">
        <x:v>46</x:v>
      </x:c>
      <x:c r="H336" s="14" t="n">
        <x:v>1</x:v>
      </x:c>
      <x:c r="I336" s="14" t="n">
        <x:v>1</x:v>
      </x:c>
      <x:c r="J336" s="18" t="n">
        <x:v>98800</x:v>
      </x:c>
      <x:c r="K336" s="19" t="n">
        <x:v>46142.5013240625</x:v>
      </x:c>
      <x:c r="L336" s="19" t="n">
        <x:v>46387</x:v>
      </x:c>
      <x:c r="M336" s="15" t="str">
        <x:v>Монтаж стабілізатора напруги Awattom CHTIT-10,5 кВт заміна акумулятора пульта контролю роботи опалювальної установки "сигнал-11" котельні Андріївського ліцею №1 Донецької селищної ради Ізюмського району Харківської області за адресою: селище Андріївка, площа Центральна, будинок 41</x:v>
      </x:c>
      <x:c r="N336" s="15" t="str">
        <x:v>https://prozorro.gov.ua/tender/UA-2026-04-30-007989-a</x:v>
      </x:c>
    </x:row>
    <x:row r="337">
      <x:c r="A337" s="14" t="n">
        <x:v>333</x:v>
      </x:c>
      <x:c r="B337" s="14" t="str">
        <x:v>КОМУНАЛЬНЕ ПІДПРИЄМСТВО "ДЖЕРЕЛО" МОГИЛІВСЬКОЇ СІЛЬСЬКОЇ РАДИ</x:v>
      </x:c>
      <x:c r="C337" s="14" t="str">
        <x:v>41470967</x:v>
      </x:c>
      <x:c r="D337" s="14" t="str">
        <x:v>Газопостачання / котельні</x:v>
      </x:c>
      <x:c r="E337" s="14" t="str">
        <x:v>Expansion discovery</x:v>
      </x:c>
      <x:c r="F337" s="14" t="str">
        <x:v>I3</x:v>
      </x:c>
      <x:c r="G337" s="14" t="n">
        <x:v>46</x:v>
      </x:c>
      <x:c r="H337" s="14" t="n">
        <x:v>1</x:v>
      </x:c>
      <x:c r="I337" s="14" t="n">
        <x:v>1</x:v>
      </x:c>
      <x:c r="J337" s="18" t="n">
        <x:v>5014.84</x:v>
      </x:c>
      <x:c r="K337" s="19" t="n">
        <x:v>46203.339381412035</x:v>
      </x:c>
      <x:c r="L337" s="19" t="n">
        <x:v>46387</x:v>
      </x:c>
      <x:c r="M337" s="15" t="str">
        <x:v>Послуги з монтажу допоміжних металоконструкцій в котельні Могилівського ліцею ім.І.М. Шишканя вул.Панікахи, 6А</x:v>
      </x:c>
      <x:c r="N337" s="15" t="str">
        <x:v>https://prozorro.gov.ua/tender/UA-2026-06-30-003295-a</x:v>
      </x:c>
    </x:row>
    <x:row r="338">
      <x:c r="A338" s="14" t="n">
        <x:v>334</x:v>
      </x:c>
      <x:c r="B338" s="14" t="str">
        <x:v>Комунальне підприємство "Житло-Експлуатація" Роменської міської ради"</x:v>
      </x:c>
      <x:c r="C338" s="14" t="str">
        <x:v>34255061</x:v>
      </x:c>
      <x:c r="D338" s="14" t="str">
        <x:v>Мости / інфраструктура</x:v>
      </x:c>
      <x:c r="E338" s="14" t="str">
        <x:v>Expansion discovery</x:v>
      </x:c>
      <x:c r="F338" s="14" t="str">
        <x:v>I3</x:v>
      </x:c>
      <x:c r="G338" s="14" t="n">
        <x:v>46</x:v>
      </x:c>
      <x:c r="H338" s="14" t="n">
        <x:v>1</x:v>
      </x:c>
      <x:c r="I338" s="14" t="n">
        <x:v>1</x:v>
      </x:c>
      <x:c r="J338" s="18" t="n">
        <x:v>98979.06</x:v>
      </x:c>
      <x:c r="K338" s="19" t="n">
        <x:v>46199.346181469904</x:v>
      </x:c>
      <x:c r="L338" s="19" t="n">
        <x:v>46387</x:v>
      </x:c>
      <x:c r="M338" s="15" t="str">
        <x:v>Поточний ремонт мосту по вул. Покровський узвіз в м. Ромни Сумської області</x:v>
      </x:c>
      <x:c r="N338" s="15" t="str">
        <x:v>https://prozorro.gov.ua/tender/UA-2026-06-26-003746-a</x:v>
      </x:c>
    </x:row>
    <x:row r="339">
      <x:c r="A339" s="14" t="n">
        <x:v>335</x:v>
      </x:c>
      <x:c r="B339" s="14" t="str">
        <x:v>МИКОЛАЇВСЬКЕ ОБЛАСНЕ СПЕЦІАЛІЗОВАНЕ РЕМОНТНО-БУДІВЕЛЬНЕ ПІДПРИЄМСТВО ПРОТИПОЖЕЖНИХ РОБІТ ДОБРОВІЛЬНОГО ПОЖЕЖНОГО ТОВАРИСТВА УКРАЇНИ</x:v>
      </x:c>
      <x:c r="C339" s="14" t="str">
        <x:v>00183041</x:v>
      </x:c>
      <x:c r="D339" s="14" t="str">
        <x:v>Пожежогасіння</x:v>
      </x:c>
      <x:c r="E339" s="14" t="str">
        <x:v>Expansion discovery</x:v>
      </x:c>
      <x:c r="F339" s="14" t="str">
        <x:v>I3</x:v>
      </x:c>
      <x:c r="G339" s="14" t="n">
        <x:v>46</x:v>
      </x:c>
      <x:c r="H339" s="14" t="n">
        <x:v>1</x:v>
      </x:c>
      <x:c r="I339" s="14" t="n">
        <x:v>1</x:v>
      </x:c>
      <x:c r="J339" s="18" t="n">
        <x:v>99253</x:v>
      </x:c>
      <x:c r="K339" s="19" t="n">
        <x:v>46209.492044074075</x:v>
      </x:c>
      <x:c r="L339" s="19" t="n">
        <x:v>46387</x:v>
      </x:c>
      <x:c r="M339" s="15" t="str">
        <x:v>Послуги з розроблення проектної документації з монтажу системи пожежної сигналізації</x:v>
      </x:c>
      <x:c r="N339" s="15" t="str">
        <x:v>https://prozorro.gov.ua/tender/UA-2026-07-06-006772-a</x:v>
      </x:c>
    </x:row>
    <x:row r="340">
      <x:c r="A340" s="14" t="n">
        <x:v>336</x:v>
      </x:c>
      <x:c r="B340" s="14" t="str">
        <x:v>ПП "Технабуд-проект"</x:v>
      </x:c>
      <x:c r="C340" s="14" t="str">
        <x:v>42508781</x:v>
      </x:c>
      <x:c r="D340" s="14" t="str">
        <x:v>HVAC / ОВіК</x:v>
      </x:c>
      <x:c r="E340" s="14" t="str">
        <x:v>Pilot now</x:v>
      </x:c>
      <x:c r="F340" s="14" t="str">
        <x:v>I3</x:v>
      </x:c>
      <x:c r="G340" s="14" t="n">
        <x:v>46</x:v>
      </x:c>
      <x:c r="H340" s="14" t="n">
        <x:v>1</x:v>
      </x:c>
      <x:c r="I340" s="14" t="n">
        <x:v>1</x:v>
      </x:c>
      <x:c r="J340" s="18" t="n">
        <x:v>14224.77</x:v>
      </x:c>
      <x:c r="K340" s="19" t="n">
        <x:v>46153.73245244213</x:v>
      </x:c>
      <x:c r="L340" s="19" t="n">
        <x:v>46387</x:v>
      </x:c>
      <x:c r="M340" s="15" t="str">
        <x:v>Технічний нагляд по об'єкту: "Капітальний ремонт приміщень роздягальні стадіону (монтаж систем водопостачання, водовідведення, електропостачання, вентиляції, опалення та кондиціонування, влаштування бетонної стяжки підлоги, облицювання підлоги керамічною плиткою)"</x:v>
      </x:c>
      <x:c r="N340" s="15" t="str">
        <x:v>https://prozorro.gov.ua/tender/UA-2026-05-11-014138-a</x:v>
      </x:c>
    </x:row>
    <x:row r="341">
      <x:c r="A341" s="14" t="n">
        <x:v>337</x:v>
      </x:c>
      <x:c r="B341" s="14" t="str">
        <x:v>ПП Асоціація перевізників «Автоальянс»</x:v>
      </x:c>
      <x:c r="C341" s="14" t="str">
        <x:v>32904165</x:v>
      </x:c>
      <x:c r="D341" s="14" t="str">
        <x:v>Пожежогасіння</x:v>
      </x:c>
      <x:c r="E341" s="14" t="str">
        <x:v>Expansion discovery</x:v>
      </x:c>
      <x:c r="F341" s="14" t="str">
        <x:v>I3</x:v>
      </x:c>
      <x:c r="G341" s="14" t="n">
        <x:v>46</x:v>
      </x:c>
      <x:c r="H341" s="14" t="n">
        <x:v>1</x:v>
      </x:c>
      <x:c r="I341" s="14" t="n">
        <x:v>1</x:v>
      </x:c>
      <x:c r="J341" s="18" t="n">
        <x:v>86995.95</x:v>
      </x:c>
      <x:c r="K341" s="19" t="n">
        <x:v>46191.49398172454</x:v>
      </x:c>
      <x:c r="L341" s="19" t="n">
        <x:v>46387</x:v>
      </x:c>
      <x:c r="M341" s="15" t="str">
        <x:v>Монтаж обладнання для системи автоматичної пожежної сигналізації та системи керування евакуюванням</x:v>
      </x:c>
      <x:c r="N341" s="15" t="str">
        <x:v>https://prozorro.gov.ua/tender/UA-2026-06-18-009132-a</x:v>
      </x:c>
    </x:row>
    <x:row r="342">
      <x:c r="A342" s="14" t="n">
        <x:v>338</x:v>
      </x:c>
      <x:c r="B342" s="14" t="str">
        <x:v>ПП"ІНСТАЛ ГРУП"</x:v>
      </x:c>
      <x:c r="C342" s="14" t="str">
        <x:v>39812632</x:v>
      </x:c>
      <x:c r="D342" s="14" t="str">
        <x:v>Резервне живлення</x:v>
      </x:c>
      <x:c r="E342" s="14" t="str">
        <x:v>Expansion discovery</x:v>
      </x:c>
      <x:c r="F342" s="14" t="str">
        <x:v>I3</x:v>
      </x:c>
      <x:c r="G342" s="14" t="n">
        <x:v>46</x:v>
      </x:c>
      <x:c r="H342" s="14" t="n">
        <x:v>1</x:v>
      </x:c>
      <x:c r="I342" s="14" t="n">
        <x:v>1</x:v>
      </x:c>
      <x:c r="J342" s="18" t="n">
        <x:v>12500</x:v>
      </x:c>
      <x:c r="K342" s="19" t="n">
        <x:v>46174.57765310185</x:v>
      </x:c>
      <x:c r="L342" s="19" t="n">
        <x:v>46387.611238425925</x:v>
      </x:c>
      <x:c r="M342" s="15" t="str">
        <x:v>Послуги з монтажу системи безперебійного живлення в приміщенні відділу "Центр надання адміністративних послуг" міської ради</x:v>
      </x:c>
      <x:c r="N342" s="15" t="str">
        <x:v>https://prozorro.gov.ua/tender/UA-2026-06-01-011179-a</x:v>
      </x:c>
    </x:row>
    <x:row r="343">
      <x:c r="A343" s="14" t="n">
        <x:v>339</x:v>
      </x:c>
      <x:c r="B343" s="14" t="str">
        <x:v>ПРИВАТНЕ АКЦІОНЕРНЕ ТОВАРИСТВО «УКРСТАЛЬ КОНСТРУКЦІЯ»</x:v>
      </x:c>
      <x:c r="C343" s="14" t="str">
        <x:v>01412868</x:v>
      </x:c>
      <x:c r="D343" s="14" t="str">
        <x:v>Ремонт і підсилення бетону</x:v>
      </x:c>
      <x:c r="E343" s="14" t="str">
        <x:v>Expansion discovery</x:v>
      </x:c>
      <x:c r="F343" s="14" t="str">
        <x:v>I3</x:v>
      </x:c>
      <x:c r="G343" s="14" t="n">
        <x:v>46</x:v>
      </x:c>
      <x:c r="H343" s="14" t="n">
        <x:v>1</x:v>
      </x:c>
      <x:c r="I343" s="14" t="n">
        <x:v>1</x:v>
      </x:c>
      <x:c r="J343" s="18" t="n">
        <x:v>225902400.84</x:v>
      </x:c>
      <x:c r="K343" s="19" t="n">
        <x:v>46010.56347040509</x:v>
      </x:c>
      <x:c r="L343" s="19" t="n">
        <x:v>46387</x:v>
      </x:c>
      <x:c r="M343" s="15" t="str">
        <x:v>(ДК 021:2015 код 45220000-5 Інженерні та будівельні роботи) Протидроновий захист будівлі ГЕС. Підсилення залізобетонних конструкцій для філії "Кременчуцька ГЕС" ПрАТ "Укргідроенерго". Реконструкція</x:v>
      </x:c>
      <x:c r="N343" s="15" t="str">
        <x:v>https://prozorro.gov.ua/tender/UA-2025-12-19-018891-a</x:v>
      </x:c>
    </x:row>
    <x:row r="344">
      <x:c r="A344" s="14" t="n">
        <x:v>340</x:v>
      </x:c>
      <x:c r="B344" s="14" t="str">
        <x:v>ПРИВАТНЕ ПІДПРИЄМСТВО "ЛЬВІВБУДПРОЕКТ"</x:v>
      </x:c>
      <x:c r="C344" s="14" t="str">
        <x:v>35444777</x:v>
      </x:c>
      <x:c r="D344" s="14" t="str">
        <x:v>Зовнішні мережі</x:v>
      </x:c>
      <x:c r="E344" s="14" t="str">
        <x:v>Expansion discovery</x:v>
      </x:c>
      <x:c r="F344" s="14" t="str">
        <x:v>I3</x:v>
      </x:c>
      <x:c r="G344" s="14" t="n">
        <x:v>46</x:v>
      </x:c>
      <x:c r="H344" s="14" t="n">
        <x:v>1</x:v>
      </x:c>
      <x:c r="I344" s="14" t="n">
        <x:v>1</x:v>
      </x:c>
      <x:c r="J344" s="18" t="n">
        <x:v>64080</x:v>
      </x:c>
      <x:c r="K344" s="19" t="n">
        <x:v>46209.51700655092</x:v>
      </x:c>
      <x:c r="L344" s="19" t="n">
        <x:v>46387</x:v>
      </x:c>
      <x:c r="M344" s="15" t="str">
        <x:v>Здійснення авторського нагляду за виконанням робіт по об’єкту: «Нове будівництво зовнішніх інженерних мереж водопостачання та водовідведення по вул. Л. Українки, вул. Сірка, вул. Д. Галицького в с. Сокільники Львівського району Львівської області»</x:v>
      </x:c>
      <x:c r="N344" s="15" t="str">
        <x:v>https://prozorro.gov.ua/tender/UA-2026-07-06-007744-a</x:v>
      </x:c>
    </x:row>
    <x:row r="345">
      <x:c r="A345" s="14" t="n">
        <x:v>341</x:v>
      </x:c>
      <x:c r="B345" s="14" t="str">
        <x:v>ТзОВ "Системи безпеки "Захист"</x:v>
      </x:c>
      <x:c r="C345" s="14" t="str">
        <x:v>37574077</x:v>
      </x:c>
      <x:c r="D345" s="14" t="str">
        <x:v>Безпека / СКУД / CCTV</x:v>
      </x:c>
      <x:c r="E345" s="14" t="str">
        <x:v>Expansion discovery</x:v>
      </x:c>
      <x:c r="F345" s="14" t="str">
        <x:v>I3</x:v>
      </x:c>
      <x:c r="G345" s="14" t="n">
        <x:v>46</x:v>
      </x:c>
      <x:c r="H345" s="14" t="n">
        <x:v>1</x:v>
      </x:c>
      <x:c r="I345" s="14" t="n">
        <x:v>1</x:v>
      </x:c>
      <x:c r="J345" s="18" t="n">
        <x:v>77282.4</x:v>
      </x:c>
      <x:c r="K345" s="19" t="n">
        <x:v>46212.4003419213</x:v>
      </x:c>
      <x:c r="L345" s="19" t="n">
        <x:v>46387.44368055555</x:v>
      </x:c>
      <x:c r="M345" s="15" t="str">
        <x:v>Послуги з монтажу системи відеоспостереження</x:v>
      </x:c>
      <x:c r="N345" s="15" t="str">
        <x:v>https://prozorro.gov.ua/tender/UA-2026-07-09-005038-a</x:v>
      </x:c>
    </x:row>
    <x:row r="346">
      <x:c r="A346" s="14" t="n">
        <x:v>342</x:v>
      </x:c>
      <x:c r="B346" s="14" t="str">
        <x:v>ТОВ "АЕРО КОМФОРТ"</x:v>
      </x:c>
      <x:c r="C346" s="14" t="str">
        <x:v>45903480</x:v>
      </x:c>
      <x:c r="D346" s="14" t="str">
        <x:v>HVAC / ОВіК</x:v>
      </x:c>
      <x:c r="E346" s="14" t="str">
        <x:v>Pilot now</x:v>
      </x:c>
      <x:c r="F346" s="14" t="str">
        <x:v>I3</x:v>
      </x:c>
      <x:c r="G346" s="14" t="n">
        <x:v>46</x:v>
      </x:c>
      <x:c r="H346" s="14" t="n">
        <x:v>1</x:v>
      </x:c>
      <x:c r="I346" s="14" t="n">
        <x:v>1</x:v>
      </x:c>
      <x:c r="J346" s="18" t="n">
        <x:v>38000</x:v>
      </x:c>
      <x:c r="K346" s="19" t="n">
        <x:v>46191.25883753472</x:v>
      </x:c>
      <x:c r="L346" s="19" t="n">
        <x:v>46387</x:v>
      </x:c>
      <x:c r="M346" s="15" t="str">
        <x:v>Роботи з монтажу витяжного зонта та системи місцевої витяжної вентиляції для видалення шкідливих випарів від лабораторного обладнання у споруді блоку забезпечення комунального підприємства "Рівненський обласний протипухлинний центр" Рівненської обласної ради</x:v>
      </x:c>
      <x:c r="N346" s="15" t="str">
        <x:v>https://prozorro.gov.ua/tender/UA-2026-06-18-000748-a</x:v>
      </x:c>
    </x:row>
    <x:row r="347">
      <x:c r="A347" s="14" t="n">
        <x:v>343</x:v>
      </x:c>
      <x:c r="B347" s="14" t="str">
        <x:v>ТОВ "АЛЕГРО"</x:v>
      </x:c>
      <x:c r="C347" s="14" t="str">
        <x:v>20587243</x:v>
      </x:c>
      <x:c r="D347" s="14" t="str">
        <x:v>Пожежогасіння</x:v>
      </x:c>
      <x:c r="E347" s="14" t="str">
        <x:v>Expansion discovery</x:v>
      </x:c>
      <x:c r="F347" s="14" t="str">
        <x:v>I3</x:v>
      </x:c>
      <x:c r="G347" s="14" t="n">
        <x:v>46</x:v>
      </x:c>
      <x:c r="H347" s="14" t="n">
        <x:v>1</x:v>
      </x:c>
      <x:c r="I347" s="14" t="n">
        <x:v>1</x:v>
      </x:c>
      <x:c r="J347" s="18" t="n">
        <x:v>85800</x:v>
      </x:c>
      <x:c r="K347" s="19" t="n">
        <x:v>46189.37239056713</x:v>
      </x:c>
      <x:c r="L347" s="19" t="n">
        <x:v>46387</x:v>
      </x:c>
      <x:c r="M347" s="15" t="str">
        <x:v>Послуга по монтажу пожежної сигналізації та встановлення системи оповіщення про пожежу та управління евакувцією людей на обєкті</x:v>
      </x:c>
      <x:c r="N347" s="15" t="str">
        <x:v>https://prozorro.gov.ua/tender/UA-2026-06-16-005274-a</x:v>
      </x:c>
    </x:row>
    <x:row r="348">
      <x:c r="A348" s="14" t="n">
        <x:v>344</x:v>
      </x:c>
      <x:c r="B348" s="14" t="str">
        <x:v>ТОВ "Б КОМ"</x:v>
      </x:c>
      <x:c r="C348" s="14" t="str">
        <x:v>44723522</x:v>
      </x:c>
      <x:c r="D348" s="14" t="str">
        <x:v>HVAC / ОВіК</x:v>
      </x:c>
      <x:c r="E348" s="14" t="str">
        <x:v>Pilot now</x:v>
      </x:c>
      <x:c r="F348" s="14" t="str">
        <x:v>I3</x:v>
      </x:c>
      <x:c r="G348" s="14" t="n">
        <x:v>46</x:v>
      </x:c>
      <x:c r="H348" s="14" t="n">
        <x:v>1</x:v>
      </x:c>
      <x:c r="I348" s="14" t="n">
        <x:v>1</x:v>
      </x:c>
      <x:c r="J348" s="18" t="n">
        <x:v>99930</x:v>
      </x:c>
      <x:c r="K348" s="19" t="n">
        <x:v>46163.544811087966</x:v>
      </x:c>
      <x:c r="L348" s="19" t="n">
        <x:v>46265</x:v>
      </x:c>
      <x:c r="M348" s="15" t="str">
        <x:v>Монтаж системи вентиляції в Хмельницький заклад дошкільної освіти № 15 "Червона шапочка" Хмельницької міської ради Хмельницької області за адресою: Хмельницька обл., м. Хмельницький, вул. Марії Трембовецької 23</x:v>
      </x:c>
      <x:c r="N348" s="15" t="str">
        <x:v>https://prozorro.gov.ua/tender/UA-2026-05-21-011487-a</x:v>
      </x:c>
    </x:row>
    <x:row r="349">
      <x:c r="A349" s="14" t="n">
        <x:v>345</x:v>
      </x:c>
      <x:c r="B349" s="14" t="str">
        <x:v>ТОВ "ДЕБІ СІСТЕМС"</x:v>
      </x:c>
      <x:c r="C349" s="14" t="str">
        <x:v>45771603</x:v>
      </x:c>
      <x:c r="D349" s="14" t="str">
        <x:v>Безпека / СКУД / CCTV</x:v>
      </x:c>
      <x:c r="E349" s="14" t="str">
        <x:v>Expansion discovery</x:v>
      </x:c>
      <x:c r="F349" s="14" t="str">
        <x:v>I3</x:v>
      </x:c>
      <x:c r="G349" s="14" t="n">
        <x:v>46</x:v>
      </x:c>
      <x:c r="H349" s="14" t="n">
        <x:v>1</x:v>
      </x:c>
      <x:c r="I349" s="14" t="n">
        <x:v>1</x:v>
      </x:c>
      <x:c r="J349" s="18" t="n">
        <x:v>11788</x:v>
      </x:c>
      <x:c r="K349" s="19" t="n">
        <x:v>46168.38909778935</x:v>
      </x:c>
      <x:c r="L349" s="19" t="n">
        <x:v>46387.42978009259</x:v>
      </x:c>
      <x:c r="M349" s="15" t="str">
        <x:v>Послуги з монтажу системи контролю доступу</x:v>
      </x:c>
      <x:c r="N349" s="15" t="str">
        <x:v>https://prozorro.gov.ua/tender/UA-2026-05-26-006079-a</x:v>
      </x:c>
    </x:row>
    <x:row r="350">
      <x:c r="A350" s="14" t="n">
        <x:v>346</x:v>
      </x:c>
      <x:c r="B350" s="14" t="str">
        <x:v>ТОВ СМ Енерго</x:v>
      </x:c>
      <x:c r="C350" s="14" t="str">
        <x:v>40971822</x:v>
      </x:c>
      <x:c r="D350" s="14" t="str">
        <x:v>Електромонтаж</x:v>
      </x:c>
      <x:c r="E350" s="14" t="str">
        <x:v>Pilot now</x:v>
      </x:c>
      <x:c r="F350" s="14" t="str">
        <x:v>I3</x:v>
      </x:c>
      <x:c r="G350" s="14" t="n">
        <x:v>46</x:v>
      </x:c>
      <x:c r="H350" s="14" t="n">
        <x:v>1</x:v>
      </x:c>
      <x:c r="I350" s="14" t="n">
        <x:v>1</x:v>
      </x:c>
      <x:c r="J350" s="18" t="n">
        <x:v>16513</x:v>
      </x:c>
      <x:c r="K350" s="19" t="n">
        <x:v>46184.45582422454</x:v>
      </x:c>
      <x:c r="L350" s="19" t="n">
        <x:v>46387</x:v>
      </x:c>
      <x:c r="M350" s="15" t="str">
        <x:v>Електровимірювальні роботи 0,4 кВ( замір опору контуру заземлення, заміри перехідного опору заземлення обладнання, заміри опору ізоляції електропроводки, заміри петлі фаза-нуль електрообладнання Замовника)</x:v>
      </x:c>
      <x:c r="N350" s="15" t="str">
        <x:v>https://prozorro.gov.ua/tender/UA-2026-06-11-007574-a</x:v>
      </x:c>
    </x:row>
    <x:row r="351">
      <x:c r="A351" s="14" t="n">
        <x:v>347</x:v>
      </x:c>
      <x:c r="B351" s="14" t="str">
        <x:v>ТОВАРИСТВО З ОБМЕЖЕНОЮ ВІДПОВІДАЛЬНІСТЮ "АКВАТЕПЛОБУД"</x:v>
      </x:c>
      <x:c r="C351" s="14" t="str">
        <x:v>43233986</x:v>
      </x:c>
      <x:c r="D351" s="14" t="str">
        <x:v>Внутрішні сантехнічні системи</x:v>
      </x:c>
      <x:c r="E351" s="14" t="str">
        <x:v>Pilot now</x:v>
      </x:c>
      <x:c r="F351" s="14" t="str">
        <x:v>I3</x:v>
      </x:c>
      <x:c r="G351" s="14" t="n">
        <x:v>46</x:v>
      </x:c>
      <x:c r="H351" s="14" t="n">
        <x:v>1</x:v>
      </x:c>
      <x:c r="I351" s="14" t="n">
        <x:v>1</x:v>
      </x:c>
      <x:c r="J351" s="18" t="n">
        <x:v>11500</x:v>
      </x:c>
      <x:c r="K351" s="19" t="n">
        <x:v>46167.3453590162</x:v>
      </x:c>
      <x:c r="L351" s="19" t="n">
        <x:v>46387</x:v>
      </x:c>
      <x:c r="M351" s="15" t="str">
        <x:v>ДК 021:2015 - 45330000-9 Водопровідні та санітарно-технічні роботи (ремонт та облаштування внутрішніх мереж водопостачання та каналізації, підключення бойлера)</x:v>
      </x:c>
      <x:c r="N351" s="15" t="str">
        <x:v>https://prozorro.gov.ua/tender/UA-2026-05-25-003639-a</x:v>
      </x:c>
    </x:row>
    <x:row r="352">
      <x:c r="A352" s="14" t="n">
        <x:v>348</x:v>
      </x:c>
      <x:c r="B352" s="14" t="str">
        <x:v>ТОВАРИСТВО З ОБМЕЖЕНОЮ ВІДПОВІДАЛЬНІСТЮ "БЕСТ ТЕХНОЛОДЖІ КОМПАНІ"</x:v>
      </x:c>
      <x:c r="C352" s="14" t="str">
        <x:v>40753202</x:v>
      </x:c>
      <x:c r="D352" s="14" t="str">
        <x:v>Пожежогасіння</x:v>
      </x:c>
      <x:c r="E352" s="14" t="str">
        <x:v>Expansion discovery</x:v>
      </x:c>
      <x:c r="F352" s="14" t="str">
        <x:v>I3</x:v>
      </x:c>
      <x:c r="G352" s="14" t="n">
        <x:v>46</x:v>
      </x:c>
      <x:c r="H352" s="14" t="n">
        <x:v>1</x:v>
      </x:c>
      <x:c r="I352" s="14" t="n">
        <x:v>1</x:v>
      </x:c>
      <x:c r="J352" s="18" t="n">
        <x:v>79491.24</x:v>
      </x:c>
      <x:c r="K352" s="19" t="n">
        <x:v>46198.575708854165</x:v>
      </x:c>
      <x:c r="L352" s="19" t="n">
        <x:v>46264</x:v>
      </x:c>
      <x:c r="M352" s="15" t="str">
        <x:v>Послуги з поточного ремонту: монтажу й установки систем пожежної сигналізації та керування евакуюванням для кафедри безпілотних систем (будівлі 17/104, третій поверх)</x:v>
      </x:c>
      <x:c r="N352" s="15" t="str">
        <x:v>https://prozorro.gov.ua/tender/UA-2026-06-25-012164-a</x:v>
      </x:c>
    </x:row>
    <x:row r="353">
      <x:c r="A353" s="14" t="n">
        <x:v>349</x:v>
      </x:c>
      <x:c r="B353" s="14" t="str">
        <x:v>ТОВАРИСТВО З ОБМЕЖЕНОЮ ВІДПОВІДАЛЬНІСТЮ "БУДСЕРВІС-М"</x:v>
      </x:c>
      <x:c r="C353" s="14" t="str">
        <x:v>43288438</x:v>
      </x:c>
      <x:c r="D353" s="14" t="str">
        <x:v>Електромонтаж</x:v>
      </x:c>
      <x:c r="E353" s="14" t="str">
        <x:v>Pilot now</x:v>
      </x:c>
      <x:c r="F353" s="14" t="str">
        <x:v>I3</x:v>
      </x:c>
      <x:c r="G353" s="14" t="n">
        <x:v>46</x:v>
      </x:c>
      <x:c r="H353" s="14" t="n">
        <x:v>1</x:v>
      </x:c>
      <x:c r="I353" s="14" t="n">
        <x:v>1</x:v>
      </x:c>
      <x:c r="J353" s="18" t="n">
        <x:v>28132</x:v>
      </x:c>
      <x:c r="K353" s="19" t="n">
        <x:v>46164.58131821759</x:v>
      </x:c>
      <x:c r="L353" s="19" t="n">
        <x:v>46387</x:v>
      </x:c>
      <x:c r="M353" s="15" t="str">
        <x:v>Послуги з монтажу силових електричних мереж та прокладання кабелю у підвальному приміщенні</x:v>
      </x:c>
      <x:c r="N353" s="15" t="str">
        <x:v>https://prozorro.gov.ua/tender/UA-2026-05-22-011966-a</x:v>
      </x:c>
    </x:row>
    <x:row r="354">
      <x:c r="A354" s="14" t="n">
        <x:v>350</x:v>
      </x:c>
      <x:c r="B354" s="14" t="str">
        <x:v>ТОВАРИСТВО З ОБМЕЖЕНОЮ ВІДПОВІДАЛЬНІСТЮ "ВЕКТОР БУД-ТОРГ"</x:v>
      </x:c>
      <x:c r="C354" s="14" t="str">
        <x:v>41610262</x:v>
      </x:c>
      <x:c r="D354" s="14" t="str">
        <x:v>HVAC / ОВіК</x:v>
      </x:c>
      <x:c r="E354" s="14" t="str">
        <x:v>Pilot now</x:v>
      </x:c>
      <x:c r="F354" s="14" t="str">
        <x:v>I3</x:v>
      </x:c>
      <x:c r="G354" s="14" t="n">
        <x:v>46</x:v>
      </x:c>
      <x:c r="H354" s="14" t="n">
        <x:v>1</x:v>
      </x:c>
      <x:c r="I354" s="14" t="n">
        <x:v>1</x:v>
      </x:c>
      <x:c r="J354" s="18" t="n">
        <x:v>98515.14</x:v>
      </x:c>
      <x:c r="K354" s="19" t="n">
        <x:v>46206.41618704861</x:v>
      </x:c>
      <x:c r="L354" s="19" t="n">
        <x:v>46387</x:v>
      </x:c>
      <x:c r="M354" s="15" t="str">
        <x:v>Послуги з монтажу та демонтажу системи опалення, труб, радіаторів Код ДК 021:2015 45330000-9 Водопровідні та санітарно-технічні роботи</x:v>
      </x:c>
      <x:c r="N354" s="15" t="str">
        <x:v>https://prozorro.gov.ua/tender/UA-2026-07-03-005222-a</x:v>
      </x:c>
    </x:row>
    <x:row r="355">
      <x:c r="A355" s="14" t="n">
        <x:v>351</x:v>
      </x:c>
      <x:c r="B355" s="14" t="str">
        <x:v>ТОВАРИСТВО З ОБМЕЖЕНОЮ ВІДПОВІДАЛЬНІСТЮ "ЕНЕРГО ЮА"</x:v>
      </x:c>
      <x:c r="C355" s="14" t="str">
        <x:v>43821086</x:v>
      </x:c>
      <x:c r="D355" s="14" t="str">
        <x:v>Електромонтаж</x:v>
      </x:c>
      <x:c r="E355" s="14" t="str">
        <x:v>Pilot now</x:v>
      </x:c>
      <x:c r="F355" s="14" t="str">
        <x:v>I3</x:v>
      </x:c>
      <x:c r="G355" s="14" t="n">
        <x:v>46</x:v>
      </x:c>
      <x:c r="H355" s="14" t="n">
        <x:v>1</x:v>
      </x:c>
      <x:c r="I355" s="14" t="n">
        <x:v>1</x:v>
      </x:c>
      <x:c r="J355" s="18" t="n">
        <x:v>30500</x:v>
      </x:c>
      <x:c r="K355" s="19" t="n">
        <x:v>46212.320446481484</x:v>
      </x:c>
      <x:c r="L355" s="19" t="n">
        <x:v>46387</x:v>
      </x:c>
      <x:c r="M355" s="15" t="str">
        <x:v>ДК 021:2015:71630000-3:Послуги з ремонту і технічного обслуговування електричного устаткування будівель ( Електровимірювальні роботи опору розірвання контуру заземлення)</x:v>
      </x:c>
      <x:c r="N355" s="15" t="str">
        <x:v>https://prozorro.gov.ua/tender/UA-2026-07-09-002350-a</x:v>
      </x:c>
    </x:row>
    <x:row r="356">
      <x:c r="A356" s="14" t="n">
        <x:v>352</x:v>
      </x:c>
      <x:c r="B356" s="14" t="str">
        <x:v>ТОВАРИСТВО З ОБМЕЖЕНОЮ ВІДПОВІДАЛЬНІСТЮ "ЖИТОМИРБУДПРОЕКТЕКСПЕРТИЗА"</x:v>
      </x:c>
      <x:c r="C356" s="14" t="str">
        <x:v>41523369</x:v>
      </x:c>
      <x:c r="D356" s="14" t="str">
        <x:v>Насосні станції</x:v>
      </x:c>
      <x:c r="E356" s="14" t="str">
        <x:v>Expansion discovery</x:v>
      </x:c>
      <x:c r="F356" s="14" t="str">
        <x:v>I3</x:v>
      </x:c>
      <x:c r="G356" s="14" t="n">
        <x:v>46</x:v>
      </x:c>
      <x:c r="H356" s="14" t="n">
        <x:v>1</x:v>
      </x:c>
      <x:c r="I356" s="14" t="n">
        <x:v>1</x:v>
      </x:c>
      <x:c r="J356" s="18" t="n">
        <x:v>99476.21</x:v>
      </x:c>
      <x:c r="K356" s="19" t="n">
        <x:v>46161.37153174768</x:v>
      </x:c>
      <x:c r="L356" s="19" t="n">
        <x:v>46281</x:v>
      </x:c>
      <x:c r="M356" s="15" t="str">
        <x:v>Виготовлення проектно-кошторисної документації по "Реконструкція каналізаційної мережі з влаштуванням каналізаційної насосної станції заглибленого типу від житлового масиву за адресою вул. Грушевського 105 в м.Житомир"</x:v>
      </x:c>
      <x:c r="N356" s="15" t="str">
        <x:v>https://prozorro.gov.ua/tender/UA-2026-05-19-005355-a</x:v>
      </x:c>
    </x:row>
    <x:row r="357">
      <x:c r="A357" s="14" t="n">
        <x:v>353</x:v>
      </x:c>
      <x:c r="B357" s="14" t="str">
        <x:v>ТОВАРИСТВО З ОБМЕЖЕНОЮ ВІДПОВІДАЛЬНІСТЮ "ЗЕМЛЕБУДСЕРВІС"</x:v>
      </x:c>
      <x:c r="C357" s="14" t="str">
        <x:v>40877796</x:v>
      </x:c>
      <x:c r="D357" s="14" t="str">
        <x:v>ГНБ / безтраншейні роботи</x:v>
      </x:c>
      <x:c r="E357" s="14" t="str">
        <x:v>Expansion discovery</x:v>
      </x:c>
      <x:c r="F357" s="14" t="str">
        <x:v>I3</x:v>
      </x:c>
      <x:c r="G357" s="14" t="n">
        <x:v>46</x:v>
      </x:c>
      <x:c r="H357" s="14" t="n">
        <x:v>1</x:v>
      </x:c>
      <x:c r="I357" s="14" t="n">
        <x:v>1</x:v>
      </x:c>
      <x:c r="J357" s="18" t="n">
        <x:v>568839.71</x:v>
      </x:c>
      <x:c r="K357" s="19" t="n">
        <x:v>46091.593778622686</x:v>
      </x:c>
      <x:c r="L357" s="19" t="n">
        <x:v>46387</x:v>
      </x:c>
      <x:c r="M357" s="15" t="str">
        <x:v>Влаштування футляру методом горизонтально направленого буріння по вул. Князів Коріатовичів,189 в м. Вінниця.
</x:v>
      </x:c>
      <x:c r="N357" s="15" t="str">
        <x:v>https://prozorro.gov.ua/tender/UA-2026-03-10-005413-a</x:v>
      </x:c>
    </x:row>
    <x:row r="358">
      <x:c r="A358" s="14" t="n">
        <x:v>354</x:v>
      </x:c>
      <x:c r="B358" s="14" t="str">
        <x:v>ТОВАРИСТВО З ОБМЕЖЕНОЮ ВІДПОВІДАЛЬНІСТЮ "КОНСТРАКШН МАШИНЕРІ"</x:v>
      </x:c>
      <x:c r="C358" s="14" t="str">
        <x:v>32828388</x:v>
      </x:c>
      <x:c r="D358" s="14" t="str">
        <x:v>Мости / інфраструктура</x:v>
      </x:c>
      <x:c r="E358" s="14" t="str">
        <x:v>Expansion discovery</x:v>
      </x:c>
      <x:c r="F358" s="14" t="str">
        <x:v>I3</x:v>
      </x:c>
      <x:c r="G358" s="14" t="n">
        <x:v>46</x:v>
      </x:c>
      <x:c r="H358" s="14" t="n">
        <x:v>1</x:v>
      </x:c>
      <x:c r="I358" s="14" t="n">
        <x:v>1</x:v>
      </x:c>
      <x:c r="J358" s="18" t="n">
        <x:v>46440</x:v>
      </x:c>
      <x:c r="K358" s="19" t="n">
        <x:v>46175.3111</x:v>
      </x:c>
      <x:c r="L358" s="19" t="n">
        <x:v>46387</x:v>
      </x:c>
      <x:c r="M358" s="15" t="str">
        <x:v>ДК 021:2015  63710000-9 «Послуги з обслуговування наземних видів транспорту» (Виклик спеціаліста, ремонт моста заднього, монтаж моста заднього)</x:v>
      </x:c>
      <x:c r="N358" s="15" t="str">
        <x:v>https://prozorro.gov.ua/tender/UA-2026-06-02-002185-a</x:v>
      </x:c>
    </x:row>
    <x:row r="359">
      <x:c r="A359" s="14" t="n">
        <x:v>355</x:v>
      </x:c>
      <x:c r="B359" s="14" t="str">
        <x:v>ТОВАРИСТВО З ОБМЕЖЕНОЮ ВІДПОВІДАЛЬНІСТЮ "ЛАНГЕЙТ"</x:v>
      </x:c>
      <x:c r="C359" s="14" t="str">
        <x:v>31396704</x:v>
      </x:c>
      <x:c r="D359" s="14" t="str">
        <x:v>Безпека / СКУД / CCTV</x:v>
      </x:c>
      <x:c r="E359" s="14" t="str">
        <x:v>Expansion discovery</x:v>
      </x:c>
      <x:c r="F359" s="14" t="str">
        <x:v>I3</x:v>
      </x:c>
      <x:c r="G359" s="14" t="n">
        <x:v>46</x:v>
      </x:c>
      <x:c r="H359" s="14" t="n">
        <x:v>1</x:v>
      </x:c>
      <x:c r="I359" s="14" t="n">
        <x:v>1</x:v>
      </x:c>
      <x:c r="J359" s="18" t="n">
        <x:v>11340</x:v>
      </x:c>
      <x:c r="K359" s="19" t="n">
        <x:v>46209.56327302083</x:v>
      </x:c>
      <x:c r="L359" s="19" t="n">
        <x:v>46387</x:v>
      </x:c>
      <x:c r="M359" s="15" t="str">
        <x:v>Послуги з монтажу та облаштування системи відеоспостереження</x:v>
      </x:c>
      <x:c r="N359" s="15" t="str">
        <x:v>https://prozorro.gov.ua/tender/UA-2026-07-06-009347-a</x:v>
      </x:c>
    </x:row>
    <x:row r="360">
      <x:c r="A360" s="14" t="n">
        <x:v>356</x:v>
      </x:c>
      <x:c r="B360" s="14" t="str">
        <x:v>ТОВАРИСТВО З ОБМЕЖЕНОЮ ВІДПОВІДАЛЬНІСТЮ "НВА ГРУП"</x:v>
      </x:c>
      <x:c r="C360" s="14" t="str">
        <x:v>38415749</x:v>
      </x:c>
      <x:c r="D360" s="14" t="str">
        <x:v>Газопостачання / котельні</x:v>
      </x:c>
      <x:c r="E360" s="14" t="str">
        <x:v>Expansion discovery</x:v>
      </x:c>
      <x:c r="F360" s="14" t="str">
        <x:v>I3</x:v>
      </x:c>
      <x:c r="G360" s="14" t="n">
        <x:v>46</x:v>
      </x:c>
      <x:c r="H360" s="14" t="n">
        <x:v>1</x:v>
      </x:c>
      <x:c r="I360" s="14" t="n">
        <x:v>1</x:v>
      </x:c>
      <x:c r="J360" s="18" t="n">
        <x:v>10000</x:v>
      </x:c>
      <x:c r="K360" s="19" t="n">
        <x:v>46150.317875092594</x:v>
      </x:c>
      <x:c r="L360" s="19" t="n">
        <x:v>46356</x:v>
      </x:c>
      <x:c r="M360" s="15" t="str">
        <x:v>Консультаційні послуги щодо монтажу блочно – модульної твердопаливної котельної</x:v>
      </x:c>
      <x:c r="N360" s="15" t="str">
        <x:v>https://prozorro.gov.ua/tender/UA-2026-05-08-002771-a</x:v>
      </x:c>
    </x:row>
    <x:row r="361">
      <x:c r="A361" s="14" t="n">
        <x:v>357</x:v>
      </x:c>
      <x:c r="B361" s="14" t="str">
        <x:v>ТОВАРИСТВО З ОБМЕЖЕНОЮ ВІДПОВІДАЛЬНІСТЮ "СУЧАСНІ ТЕХНОЛОГІЇ БЕЗПЕКИ ПЛЮС"</x:v>
      </x:c>
      <x:c r="C361" s="14" t="str">
        <x:v>41143854</x:v>
      </x:c>
      <x:c r="D361" s="14" t="str">
        <x:v>Пожежогасіння</x:v>
      </x:c>
      <x:c r="E361" s="14" t="str">
        <x:v>Expansion discovery</x:v>
      </x:c>
      <x:c r="F361" s="14" t="str">
        <x:v>I3</x:v>
      </x:c>
      <x:c r="G361" s="14" t="n">
        <x:v>46</x:v>
      </x:c>
      <x:c r="H361" s="14" t="n">
        <x:v>1</x:v>
      </x:c>
      <x:c r="I361" s="14" t="n">
        <x:v>1</x:v>
      </x:c>
      <x:c r="J361" s="18" t="n">
        <x:v>65816.41</x:v>
      </x:c>
      <x:c r="K361" s="19" t="n">
        <x:v>46209.457452395836</x:v>
      </x:c>
      <x:c r="L361" s="19" t="n">
        <x:v>46387</x:v>
      </x:c>
      <x:c r="M361" s="15" t="str">
        <x:v>Установка та монтаж димових датчиків, наладка систем поженої сигналізації після ремонту приміщення театру Літера А літера 3 з підключенням до системи пожежної сигналізації</x:v>
      </x:c>
      <x:c r="N361" s="15" t="str">
        <x:v>https://prozorro.gov.ua/tender/UA-2026-07-06-005633-a</x:v>
      </x:c>
    </x:row>
    <x:row r="362">
      <x:c r="A362" s="14" t="n">
        <x:v>358</x:v>
      </x:c>
      <x:c r="B362" s="14" t="str">
        <x:v>ТОВАРИСТВО З ОБМЕЖЕНОЮ ВІДПОВІДАЛЬНІСТЮ "УКРВЕНТПРОМПОСТАЧ"</x:v>
      </x:c>
      <x:c r="C362" s="14" t="str">
        <x:v>39101642</x:v>
      </x:c>
      <x:c r="D362" s="14" t="str">
        <x:v>HVAC / ОВіК</x:v>
      </x:c>
      <x:c r="E362" s="14" t="str">
        <x:v>Pilot now</x:v>
      </x:c>
      <x:c r="F362" s="14" t="str">
        <x:v>I3</x:v>
      </x:c>
      <x:c r="G362" s="14" t="n">
        <x:v>46</x:v>
      </x:c>
      <x:c r="H362" s="14" t="n">
        <x:v>1</x:v>
      </x:c>
      <x:c r="I362" s="14" t="n">
        <x:v>1</x:v>
      </x:c>
      <x:c r="J362" s="18" t="n">
        <x:v>65074.52</x:v>
      </x:c>
      <x:c r="K362" s="19" t="n">
        <x:v>46189.606119421296</x:v>
      </x:c>
      <x:c r="L362" s="19" t="n">
        <x:v>46387</x:v>
      </x:c>
      <x:c r="M362" s="15" t="str">
        <x:v>Послуги з монтажу системи вентиляції в кабінеті денситометрії </x:v>
      </x:c>
      <x:c r="N362" s="15" t="str">
        <x:v>https://prozorro.gov.ua/tender/UA-2026-06-16-013759-a</x:v>
      </x:c>
    </x:row>
    <x:row r="363">
      <x:c r="A363" s="14" t="n">
        <x:v>359</x:v>
      </x:c>
      <x:c r="B363" s="14" t="str">
        <x:v>ТОВАРИСТВО З ОБМЕЖЕНОЮ ВІДПОВІДАЛЬНІСТЮ "ФАІРГРУПСЕК'ЮРІТІ"</x:v>
      </x:c>
      <x:c r="C363" s="14" t="str">
        <x:v>36727061</x:v>
      </x:c>
      <x:c r="D363" s="14" t="str">
        <x:v>Безпека / СКУД / CCTV</x:v>
      </x:c>
      <x:c r="E363" s="14" t="str">
        <x:v>Expansion discovery</x:v>
      </x:c>
      <x:c r="F363" s="14" t="str">
        <x:v>I3</x:v>
      </x:c>
      <x:c r="G363" s="14" t="n">
        <x:v>46</x:v>
      </x:c>
      <x:c r="H363" s="14" t="n">
        <x:v>1</x:v>
      </x:c>
      <x:c r="I363" s="14" t="n">
        <x:v>1</x:v>
      </x:c>
      <x:c r="J363" s="18" t="n">
        <x:v>43120</x:v>
      </x:c>
      <x:c r="K363" s="19" t="n">
        <x:v>46148.28008561343</x:v>
      </x:c>
      <x:c r="L363" s="19" t="n">
        <x:v>46387</x:v>
      </x:c>
      <x:c r="M363" s="15" t="str">
        <x:v>Послуга з монтажу системи контролю доступу (домофон) на об’єкті Замовника</x:v>
      </x:c>
      <x:c r="N363" s="15" t="str">
        <x:v>https://prozorro.gov.ua/tender/UA-2026-05-06-001383-a</x:v>
      </x:c>
    </x:row>
    <x:row r="364">
      <x:c r="A364" s="14" t="n">
        <x:v>360</x:v>
      </x:c>
      <x:c r="B364" s="14" t="str">
        <x:v>Товариство з обмеженою відповідальністю «КРИВБАСПРОЕКТ»</x:v>
      </x:c>
      <x:c r="C364" s="14" t="str">
        <x:v>45563913</x:v>
      </x:c>
      <x:c r="D364" s="14" t="str">
        <x:v>Зовнішні мережі</x:v>
      </x:c>
      <x:c r="E364" s="14" t="str">
        <x:v>Expansion discovery</x:v>
      </x:c>
      <x:c r="F364" s="14" t="str">
        <x:v>I3</x:v>
      </x:c>
      <x:c r="G364" s="14" t="n">
        <x:v>46</x:v>
      </x:c>
      <x:c r="H364" s="14" t="n">
        <x:v>1</x:v>
      </x:c>
      <x:c r="I364" s="14" t="n">
        <x:v>1</x:v>
      </x:c>
      <x:c r="J364" s="18" t="n">
        <x:v>93984</x:v>
      </x:c>
      <x:c r="K364" s="19" t="n">
        <x:v>46168.6494353125</x:v>
      </x:c>
      <x:c r="L364" s="19" t="n">
        <x:v>46387</x:v>
      </x:c>
      <x:c r="M364" s="15" t="str">
        <x:v>Роботи з авторського нагляду під час будівництва об'єкта "Нове будівництво зовнішніх інженерних мереж індустріального парку "Кривбас" на вул. Фабричній у м. Кривому Розі, Дніпропетровської області" 1 черга</x:v>
      </x:c>
      <x:c r="N364" s="15" t="str">
        <x:v>https://prozorro.gov.ua/tender/UA-2026-05-26-014763-a</x:v>
      </x:c>
    </x:row>
    <x:row r="365">
      <x:c r="A365" s="14" t="n">
        <x:v>361</x:v>
      </x:c>
      <x:c r="B365" s="14" t="str">
        <x:v>УПРАВЛІННЯ ПОЛІЦІЇ ОХОРОНИ В КІРОВОГРАДСЬКІЙ ОБЛАСТІ</x:v>
      </x:c>
      <x:c r="C365" s="14" t="str">
        <x:v>40109000</x:v>
      </x:c>
      <x:c r="D365" s="14" t="str">
        <x:v>Безпека / СКУД / CCTV</x:v>
      </x:c>
      <x:c r="E365" s="14" t="str">
        <x:v>Expansion discovery</x:v>
      </x:c>
      <x:c r="F365" s="14" t="str">
        <x:v>I3</x:v>
      </x:c>
      <x:c r="G365" s="14" t="n">
        <x:v>46</x:v>
      </x:c>
      <x:c r="H365" s="14" t="n">
        <x:v>1</x:v>
      </x:c>
      <x:c r="I365" s="14" t="n">
        <x:v>1</x:v>
      </x:c>
      <x:c r="J365" s="18" t="n">
        <x:v>60251.2</x:v>
      </x:c>
      <x:c r="K365" s="19" t="n">
        <x:v>46182.51376396991</x:v>
      </x:c>
      <x:c r="L365" s="19" t="n">
        <x:v>46387</x:v>
      </x:c>
      <x:c r="M365" s="15" t="str">
        <x:v>Монтаж робіт системи відеоспостереження</x:v>
      </x:c>
      <x:c r="N365" s="15" t="str">
        <x:v>https://prozorro.gov.ua/tender/UA-2026-06-09-008927-a</x:v>
      </x:c>
    </x:row>
    <x:row r="366">
      <x:c r="A366" s="14" t="n">
        <x:v>362</x:v>
      </x:c>
      <x:c r="B366" s="14" t="str">
        <x:v>ФІЛІЯ ДП "УКРДЕРЖБУДЕКСПЕРТИЗА" У ЗАКАРПАТСЬКІЙ ОБЛАСТІ</x:v>
      </x:c>
      <x:c r="C366" s="14" t="str">
        <x:v>35851205</x:v>
      </x:c>
      <x:c r="D366" s="14" t="str">
        <x:v>Сонячна енергетика</x:v>
      </x:c>
      <x:c r="E366" s="14" t="str">
        <x:v>Expansion discovery</x:v>
      </x:c>
      <x:c r="F366" s="14" t="str">
        <x:v>I3</x:v>
      </x:c>
      <x:c r="G366" s="14" t="n">
        <x:v>46</x:v>
      </x:c>
      <x:c r="H366" s="14" t="n">
        <x:v>1</x:v>
      </x:c>
      <x:c r="I366" s="14" t="n">
        <x:v>1</x:v>
      </x:c>
      <x:c r="J366" s="18" t="n">
        <x:v>9173.78</x:v>
      </x:c>
      <x:c r="K366" s="19" t="n">
        <x:v>46148.38122380787</x:v>
      </x:c>
      <x:c r="L366" s="19" t="n">
        <x:v>46387</x:v>
      </x:c>
      <x:c r="M366" s="15" t="str">
        <x:v> .Реконструкція системи енергопостачання (монтаж дахової сонячної електростанції для власних потреб) Грушівського ЗДО Тересвянської селищної ради по вул Центральна  13 в   с .Грушово,Тячівського району,Закарпатської області.</x:v>
      </x:c>
      <x:c r="N366" s="15" t="str">
        <x:v>https://prozorro.gov.ua/tender/UA-2026-05-06-005839-a</x:v>
      </x:c>
    </x:row>
    <x:row r="367">
      <x:c r="A367" s="14" t="n">
        <x:v>363</x:v>
      </x:c>
      <x:c r="B367" s="14" t="str">
        <x:v>ПРИВАТНЕ ПІДПРИЄМСТВО "БУДМАЙСТЕР"</x:v>
      </x:c>
      <x:c r="C367" s="14" t="str">
        <x:v>31161259</x:v>
      </x:c>
      <x:c r="D367" s="14" t="str">
        <x:v>Електромонтаж</x:v>
      </x:c>
      <x:c r="E367" s="14" t="str">
        <x:v>Pilot now</x:v>
      </x:c>
      <x:c r="F367" s="14" t="str">
        <x:v>I3</x:v>
      </x:c>
      <x:c r="G367" s="14" t="n">
        <x:v>46</x:v>
      </x:c>
      <x:c r="H367" s="14" t="n">
        <x:v>2</x:v>
      </x:c>
      <x:c r="I367" s="14" t="n">
        <x:v>0</x:v>
      </x:c>
      <x:c r="J367" s="18" t="n">
        <x:v>17272</x:v>
      </x:c>
      <x:c r="K367" s="19" t="n">
        <x:v>46153.587129837964</x:v>
      </x:c>
      <x:c r="L367" s="19" t="n">
        <x:v>46203</x:v>
      </x:c>
      <x:c r="M367" s="15" t="str">
        <x:v>Здійснення технічного нагляду по об’єкту «Реконструкція електричних мереж «Комплекс.Водозабір№2» КП Корюківкаводоканал" шляхом монтажу електрогенеруючої установки для заміщення власного споживання електроенергії номінальною потужністю по інвертору 50 кВт, що встановлюється  за адресою: Чернігівська обл., м. Корюківка, вул. Софії Русової, 21-А» ( ДК  ЄЗС 021:2015 - 71520000-9 послуги з нагляду за виконанням будівельних робіт) </x:v>
      </x:c>
      <x:c r="N367" s="15" t="str">
        <x:v>https://prozorro.gov.ua/tender/UA-2026-05-11-013243-a</x:v>
      </x:c>
    </x:row>
    <x:row r="368">
      <x:c r="A368" s="14" t="n">
        <x:v>364</x:v>
      </x:c>
      <x:c r="B368" s="14" t="str">
        <x:v>ФОП Бичок Костянтин Вікторович</x:v>
      </x:c>
      <x:c r="C368" s="14" t="str">
        <x:v>3268604178</x:v>
      </x:c>
      <x:c r="D368" s="14" t="str">
        <x:v>Електромонтаж</x:v>
      </x:c>
      <x:c r="E368" s="14" t="str">
        <x:v>Pilot now</x:v>
      </x:c>
      <x:c r="F368" s="14" t="str">
        <x:v>I3</x:v>
      </x:c>
      <x:c r="G368" s="14" t="n">
        <x:v>45</x:v>
      </x:c>
      <x:c r="H368" s="14" t="n">
        <x:v>2</x:v>
      </x:c>
      <x:c r="I368" s="14" t="n">
        <x:v>2</x:v>
      </x:c>
      <x:c r="J368" s="18" t="n">
        <x:v>27580</x:v>
      </x:c>
      <x:c r="K368" s="19" t="n">
        <x:v>46111.52540443287</x:v>
      </x:c>
      <x:c r="L368" s="19" t="n">
        <x:v>46387.568333333336</x:v>
      </x:c>
      <x:c r="M368" s="15" t="str">
        <x:v>Послуги у сфері локальних мереж (встановлення роутера, налагодження ПК, прокладання витої пари, монтаж короба, прокладання електричного кабелю)</x:v>
      </x:c>
      <x:c r="N368" s="15" t="str">
        <x:v>https://prozorro.gov.ua/tender/UA-2026-03-30-009078-a</x:v>
      </x:c>
    </x:row>
    <x:row r="369">
      <x:c r="A369" s="14" t="n">
        <x:v>365</x:v>
      </x:c>
      <x:c r="B369" s="14" t="str">
        <x:v>ФОП ГОНЧАРУК ВОЛОДИМИР МИКОЛАЙОВИЧ</x:v>
      </x:c>
      <x:c r="C369" s="14" t="str">
        <x:v>2761325735</x:v>
      </x:c>
      <x:c r="D369" s="14" t="str">
        <x:v>HVAC / ОВіК</x:v>
      </x:c>
      <x:c r="E369" s="14" t="str">
        <x:v>Pilot now</x:v>
      </x:c>
      <x:c r="F369" s="14" t="str">
        <x:v>I3</x:v>
      </x:c>
      <x:c r="G369" s="14" t="n">
        <x:v>45</x:v>
      </x:c>
      <x:c r="H369" s="14" t="n">
        <x:v>2</x:v>
      </x:c>
      <x:c r="I369" s="14" t="n">
        <x:v>2</x:v>
      </x:c>
      <x:c r="J369" s="18" t="n">
        <x:v>9300</x:v>
      </x:c>
      <x:c r="K369" s="19" t="n">
        <x:v>46090.64353076389</x:v>
      </x:c>
      <x:c r="L369" s="19" t="n">
        <x:v>46387</x:v>
      </x:c>
      <x:c r="M369" s="15" t="str">
        <x:v>Послуга з поточного ремонту системи опалення (демонтаж, монтаж радіаторів системи опалення)</x:v>
      </x:c>
      <x:c r="N369" s="15" t="str">
        <x:v>https://prozorro.gov.ua/tender/UA-2026-03-09-013138-a</x:v>
      </x:c>
    </x:row>
    <x:row r="370">
      <x:c r="A370" s="14" t="n">
        <x:v>366</x:v>
      </x:c>
      <x:c r="B370" s="14" t="str">
        <x:v>Державне підприємство «ДЕРЖАВНИЙ НАУКОВО-ДОСЛІДНИЙ ТА ПРОЕКТНО-ВИШУКУВАЛЬНИЙ ІНСТИТУТ «НДІПРОЕКТРЕКОНСТРУКЦІЯ» Одеська філія</x:v>
      </x:c>
      <x:c r="C370" s="14" t="str">
        <x:v>03329083</x:v>
      </x:c>
      <x:c r="D370" s="14" t="str">
        <x:v>Водоочищення / очисні споруди</x:v>
      </x:c>
      <x:c r="E370" s="14" t="str">
        <x:v>Expansion discovery</x:v>
      </x:c>
      <x:c r="F370" s="14" t="str">
        <x:v>I3</x:v>
      </x:c>
      <x:c r="G370" s="14" t="n">
        <x:v>45</x:v>
      </x:c>
      <x:c r="H370" s="14" t="n">
        <x:v>1</x:v>
      </x:c>
      <x:c r="I370" s="14" t="n">
        <x:v>0</x:v>
      </x:c>
      <x:c r="J370" s="18" t="n">
        <x:v>139889.86</x:v>
      </x:c>
      <x:c r="K370" s="19" t="n">
        <x:v>46161.355033078704</x:v>
      </x:c>
      <x:c r="L370" s="19" t="n">
        <x:v>46189.35413194444</x:v>
      </x:c>
      <x:c r="M370" s="15" t="str">
        <x:v>Проведення експертизи проєктно-кошторисної документації за об'єктом: «Реконструкція споруд фізико-механічної очистки стічних вод на очисних спорудах господарсько - побутової каналізації у м. Білгород - Дністровський Одеської області. Коригування».</x:v>
      </x:c>
      <x:c r="N370" s="15" t="str">
        <x:v>https://prozorro.gov.ua/tender/UA-2026-05-19-004414-a</x:v>
      </x:c>
    </x:row>
    <x:row r="371">
      <x:c r="A371" s="14" t="n">
        <x:v>367</x:v>
      </x:c>
      <x:c r="B371" s="14" t="str">
        <x:v>ТОВ "АМІКС-КОМПЛЕКС"</x:v>
      </x:c>
      <x:c r="C371" s="14" t="str">
        <x:v>39828887</x:v>
      </x:c>
      <x:c r="D371" s="14" t="str">
        <x:v>Промисловий холод</x:v>
      </x:c>
      <x:c r="E371" s="14" t="str">
        <x:v>Expansion discovery</x:v>
      </x:c>
      <x:c r="F371" s="14" t="str">
        <x:v>I3</x:v>
      </x:c>
      <x:c r="G371" s="14" t="n">
        <x:v>45</x:v>
      </x:c>
      <x:c r="H371" s="14" t="n">
        <x:v>1</x:v>
      </x:c>
      <x:c r="I371" s="14" t="n">
        <x:v>0</x:v>
      </x:c>
      <x:c r="J371" s="18" t="n">
        <x:v>145080</x:v>
      </x:c>
      <x:c r="K371" s="19" t="n">
        <x:v>46211.45454412037</x:v>
      </x:c>
      <x:c r="L371" s="19" t="n">
        <x:v>46234</x:v>
      </x:c>
      <x:c r="M371" s="15" t="str">
        <x:v>Придбання та монтаж кондиціонерів повітря (код ДК 021:2015 - 42510000-4 Теплообмінники, кондиціонери повітря, холодильне обладнання та фільтрувальні пристрої)</x:v>
      </x:c>
      <x:c r="N371" s="15" t="str">
        <x:v>https://prozorro.gov.ua/tender/UA-2026-06-22-002065-a</x:v>
      </x:c>
    </x:row>
    <x:row r="372">
      <x:c r="A372" s="14" t="n">
        <x:v>368</x:v>
      </x:c>
      <x:c r="B372" s="14" t="str">
        <x:v>ТОВ "ДНІПРОВОДПРОЕКТ"</x:v>
      </x:c>
      <x:c r="C372" s="14" t="str">
        <x:v>35045202</x:v>
      </x:c>
      <x:c r="D372" s="14" t="str">
        <x:v>Водоочищення / очисні споруди</x:v>
      </x:c>
      <x:c r="E372" s="14" t="str">
        <x:v>Expansion discovery</x:v>
      </x:c>
      <x:c r="F372" s="14" t="str">
        <x:v>I3</x:v>
      </x:c>
      <x:c r="G372" s="14" t="n">
        <x:v>45</x:v>
      </x:c>
      <x:c r="H372" s="14" t="n">
        <x:v>1</x:v>
      </x:c>
      <x:c r="I372" s="14" t="n">
        <x:v>0</x:v>
      </x:c>
      <x:c r="J372" s="18" t="n">
        <x:v>111354</x:v>
      </x:c>
      <x:c r="K372" s="19" t="n">
        <x:v>46156.27859652778</x:v>
      </x:c>
      <x:c r="L372" s="19" t="n">
        <x:v>46234</x:v>
      </x:c>
      <x:c r="M372" s="15" t="str">
        <x:v>Робота з коригування проектной документації по об'єкту  "Реконструкція водопровідних очисних споруд з впровадженням системи автоматизованого дозування коагулянту КП "Броваритепловодоенергія"  по вул.Металургів, 52  м.Бровари Броварського району Київської області"</x:v>
      </x:c>
      <x:c r="N372" s="15" t="str">
        <x:v>https://prozorro.gov.ua/tender/UA-2026-05-14-001223-a</x:v>
      </x:c>
    </x:row>
    <x:row r="373">
      <x:c r="A373" s="14" t="n">
        <x:v>369</x:v>
      </x:c>
      <x:c r="B373" s="14" t="str">
        <x:v>ТОВ "РОЯЛ СТРОЙ ЛІМІТЕД"</x:v>
      </x:c>
      <x:c r="C373" s="14" t="str">
        <x:v>40979308</x:v>
      </x:c>
      <x:c r="D373" s="14" t="str">
        <x:v>Резервне живлення</x:v>
      </x:c>
      <x:c r="E373" s="14" t="str">
        <x:v>Expansion discovery</x:v>
      </x:c>
      <x:c r="F373" s="14" t="str">
        <x:v>I3</x:v>
      </x:c>
      <x:c r="G373" s="14" t="n">
        <x:v>45</x:v>
      </x:c>
      <x:c r="H373" s="14" t="n">
        <x:v>1</x:v>
      </x:c>
      <x:c r="I373" s="14" t="n">
        <x:v>0</x:v>
      </x:c>
      <x:c r="J373" s="18" t="n">
        <x:v>420000</x:v>
      </x:c>
      <x:c r="K373" s="19" t="n">
        <x:v>46143.43566216435</x:v>
      </x:c>
      <x:c r="L373" s="19" t="n">
        <x:v>46174</x:v>
      </x:c>
      <x:c r="M373" s="15" t="str">
        <x:v> Модернізація електрощитової та монтаж системи резервного електроживлення (з підключенням джерел безперебійного живлення) Олександрівського закладу загальної середньої освіти Чорноморської міської ради Одеського району Одеської області, розташованого за адресою: Одеська область, Одеський район, с. Олександрівка, вул. Центральна, 85.  ДК 021:2015 45310000-3: «Електромонтажні роботи», 45317000-2 «Інші електромонтажні роботи». </x:v>
      </x:c>
      <x:c r="N373" s="15" t="str">
        <x:v>https://prozorro.gov.ua/tender/UA-2026-05-01-007008-a</x:v>
      </x:c>
    </x:row>
    <x:row r="374">
      <x:c r="A374" s="14" t="n">
        <x:v>370</x:v>
      </x:c>
      <x:c r="B374" s="14" t="str">
        <x:v>ТОВ"Клімат контроль+"</x:v>
      </x:c>
      <x:c r="C374" s="14" t="str">
        <x:v>44650140</x:v>
      </x:c>
      <x:c r="D374" s="14" t="str">
        <x:v>Резервне живлення</x:v>
      </x:c>
      <x:c r="E374" s="14" t="str">
        <x:v>Expansion discovery</x:v>
      </x:c>
      <x:c r="F374" s="14" t="str">
        <x:v>I3</x:v>
      </x:c>
      <x:c r="G374" s="14" t="n">
        <x:v>45</x:v>
      </x:c>
      <x:c r="H374" s="14" t="n">
        <x:v>1</x:v>
      </x:c>
      <x:c r="I374" s="14" t="n">
        <x:v>0</x:v>
      </x:c>
      <x:c r="J374" s="18" t="n">
        <x:v>124016</x:v>
      </x:c>
      <x:c r="K374" s="19" t="n">
        <x:v>46181.48131082176</x:v>
      </x:c>
      <x:c r="L374" s="19" t="n">
        <x:v>46204</x:v>
      </x:c>
      <x:c r="M374" s="15" t="str">
        <x:v>ДК 021:2015:45310000-3: «Електромонтажні роботи»(45315300-1 -               " Монтаж систем електроживлення" (Монтаж та підключення безперебійного джерела живлення теплового пункту Малодолинського закладу загальної середньої освіти Чорноморської міської ради  Одеського р-ну, Одеської обл. розташованого за адресою : Одеська обл., Одеський р-н, с.Малодолинське, вул. Зелена , 2)</x:v>
      </x:c>
      <x:c r="N374" s="15" t="str">
        <x:v>https://prozorro.gov.ua/tender/UA-2026-06-08-007955-a</x:v>
      </x:c>
    </x:row>
    <x:row r="375">
      <x:c r="A375" s="14" t="n">
        <x:v>371</x:v>
      </x:c>
      <x:c r="B375" s="14" t="str">
        <x:v>ТОВАРИСТВО З ОБМЕЖЕНОЮ ВІДПОВІДАЛЬНІСТЮ "ЕНЕРГОДОСВІД"</x:v>
      </x:c>
      <x:c r="C375" s="14" t="str">
        <x:v>39962008</x:v>
      </x:c>
      <x:c r="D375" s="14" t="str">
        <x:v>Електромонтаж</x:v>
      </x:c>
      <x:c r="E375" s="14" t="str">
        <x:v>Pilot now</x:v>
      </x:c>
      <x:c r="F375" s="14" t="str">
        <x:v>I3</x:v>
      </x:c>
      <x:c r="G375" s="14" t="n">
        <x:v>45</x:v>
      </x:c>
      <x:c r="H375" s="14" t="n">
        <x:v>1</x:v>
      </x:c>
      <x:c r="I375" s="14" t="n">
        <x:v>0</x:v>
      </x:c>
      <x:c r="J375" s="18" t="n">
        <x:v>151552.22</x:v>
      </x:c>
      <x:c r="K375" s="19" t="n">
        <x:v>46205.55656896991</x:v>
      </x:c>
      <x:c r="L375" s="19" t="n">
        <x:v>46234</x:v>
      </x:c>
      <x:c r="M375" s="15" t="str">
        <x:v>Послуги з монтажу зовнішніх електричних мереж  із встановленням кабельних муфт 0,4 кВ поліклініки №3 КП «ХМЛДЦ» по вул. Майборського (ДК 021:2015: 45310000-3 — Електромонтажні роботи).
</x:v>
      </x:c>
      <x:c r="N375" s="15" t="str">
        <x:v>https://prozorro.gov.ua/tender/UA-2026-06-19-005304-a</x:v>
      </x:c>
    </x:row>
    <x:row r="376">
      <x:c r="A376" s="14" t="n">
        <x:v>372</x:v>
      </x:c>
      <x:c r="B376" s="14" t="str">
        <x:v>ТОВАРИСТВО З ОБМЕЖЕНОЮ ВІДПОВІДАЛЬНІСТЮ "СПЕЦІАЛІЗОВАНІ ЕНЕРГЕТИЧНІ ТЕХНОЛОГІЇ"</x:v>
      </x:c>
      <x:c r="C376" s="14" t="str">
        <x:v>37821649</x:v>
      </x:c>
      <x:c r="D376" s="14" t="str">
        <x:v>Сонячна енергетика</x:v>
      </x:c>
      <x:c r="E376" s="14" t="str">
        <x:v>Expansion discovery</x:v>
      </x:c>
      <x:c r="F376" s="14" t="str">
        <x:v>I3</x:v>
      </x:c>
      <x:c r="G376" s="14" t="n">
        <x:v>45</x:v>
      </x:c>
      <x:c r="H376" s="14" t="n">
        <x:v>1</x:v>
      </x:c>
      <x:c r="I376" s="14" t="n">
        <x:v>0</x:v>
      </x:c>
      <x:c r="J376" s="18" t="n">
        <x:v>143898</x:v>
      </x:c>
      <x:c r="K376" s="19" t="n">
        <x:v>46174.43245354167</x:v>
      </x:c>
      <x:c r="L376" s="19" t="n">
        <x:v>46249</x:v>
      </x:c>
      <x:c r="M376" s="15" t="str">
        <x:v>роботи (монтаж та підключення гібридної сонячної електростанції 25 кВт для власного споживання)</x:v>
      </x:c>
      <x:c r="N376" s="15" t="str">
        <x:v>https://prozorro.gov.ua/tender/UA-2026-06-01-006035-a</x:v>
      </x:c>
    </x:row>
    <x:row r="377">
      <x:c r="A377" s="14" t="n">
        <x:v>373</x:v>
      </x:c>
      <x:c r="B377" s="14" t="str">
        <x:v>Товариство з обмеженою відповідальністю «Вентресурс»</x:v>
      </x:c>
      <x:c r="C377" s="14" t="str">
        <x:v>37850973</x:v>
      </x:c>
      <x:c r="D377" s="14" t="str">
        <x:v>HVAC / ОВіК</x:v>
      </x:c>
      <x:c r="E377" s="14" t="str">
        <x:v>Pilot now</x:v>
      </x:c>
      <x:c r="F377" s="14" t="str">
        <x:v>I3</x:v>
      </x:c>
      <x:c r="G377" s="14" t="n">
        <x:v>45</x:v>
      </x:c>
      <x:c r="H377" s="14" t="n">
        <x:v>1</x:v>
      </x:c>
      <x:c r="I377" s="14" t="n">
        <x:v>0</x:v>
      </x:c>
      <x:c r="J377" s="18" t="n">
        <x:v>199854.82</x:v>
      </x:c>
      <x:c r="K377" s="19" t="n">
        <x:v>46209.467935347224</x:v>
      </x:c>
      <x:c r="L377" s="19" t="n">
        <x:v>46227.46787037037</x:v>
      </x:c>
      <x:c r="M377" s="15" t="str">
        <x:v>Монтаж приточно-витяжної системи вентиляції П-1, В-1 в приміщенні укриття КЗ КМР "Слобідська гімназія", с. Слобода, Обухівського району Київської області по вулиці Площа Слави 83                            ,6</x:v>
      </x:c>
      <x:c r="N377" s="15" t="str">
        <x:v>https://prozorro.gov.ua/tender/UA-2026-07-06-005832-a</x:v>
      </x:c>
    </x:row>
    <x:row r="378">
      <x:c r="A378" s="14" t="n">
        <x:v>374</x:v>
      </x:c>
      <x:c r="B378" s="14" t="str">
        <x:v>Антоненко Максим Юрійович</x:v>
      </x:c>
      <x:c r="C378" s="14" t="str">
        <x:v>3716103678</x:v>
      </x:c>
      <x:c r="D378" s="14" t="str">
        <x:v>Електромонтаж</x:v>
      </x:c>
      <x:c r="E378" s="14" t="str">
        <x:v>Pilot now</x:v>
      </x:c>
      <x:c r="F378" s="14" t="str">
        <x:v>I3</x:v>
      </x:c>
      <x:c r="G378" s="14" t="n">
        <x:v>44</x:v>
      </x:c>
      <x:c r="H378" s="14" t="n">
        <x:v>1</x:v>
      </x:c>
      <x:c r="I378" s="14" t="n">
        <x:v>0</x:v>
      </x:c>
      <x:c r="J378" s="18" t="n">
        <x:v>36600</x:v>
      </x:c>
      <x:c r="K378" s="19" t="n">
        <x:v>46251.53463201389</x:v>
      </x:c>
      <x:c r="L378" s="19" t="n">
        <x:v>46251.53681712963</x:v>
      </x:c>
      <x:c r="M378" s="15" t="str">
        <x:v>Електромонтажні роботи. Класифікація за ДК 021-2015 (CPV): 45310000-3 - Електромонтажні роботи</x:v>
      </x:c>
      <x:c r="N378" s="15" t="str">
        <x:v>https://prozorro.gov.ua/tender/UA-2026-08-17-009902-a</x:v>
      </x:c>
    </x:row>
    <x:row r="379">
      <x:c r="A379" s="14" t="n">
        <x:v>375</x:v>
      </x:c>
      <x:c r="B379" s="14" t="str">
        <x:v>Владов Дмитро Олексійович</x:v>
      </x:c>
      <x:c r="C379" s="14" t="str">
        <x:v>1916807599</x:v>
      </x:c>
      <x:c r="D379" s="14" t="str">
        <x:v>HVAC / ОВіК</x:v>
      </x:c>
      <x:c r="E379" s="14" t="str">
        <x:v>Pilot now</x:v>
      </x:c>
      <x:c r="F379" s="14" t="str">
        <x:v>I3</x:v>
      </x:c>
      <x:c r="G379" s="14" t="n">
        <x:v>44</x:v>
      </x:c>
      <x:c r="H379" s="14" t="n">
        <x:v>1</x:v>
      </x:c>
      <x:c r="I379" s="14" t="n">
        <x:v>0</x:v>
      </x:c>
      <x:c r="J379" s="18" t="n">
        <x:v>19825</x:v>
      </x:c>
      <x:c r="K379" s="19" t="n">
        <x:v>46237.53604215278</x:v>
      </x:c>
      <x:c r="L379" s="19" t="n">
        <x:v>46238.532175925924</x:v>
      </x:c>
      <x:c r="M379" s="15" t="str">
        <x:v>послуги з демонтажу та монтажу, перегрупуванню та підключенню до системи опалення сталевих та чавуних  радіаторів, прокладання труб</x:v>
      </x:c>
      <x:c r="N379" s="15" t="str">
        <x:v>https://prozorro.gov.ua/tender/UA-2026-08-03-008838-a</x:v>
      </x:c>
    </x:row>
    <x:row r="380">
      <x:c r="A380" s="14" t="n">
        <x:v>376</x:v>
      </x:c>
      <x:c r="B380" s="14" t="str">
        <x:v>КОВАЛЕНКО ВОЛОДИМИР СЕРГІЙОВИЧ</x:v>
      </x:c>
      <x:c r="C380" s="14" t="str">
        <x:v>3110919730</x:v>
      </x:c>
      <x:c r="D380" s="14" t="str">
        <x:v>HVAC / ОВіК</x:v>
      </x:c>
      <x:c r="E380" s="14" t="str">
        <x:v>Pilot now</x:v>
      </x:c>
      <x:c r="F380" s="14" t="str">
        <x:v>I3</x:v>
      </x:c>
      <x:c r="G380" s="14" t="n">
        <x:v>44</x:v>
      </x:c>
      <x:c r="H380" s="14" t="n">
        <x:v>1</x:v>
      </x:c>
      <x:c r="I380" s="14" t="n">
        <x:v>0</x:v>
      </x:c>
      <x:c r="J380" s="18" t="n">
        <x:v>24000</x:v>
      </x:c>
      <x:c r="K380" s="19" t="n">
        <x:v>46218.25353581019</x:v>
      </x:c>
      <x:c r="L380" s="19" t="n">
        <x:v>46244</x:v>
      </x:c>
      <x:c r="M380" s="15" t="str">
        <x:v>Послуги з виготовлення проектно-кошторисної документації на монтаж системи вентиляції у приміщеннях 2, 4, 7, 8 громадського будинку адміністративно-побутової будівлі ГУ ДСНС України у Полтавській області за адресою: м. Полтава, вул. Решетилівська, 26/1.</x:v>
      </x:c>
      <x:c r="N380" s="15" t="str">
        <x:v>https://prozorro.gov.ua/tender/UA-2026-07-15-000429-a</x:v>
      </x:c>
    </x:row>
    <x:row r="381">
      <x:c r="A381" s="14" t="n">
        <x:v>377</x:v>
      </x:c>
      <x:c r="B381" s="14" t="str">
        <x:v>Мельніковський Максим Олександрович</x:v>
      </x:c>
      <x:c r="C381" s="14" t="str">
        <x:v>3177207373</x:v>
      </x:c>
      <x:c r="D381" s="14" t="str">
        <x:v>Безпека / СКУД / CCTV</x:v>
      </x:c>
      <x:c r="E381" s="14" t="str">
        <x:v>Expansion discovery</x:v>
      </x:c>
      <x:c r="F381" s="14" t="str">
        <x:v>I3</x:v>
      </x:c>
      <x:c r="G381" s="14" t="n">
        <x:v>44</x:v>
      </x:c>
      <x:c r="H381" s="14" t="n">
        <x:v>1</x:v>
      </x:c>
      <x:c r="I381" s="14" t="n">
        <x:v>0</x:v>
      </x:c>
      <x:c r="J381" s="18" t="n">
        <x:v>45590</x:v>
      </x:c>
      <x:c r="K381" s="19" t="n">
        <x:v>46237.37379709491</x:v>
      </x:c>
      <x:c r="L381" s="19" t="n">
        <x:v>46248</x:v>
      </x:c>
      <x:c r="M381" s="15" t="str">
        <x:v>Послуги з монтажу та налагодження системи відеоспостереження</x:v>
      </x:c>
      <x:c r="N381" s="15" t="str">
        <x:v>https://prozorro.gov.ua/tender/UA-2026-08-03-003923-a</x:v>
      </x:c>
    </x:row>
    <x:row r="382">
      <x:c r="A382" s="14" t="n">
        <x:v>378</x:v>
      </x:c>
      <x:c r="B382" s="14" t="str">
        <x:v>ПОПОВСЬКА ОКСАНА АНАТОЛІЇВНА</x:v>
      </x:c>
      <x:c r="C382" s="14" t="str">
        <x:v>2729308340</x:v>
      </x:c>
      <x:c r="D382" s="14" t="str">
        <x:v>Безпека / СКУД / CCTV</x:v>
      </x:c>
      <x:c r="E382" s="14" t="str">
        <x:v>Expansion discovery</x:v>
      </x:c>
      <x:c r="F382" s="14" t="str">
        <x:v>I3</x:v>
      </x:c>
      <x:c r="G382" s="14" t="n">
        <x:v>44</x:v>
      </x:c>
      <x:c r="H382" s="14" t="n">
        <x:v>1</x:v>
      </x:c>
      <x:c r="I382" s="14" t="n">
        <x:v>0</x:v>
      </x:c>
      <x:c r="J382" s="18" t="n">
        <x:v>47201.8</x:v>
      </x:c>
      <x:c r="K382" s="19" t="n">
        <x:v>46225.33639276621</x:v>
      </x:c>
      <x:c r="L382" s="19" t="n">
        <x:v>46234</x:v>
      </x:c>
      <x:c r="M382" s="15" t="str">
        <x:v>Послуги з монтажу системи відеоспостереження</x:v>
      </x:c>
      <x:c r="N382" s="15" t="str">
        <x:v>https://prozorro.gov.ua/tender/UA-2026-07-22-002862-a</x:v>
      </x:c>
    </x:row>
    <x:row r="383">
      <x:c r="A383" s="14" t="n">
        <x:v>379</x:v>
      </x:c>
      <x:c r="B383" s="14" t="str">
        <x:v>ПРОЙЧЕНКО ІВАН ІВАНОВИЧ</x:v>
      </x:c>
      <x:c r="C383" s="14" t="str">
        <x:v>3077618016</x:v>
      </x:c>
      <x:c r="D383" s="14" t="str">
        <x:v>Електромонтаж</x:v>
      </x:c>
      <x:c r="E383" s="14" t="str">
        <x:v>Pilot now</x:v>
      </x:c>
      <x:c r="F383" s="14" t="str">
        <x:v>I3</x:v>
      </x:c>
      <x:c r="G383" s="14" t="n">
        <x:v>44</x:v>
      </x:c>
      <x:c r="H383" s="14" t="n">
        <x:v>1</x:v>
      </x:c>
      <x:c r="I383" s="14" t="n">
        <x:v>0</x:v>
      </x:c>
      <x:c r="J383" s="18" t="n">
        <x:v>52530</x:v>
      </x:c>
      <x:c r="K383" s="19" t="n">
        <x:v>46245.395472199074</x:v>
      </x:c>
      <x:c r="L383" s="19" t="n">
        <x:v>46232</x:v>
      </x:c>
      <x:c r="M383" s="15" t="str">
        <x:v>Послуги з утримання в належному стані внутрішніх мереж електропостачання: послуги зі встановлення контрольного обладнання ( демонтаж та встановлення (монтаж) електричних лічильників із забезпеченням їх державної повірки</x:v>
      </x:c>
      <x:c r="N383" s="15" t="str">
        <x:v>https://prozorro.gov.ua/tender/UA-2026-08-11-005325-a</x:v>
      </x:c>
    </x:row>
    <x:row r="384">
      <x:c r="A384" s="14" t="n">
        <x:v>380</x:v>
      </x:c>
      <x:c r="B384" s="14" t="str">
        <x:v>ФОП КРЯЧКО ВІТАЛІЙ ЮРІЙОВИЧ</x:v>
      </x:c>
      <x:c r="C384" s="14" t="str">
        <x:v>2815704419</x:v>
      </x:c>
      <x:c r="D384" s="14" t="str">
        <x:v>Електромонтаж</x:v>
      </x:c>
      <x:c r="E384" s="14" t="str">
        <x:v>Pilot now</x:v>
      </x:c>
      <x:c r="F384" s="14" t="str">
        <x:v>I3</x:v>
      </x:c>
      <x:c r="G384" s="14" t="n">
        <x:v>44</x:v>
      </x:c>
      <x:c r="H384" s="14" t="n">
        <x:v>1</x:v>
      </x:c>
      <x:c r="I384" s="14" t="n">
        <x:v>0</x:v>
      </x:c>
      <x:c r="J384" s="18" t="n">
        <x:v>95900</x:v>
      </x:c>
      <x:c r="K384" s="19" t="n">
        <x:v>46213.47965162037</x:v>
      </x:c>
      <x:c r="L384" s="19" t="n">
        <x:v>46234.87498842592</x:v>
      </x:c>
      <x:c r="M384" s="15" t="str">
        <x:v>Послуги з монтажу (заміни) частини електричного обладнання системи резервного живлення (дизель-генератора) будівлі літ. А-6 КНП "МКЛБ №17" ХМР, за адресою: м.Харків, вул. О. Гончара, буд. 5 (ДК 021:2015: 51110000-6 Послуги зі встановлення електричного обладнання)</x:v>
      </x:c>
      <x:c r="N384" s="15" t="str">
        <x:v>https://prozorro.gov.ua/tender/UA-2026-07-10-007609-a</x:v>
      </x:c>
    </x:row>
    <x:row r="385">
      <x:c r="A385" s="14" t="n">
        <x:v>381</x:v>
      </x:c>
      <x:c r="B385" s="14" t="str">
        <x:v>ФОП Різник Руслан Сергійович</x:v>
      </x:c>
      <x:c r="C385" s="14" t="str">
        <x:v>3468107094</x:v>
      </x:c>
      <x:c r="D385" s="14" t="str">
        <x:v>Мости / інфраструктура</x:v>
      </x:c>
      <x:c r="E385" s="14" t="str">
        <x:v>Expansion discovery</x:v>
      </x:c>
      <x:c r="F385" s="14" t="str">
        <x:v>I3</x:v>
      </x:c>
      <x:c r="G385" s="14" t="n">
        <x:v>44</x:v>
      </x:c>
      <x:c r="H385" s="14" t="n">
        <x:v>1</x:v>
      </x:c>
      <x:c r="I385" s="14" t="n">
        <x:v>0</x:v>
      </x:c>
      <x:c r="J385" s="18" t="n">
        <x:v>11000</x:v>
      </x:c>
      <x:c r="K385" s="19" t="n">
        <x:v>46219.61719828704</x:v>
      </x:c>
      <x:c r="L385" s="19" t="n">
        <x:v>46228.61788194445</x:v>
      </x:c>
      <x:c r="M385" s="15" t="str">
        <x:v>Ремонт переднього моста, ремонт задньої підвіски, заміна фільтрів і оливи, змащування автобуса</x:v>
      </x:c>
      <x:c r="N385" s="15" t="str">
        <x:v>https://prozorro.gov.ua/tender/UA-2026-07-16-010202-a</x:v>
      </x:c>
    </x:row>
    <x:row r="386">
      <x:c r="A386" s="14" t="n">
        <x:v>382</x:v>
      </x:c>
      <x:c r="B386" s="14" t="str">
        <x:v>ВАЩЕНКО ВОЛОДИМИР ІВАНОВИЧ</x:v>
      </x:c>
      <x:c r="C386" s="14" t="str">
        <x:v>2730510078</x:v>
      </x:c>
      <x:c r="D386" s="14" t="str">
        <x:v>HVAC / ОВіК</x:v>
      </x:c>
      <x:c r="E386" s="14" t="str">
        <x:v>Pilot now</x:v>
      </x:c>
      <x:c r="F386" s="14" t="str">
        <x:v>I3</x:v>
      </x:c>
      <x:c r="G386" s="14" t="n">
        <x:v>43</x:v>
      </x:c>
      <x:c r="H386" s="14" t="n">
        <x:v>1</x:v>
      </x:c>
      <x:c r="I386" s="14" t="n">
        <x:v>1</x:v>
      </x:c>
      <x:c r="J386" s="18" t="n">
        <x:v>59660</x:v>
      </x:c>
      <x:c r="K386" s="19" t="n">
        <x:v>46211.353690625</x:v>
      </x:c>
      <x:c r="L386" s="19" t="n">
        <x:v>46387</x:v>
      </x:c>
      <x:c r="M386" s="15" t="str">
        <x:v>Роботи (послуги) з демонтажу та монтажу системи опалення за адресою вул. Любецька, 11 а, м. Чернігів (код згідно ЄЗС ДК 021:2015: 50720000-8 "Послуги з ремонту і технічного обслуговування систем центрального опалення ") </x:v>
      </x:c>
      <x:c r="N386" s="15" t="str">
        <x:v>https://prozorro.gov.ua/tender/UA-2026-07-08-003640-a</x:v>
      </x:c>
    </x:row>
    <x:row r="387">
      <x:c r="A387" s="14" t="n">
        <x:v>383</x:v>
      </x:c>
      <x:c r="B387" s="14" t="str">
        <x:v>Гейне-Голованова Юлія Володимирівна</x:v>
      </x:c>
      <x:c r="C387" s="14" t="str">
        <x:v>3194207541</x:v>
      </x:c>
      <x:c r="D387" s="14" t="str">
        <x:v>Пожежогасіння</x:v>
      </x:c>
      <x:c r="E387" s="14" t="str">
        <x:v>Expansion discovery</x:v>
      </x:c>
      <x:c r="F387" s="14" t="str">
        <x:v>I3</x:v>
      </x:c>
      <x:c r="G387" s="14" t="n">
        <x:v>43</x:v>
      </x:c>
      <x:c r="H387" s="14" t="n">
        <x:v>1</x:v>
      </x:c>
      <x:c r="I387" s="14" t="n">
        <x:v>1</x:v>
      </x:c>
      <x:c r="J387" s="18" t="n">
        <x:v>62948.66</x:v>
      </x:c>
      <x:c r="K387" s="19" t="n">
        <x:v>46198.24074804398</x:v>
      </x:c>
      <x:c r="L387" s="19" t="n">
        <x:v>46387</x:v>
      </x:c>
      <x:c r="M387" s="15" t="str">
        <x:v>Монтаж системи пожежної сигналізації, системи оповіщення про пожежу та системи централізованого пожежного спостереження в Комунальній установі " Корнинський заклад позашкільної освіти " Талант" Корнинської селищної ради</x:v>
      </x:c>
      <x:c r="N387" s="15" t="str">
        <x:v>https://prozorro.gov.ua/tender/UA-2026-06-25-000434-a</x:v>
      </x:c>
    </x:row>
    <x:row r="388">
      <x:c r="A388" s="14" t="n">
        <x:v>384</x:v>
      </x:c>
      <x:c r="B388" s="14" t="str">
        <x:v>ДАНИЛЮК ВОЛОДИМИР ВАСИЛЬОВИЧ</x:v>
      </x:c>
      <x:c r="C388" s="14" t="str">
        <x:v>3025618591</x:v>
      </x:c>
      <x:c r="D388" s="14" t="str">
        <x:v>HVAC / ОВіК</x:v>
      </x:c>
      <x:c r="E388" s="14" t="str">
        <x:v>Pilot now</x:v>
      </x:c>
      <x:c r="F388" s="14" t="str">
        <x:v>I3</x:v>
      </x:c>
      <x:c r="G388" s="14" t="n">
        <x:v>43</x:v>
      </x:c>
      <x:c r="H388" s="14" t="n">
        <x:v>1</x:v>
      </x:c>
      <x:c r="I388" s="14" t="n">
        <x:v>1</x:v>
      </x:c>
      <x:c r="J388" s="18" t="n">
        <x:v>72248</x:v>
      </x:c>
      <x:c r="K388" s="19" t="n">
        <x:v>46155.29248162037</x:v>
      </x:c>
      <x:c r="L388" s="19" t="n">
        <x:v>46387</x:v>
      </x:c>
      <x:c r="M388" s="15" t="str">
        <x:v>Послуга з монтажу системи опалення теплиці</x:v>
      </x:c>
      <x:c r="N388" s="15" t="str">
        <x:v>https://prozorro.gov.ua/tender/UA-2026-05-13-001714-a</x:v>
      </x:c>
    </x:row>
    <x:row r="389">
      <x:c r="A389" s="14" t="n">
        <x:v>385</x:v>
      </x:c>
      <x:c r="B389" s="14" t="str">
        <x:v>ІВАНДЮК ВІКТОР ВАСИЛЬОВИЧ</x:v>
      </x:c>
      <x:c r="C389" s="14" t="str">
        <x:v>3028818933</x:v>
      </x:c>
      <x:c r="D389" s="14" t="str">
        <x:v>Водоочищення / очисні споруди</x:v>
      </x:c>
      <x:c r="E389" s="14" t="str">
        <x:v>Expansion discovery</x:v>
      </x:c>
      <x:c r="F389" s="14" t="str">
        <x:v>I3</x:v>
      </x:c>
      <x:c r="G389" s="14" t="n">
        <x:v>43</x:v>
      </x:c>
      <x:c r="H389" s="14" t="n">
        <x:v>1</x:v>
      </x:c>
      <x:c r="I389" s="14" t="n">
        <x:v>1</x:v>
      </x:c>
      <x:c r="J389" s="18" t="n">
        <x:v>22902.06</x:v>
      </x:c>
      <x:c r="K389" s="19" t="n">
        <x:v>46204.518439074076</x:v>
      </x:c>
      <x:c r="L389" s="19" t="n">
        <x:v>46387</x:v>
      </x:c>
      <x:c r="M389" s="15" t="str">
        <x:v>Комплекс робіт по інженерно геодезичним вишукуванням на об*єкті "Реконструкція очисних споруд в м. Бобринець Кіровоградської області".</x:v>
      </x:c>
      <x:c r="N389" s="15" t="str">
        <x:v>https://prozorro.gov.ua/tender/UA-2026-07-01-007304-a</x:v>
      </x:c>
    </x:row>
    <x:row r="390">
      <x:c r="A390" s="14" t="n">
        <x:v>386</x:v>
      </x:c>
      <x:c r="B390" s="14" t="str">
        <x:v>Іванець Дмитро Ігорович</x:v>
      </x:c>
      <x:c r="C390" s="14" t="str">
        <x:v>3097011118</x:v>
      </x:c>
      <x:c r="D390" s="14" t="str">
        <x:v>Сонячна енергетика</x:v>
      </x:c>
      <x:c r="E390" s="14" t="str">
        <x:v>Expansion discovery</x:v>
      </x:c>
      <x:c r="F390" s="14" t="str">
        <x:v>I3</x:v>
      </x:c>
      <x:c r="G390" s="14" t="n">
        <x:v>43</x:v>
      </x:c>
      <x:c r="H390" s="14" t="n">
        <x:v>1</x:v>
      </x:c>
      <x:c r="I390" s="14" t="n">
        <x:v>1</x:v>
      </x:c>
      <x:c r="J390" s="18" t="n">
        <x:v>27693</x:v>
      </x:c>
      <x:c r="K390" s="19" t="n">
        <x:v>46175.26477175926</x:v>
      </x:c>
      <x:c r="L390" s="19" t="n">
        <x:v>46265</x:v>
      </x:c>
      <x:c r="M390" s="15" t="str">
        <x:v>Технічний нагляд по об’єкту: «Нове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x:v>
      </x:c>
      <x:c r="N390" s="15" t="str">
        <x:v>https://prozorro.gov.ua/tender/UA-2026-06-02-000725-a</x:v>
      </x:c>
    </x:row>
    <x:row r="391">
      <x:c r="A391" s="14" t="n">
        <x:v>387</x:v>
      </x:c>
      <x:c r="B391" s="14" t="str">
        <x:v>КИРПОТА ВАДИМ ВІКТОРОВИЧ</x:v>
      </x:c>
      <x:c r="C391" s="14" t="str">
        <x:v>3204302870</x:v>
      </x:c>
      <x:c r="D391" s="14" t="str">
        <x:v>HVAC / ОВіК</x:v>
      </x:c>
      <x:c r="E391" s="14" t="str">
        <x:v>Pilot now</x:v>
      </x:c>
      <x:c r="F391" s="14" t="str">
        <x:v>I3</x:v>
      </x:c>
      <x:c r="G391" s="14" t="n">
        <x:v>43</x:v>
      </x:c>
      <x:c r="H391" s="14" t="n">
        <x:v>1</x:v>
      </x:c>
      <x:c r="I391" s="14" t="n">
        <x:v>1</x:v>
      </x:c>
      <x:c r="J391" s="18" t="n">
        <x:v>75000</x:v>
      </x:c>
      <x:c r="K391" s="19" t="n">
        <x:v>46157.19254790509</x:v>
      </x:c>
      <x:c r="L391" s="19" t="n">
        <x:v>46387</x:v>
      </x:c>
      <x:c r="M391" s="15" t="str">
        <x:v>Послуги з монтажу та обслуговування систем кондиціонування та вентиляції</x:v>
      </x:c>
      <x:c r="N391" s="15" t="str">
        <x:v>https://prozorro.gov.ua/tender/UA-2026-05-15-000062-a</x:v>
      </x:c>
    </x:row>
    <x:row r="392">
      <x:c r="A392" s="14" t="n">
        <x:v>388</x:v>
      </x:c>
      <x:c r="B392" s="14" t="str">
        <x:v>КРАВЦОВА ДАРІЯ ОЛЕКСАНДРІВНА</x:v>
      </x:c>
      <x:c r="C392" s="14" t="str">
        <x:v>3313601482</x:v>
      </x:c>
      <x:c r="D392" s="14" t="str">
        <x:v>Теплові мережі</x:v>
      </x:c>
      <x:c r="E392" s="14" t="str">
        <x:v>Expansion discovery</x:v>
      </x:c>
      <x:c r="F392" s="14" t="str">
        <x:v>I3</x:v>
      </x:c>
      <x:c r="G392" s="14" t="n">
        <x:v>43</x:v>
      </x:c>
      <x:c r="H392" s="14" t="n">
        <x:v>1</x:v>
      </x:c>
      <x:c r="I392" s="14" t="n">
        <x:v>1</x:v>
      </x:c>
      <x:c r="J392" s="18" t="n">
        <x:v>35778</x:v>
      </x:c>
      <x:c r="K392" s="19" t="n">
        <x:v>46211.4903653125</x:v>
      </x:c>
      <x:c r="L392" s="19" t="n">
        <x:v>46295</x:v>
      </x:c>
      <x:c r="M392" s="15" t="str">
        <x:v>Авторський нагляд на об'єкті: "Реконструкція із заміною теплової мережі по вул. Привокзальна площа,5, м.Ірпінь</x:v>
      </x:c>
      <x:c r="N392" s="15" t="str">
        <x:v>https://prozorro.gov.ua/tender/UA-2026-07-08-007601-a</x:v>
      </x:c>
    </x:row>
    <x:row r="393">
      <x:c r="A393" s="14" t="n">
        <x:v>389</x:v>
      </x:c>
      <x:c r="B393" s="14" t="str">
        <x:v>МАКАРУХА МИХАЙЛО ІВАНОВИЧ</x:v>
      </x:c>
      <x:c r="C393" s="14" t="str">
        <x:v>3283304577</x:v>
      </x:c>
      <x:c r="D393" s="14" t="str">
        <x:v>HVAC / ОВіК</x:v>
      </x:c>
      <x:c r="E393" s="14" t="str">
        <x:v>Pilot now</x:v>
      </x:c>
      <x:c r="F393" s="14" t="str">
        <x:v>I3</x:v>
      </x:c>
      <x:c r="G393" s="14" t="n">
        <x:v>43</x:v>
      </x:c>
      <x:c r="H393" s="14" t="n">
        <x:v>1</x:v>
      </x:c>
      <x:c r="I393" s="14" t="n">
        <x:v>1</x:v>
      </x:c>
      <x:c r="J393" s="18" t="n">
        <x:v>96595.64</x:v>
      </x:c>
      <x:c r="K393" s="19" t="n">
        <x:v>46178.56325513889</x:v>
      </x:c>
      <x:c r="L393" s="19" t="n">
        <x:v>46387</x:v>
      </x:c>
      <x:c r="M393" s="15" t="str">
        <x:v>Класифікатори	
ДК 021:2015
50720000-8 Послуги з ремонту і технічного обслуговування систем центрального опалення(послуги з монтажу додаткових елементів системи опалення у Судововишнянському ліцеї імені Тадея Дмитрасевича)</x:v>
      </x:c>
      <x:c r="N393" s="15" t="str">
        <x:v>https://prozorro.gov.ua/tender/UA-2026-06-05-011359-a</x:v>
      </x:c>
    </x:row>
    <x:row r="394">
      <x:c r="A394" s="14" t="n">
        <x:v>390</x:v>
      </x:c>
      <x:c r="B394" s="14" t="str">
        <x:v>МАРЗАН ВАЛЕРІЙ ПЕТРОВИЧ</x:v>
      </x:c>
      <x:c r="C394" s="14" t="str">
        <x:v>2218713259</x:v>
      </x:c>
      <x:c r="D394" s="14" t="str">
        <x:v>Промисловий холод</x:v>
      </x:c>
      <x:c r="E394" s="14" t="str">
        <x:v>Expansion discovery</x:v>
      </x:c>
      <x:c r="F394" s="14" t="str">
        <x:v>I3</x:v>
      </x:c>
      <x:c r="G394" s="14" t="n">
        <x:v>43</x:v>
      </x:c>
      <x:c r="H394" s="14" t="n">
        <x:v>1</x:v>
      </x:c>
      <x:c r="I394" s="14" t="n">
        <x:v>1</x:v>
      </x:c>
      <x:c r="J394" s="18" t="n">
        <x:v>60000</x:v>
      </x:c>
      <x:c r="K394" s="19" t="n">
        <x:v>46209.536425659724</x:v>
      </x:c>
      <x:c r="L394" s="19" t="n">
        <x:v>46387</x:v>
      </x:c>
      <x:c r="M394" s="15" t="str">
        <x:v>Кондиціонер Osaka STV-18 HH з монтажем за ДК 021:2015 "42510000-4 Теплообмінники, кондиціонери повітря, холодильне обладнання та фільтрувальні пристрої"</x:v>
      </x:c>
      <x:c r="N394" s="15" t="str">
        <x:v>https://prozorro.gov.ua/tender/UA-2026-07-06-008444-a</x:v>
      </x:c>
    </x:row>
    <x:row r="395">
      <x:c r="A395" s="14" t="n">
        <x:v>391</x:v>
      </x:c>
      <x:c r="B395" s="14" t="str">
        <x:v>НЕЧМОГЛОД АНДРІЙ ОЛЕКСАНДРОВИЧ</x:v>
      </x:c>
      <x:c r="C395" s="14" t="str">
        <x:v>2775613999</x:v>
      </x:c>
      <x:c r="D395" s="14" t="str">
        <x:v>Мости / інфраструктура</x:v>
      </x:c>
      <x:c r="E395" s="14" t="str">
        <x:v>Expansion discovery</x:v>
      </x:c>
      <x:c r="F395" s="14" t="str">
        <x:v>I3</x:v>
      </x:c>
      <x:c r="G395" s="14" t="n">
        <x:v>43</x:v>
      </x:c>
      <x:c r="H395" s="14" t="n">
        <x:v>1</x:v>
      </x:c>
      <x:c r="I395" s="14" t="n">
        <x:v>1</x:v>
      </x:c>
      <x:c r="J395" s="18" t="n">
        <x:v>10240</x:v>
      </x:c>
      <x:c r="K395" s="19" t="n">
        <x:v>46175.526990046295</x:v>
      </x:c>
      <x:c r="L395" s="19" t="n">
        <x:v>46387</x:v>
      </x:c>
      <x:c r="M395" s="15" t="str">
        <x:v>Запчастини для ремонту автомобільного транспорту, а саме: (датчик температури рідини, вал карданний УАЗ-452 моста заднього, вал карданний УАЗ-452 моста переднього, датчик температури рідини Lanos)</x:v>
      </x:c>
      <x:c r="N395" s="15" t="str">
        <x:v>https://prozorro.gov.ua/tender/UA-2026-06-02-010608-a</x:v>
      </x:c>
    </x:row>
    <x:row r="396">
      <x:c r="A396" s="14" t="n">
        <x:v>392</x:v>
      </x:c>
      <x:c r="B396" s="14" t="str">
        <x:v>ОМЕЛЬЧУК ВІКТОР ПАВЛОВИЧ</x:v>
      </x:c>
      <x:c r="C396" s="14" t="str">
        <x:v>2522409470</x:v>
      </x:c>
      <x:c r="D396" s="14" t="str">
        <x:v>Водоочищення / очисні споруди</x:v>
      </x:c>
      <x:c r="E396" s="14" t="str">
        <x:v>Expansion discovery</x:v>
      </x:c>
      <x:c r="F396" s="14" t="str">
        <x:v>I3</x:v>
      </x:c>
      <x:c r="G396" s="14" t="n">
        <x:v>43</x:v>
      </x:c>
      <x:c r="H396" s="14" t="n">
        <x:v>1</x:v>
      </x:c>
      <x:c r="I396" s="14" t="n">
        <x:v>1</x:v>
      </x:c>
      <x:c r="J396" s="18" t="n">
        <x:v>99651</x:v>
      </x:c>
      <x:c r="K396" s="19" t="n">
        <x:v>46212.63753219907</x:v>
      </x:c>
      <x:c r="L396" s="19" t="n">
        <x:v>46387</x:v>
      </x:c>
      <x:c r="M396" s="15" t="str">
        <x:v>Виготовлення проектно-кошторисної документації по  робочому проекту: " Реконструкція очисних споруд каналізації с. Біла Криниця, Рівненського району, Рівненської області"</x:v>
      </x:c>
      <x:c r="N396" s="15" t="str">
        <x:v>https://prozorro.gov.ua/tender/UA-2026-07-09-011277-a</x:v>
      </x:c>
    </x:row>
    <x:row r="397">
      <x:c r="A397" s="14" t="n">
        <x:v>393</x:v>
      </x:c>
      <x:c r="B397" s="14" t="str">
        <x:v>ТИЧИНА СЕРГІЙ МИКОЛАЙОВИЧ</x:v>
      </x:c>
      <x:c r="C397" s="14" t="str">
        <x:v>2750313610</x:v>
      </x:c>
      <x:c r="D397" s="14" t="str">
        <x:v>Промисловий холод</x:v>
      </x:c>
      <x:c r="E397" s="14" t="str">
        <x:v>Expansion discovery</x:v>
      </x:c>
      <x:c r="F397" s="14" t="str">
        <x:v>I3</x:v>
      </x:c>
      <x:c r="G397" s="14" t="n">
        <x:v>43</x:v>
      </x:c>
      <x:c r="H397" s="14" t="n">
        <x:v>1</x:v>
      </x:c>
      <x:c r="I397" s="14" t="n">
        <x:v>1</x:v>
      </x:c>
      <x:c r="J397" s="18" t="n">
        <x:v>32770</x:v>
      </x:c>
      <x:c r="K397" s="19" t="n">
        <x:v>46209.51092287037</x:v>
      </x:c>
      <x:c r="L397" s="19" t="n">
        <x:v>46387</x:v>
      </x:c>
      <x:c r="M397" s="15" t="str">
        <x:v>Послуги з технічного обслуговування та поточного ремонту обладнання: монтаж кондиціонера з витратними матеріалами, дозаправка кондиціонера фреоном, за 100г, ремонт кондиціонера, чистка зовнішнього блоку кондиціонера без розбирання, чистка внутрішнього блоку кондиціонера з розбиранням та обробкою протигрибковими засобами, ремонт мотора вентилятора конденсатора холодильної камери, чистка холодильної камери без розбираня, згідно  коду ДК 021:2015 50730000-1Послуги з ремонту і технічного обслуговування охолоджувальних установок.</x:v>
      </x:c>
      <x:c r="N397" s="15" t="str">
        <x:v>https://prozorro.gov.ua/tender/UA-2026-07-06-007484-a</x:v>
      </x:c>
    </x:row>
    <x:row r="398">
      <x:c r="A398" s="14" t="n">
        <x:v>394</x:v>
      </x:c>
      <x:c r="B398" s="14" t="str">
        <x:v>ТОВ "БМП "Електросервіс"</x:v>
      </x:c>
      <x:c r="C398" s="14" t="str">
        <x:v>42485094</x:v>
      </x:c>
      <x:c r="D398" s="14" t="str">
        <x:v>Електромонтаж</x:v>
      </x:c>
      <x:c r="E398" s="14" t="str">
        <x:v>Pilot now</x:v>
      </x:c>
      <x:c r="F398" s="14" t="str">
        <x:v>I3</x:v>
      </x:c>
      <x:c r="G398" s="14" t="n">
        <x:v>43</x:v>
      </x:c>
      <x:c r="H398" s="14" t="n">
        <x:v>2</x:v>
      </x:c>
      <x:c r="I398" s="14" t="n">
        <x:v>1</x:v>
      </x:c>
      <x:c r="J398" s="18" t="n">
        <x:v>50808.8</x:v>
      </x:c>
      <x:c r="K398" s="19" t="n">
        <x:v>46107.27188730324</x:v>
      </x:c>
      <x:c r="L398" s="19" t="n">
        <x:v>46387.27075231481</x:v>
      </x:c>
      <x:c r="M398" s="15" t="str">
        <x:v>Електровимірювальні роботи перехідного опору, опору ізоляції, петлі "фаза-нуль", контурів заземлення</x:v>
      </x:c>
      <x:c r="N398" s="15" t="str">
        <x:v>https://prozorro.gov.ua/tender/UA-2026-03-26-000308-a</x:v>
      </x:c>
    </x:row>
    <x:row r="399">
      <x:c r="A399" s="14" t="n">
        <x:v>395</x:v>
      </x:c>
      <x:c r="B399" s="14" t="str">
        <x:v>Фізична особа-підприємець Зягун Микола Володимирович</x:v>
      </x:c>
      <x:c r="C399" s="14" t="str">
        <x:v>3045015151</x:v>
      </x:c>
      <x:c r="D399" s="14" t="str">
        <x:v>Безпека / СКУД / CCTV</x:v>
      </x:c>
      <x:c r="E399" s="14" t="str">
        <x:v>Expansion discovery</x:v>
      </x:c>
      <x:c r="F399" s="14" t="str">
        <x:v>I3</x:v>
      </x:c>
      <x:c r="G399" s="14" t="n">
        <x:v>43</x:v>
      </x:c>
      <x:c r="H399" s="14" t="n">
        <x:v>1</x:v>
      </x:c>
      <x:c r="I399" s="14" t="n">
        <x:v>1</x:v>
      </x:c>
      <x:c r="J399" s="18" t="n">
        <x:v>5616</x:v>
      </x:c>
      <x:c r="K399" s="19" t="n">
        <x:v>46190.376203148146</x:v>
      </x:c>
      <x:c r="L399" s="19" t="n">
        <x:v>46387</x:v>
      </x:c>
      <x:c r="M399" s="15" t="str">
        <x:v>Послуги по монтажу системи відеоспостереження</x:v>
      </x:c>
      <x:c r="N399" s="15" t="str">
        <x:v>https://prozorro.gov.ua/tender/UA-2026-06-17-005254-a</x:v>
      </x:c>
    </x:row>
    <x:row r="400">
      <x:c r="A400" s="14" t="n">
        <x:v>396</x:v>
      </x:c>
      <x:c r="B400" s="14" t="str">
        <x:v>Фізична особа-підприємець Слободенюк Павло Іванович</x:v>
      </x:c>
      <x:c r="C400" s="14" t="str">
        <x:v>3416106495</x:v>
      </x:c>
      <x:c r="D400" s="14" t="str">
        <x:v>Безпека / СКУД / CCTV</x:v>
      </x:c>
      <x:c r="E400" s="14" t="str">
        <x:v>Expansion discovery</x:v>
      </x:c>
      <x:c r="F400" s="14" t="str">
        <x:v>I3</x:v>
      </x:c>
      <x:c r="G400" s="14" t="n">
        <x:v>43</x:v>
      </x:c>
      <x:c r="H400" s="14" t="n">
        <x:v>1</x:v>
      </x:c>
      <x:c r="I400" s="14" t="n">
        <x:v>1</x:v>
      </x:c>
      <x:c r="J400" s="18" t="n">
        <x:v>39206</x:v>
      </x:c>
      <x:c r="K400" s="19" t="n">
        <x:v>46167.60540934028</x:v>
      </x:c>
      <x:c r="L400" s="19" t="n">
        <x:v>46387.64173611111</x:v>
      </x:c>
      <x:c r="M400" s="15" t="str">
        <x:v>Монтаж системи відеоспостереження</x:v>
      </x:c>
      <x:c r="N400" s="15" t="str">
        <x:v>https://prozorro.gov.ua/tender/UA-2026-05-25-013477-a</x:v>
      </x:c>
    </x:row>
    <x:row r="401">
      <x:c r="A401" s="14" t="n">
        <x:v>397</x:v>
      </x:c>
      <x:c r="B401" s="14" t="str">
        <x:v>Фізична особа-підприємець Триндяк Богдан Григорович</x:v>
      </x:c>
      <x:c r="C401" s="14" t="str">
        <x:v>2295118973</x:v>
      </x:c>
      <x:c r="D401" s="14" t="str">
        <x:v>Водоочищення / очисні споруди</x:v>
      </x:c>
      <x:c r="E401" s="14" t="str">
        <x:v>Expansion discovery</x:v>
      </x:c>
      <x:c r="F401" s="14" t="str">
        <x:v>I3</x:v>
      </x:c>
      <x:c r="G401" s="14" t="n">
        <x:v>43</x:v>
      </x:c>
      <x:c r="H401" s="14" t="n">
        <x:v>1</x:v>
      </x:c>
      <x:c r="I401" s="14" t="n">
        <x:v>1</x:v>
      </x:c>
      <x:c r="J401" s="18" t="n">
        <x:v>21524.64</x:v>
      </x:c>
      <x:c r="K401" s="19" t="n">
        <x:v>46203.396445555554</x:v>
      </x:c>
      <x:c r="L401" s="19" t="n">
        <x:v>46384</x:v>
      </x:c>
      <x:c r="M401" s="15" t="str">
        <x:v>Здійснення технічного нагляду за будівельними роботами на обєкті "Реконструкція системи електропостачання (встановлення джерела резервного живлення сонячної електростанції ) на будівлі очисних споруд за адресою: вул. Яворницького, 106 м. Сокаль Львівська область"</x:v>
      </x:c>
      <x:c r="N401" s="15" t="str">
        <x:v>https://prozorro.gov.ua/tender/UA-2026-06-30-005646-a</x:v>
      </x:c>
    </x:row>
    <x:row r="402">
      <x:c r="A402" s="14" t="n">
        <x:v>398</x:v>
      </x:c>
      <x:c r="B402" s="14" t="str">
        <x:v>ФОП "Іваненко Я.О."</x:v>
      </x:c>
      <x:c r="C402" s="14" t="str">
        <x:v>3031114075</x:v>
      </x:c>
      <x:c r="D402" s="14" t="str">
        <x:v>Мости / інфраструктура</x:v>
      </x:c>
      <x:c r="E402" s="14" t="str">
        <x:v>Expansion discovery</x:v>
      </x:c>
      <x:c r="F402" s="14" t="str">
        <x:v>I3</x:v>
      </x:c>
      <x:c r="G402" s="14" t="n">
        <x:v>43</x:v>
      </x:c>
      <x:c r="H402" s="14" t="n">
        <x:v>1</x:v>
      </x:c>
      <x:c r="I402" s="14" t="n">
        <x:v>1</x:v>
      </x:c>
      <x:c r="J402" s="18" t="n">
        <x:v>69840</x:v>
      </x:c>
      <x:c r="K402" s="19" t="n">
        <x:v>46190.54853583333</x:v>
      </x:c>
      <x:c r="L402" s="19" t="n">
        <x:v>46387</x:v>
      </x:c>
      <x:c r="M402" s="15" t="str">
        <x:v>Запчастини для ремонту автомобіля ЗІЛ ММЗ(редуктор заднього моста, ресора задня(16 листів))</x:v>
      </x:c>
      <x:c r="N402" s="15" t="str">
        <x:v>https://prozorro.gov.ua/tender/UA-2026-06-17-011922-a</x:v>
      </x:c>
    </x:row>
    <x:row r="403">
      <x:c r="A403" s="14" t="n">
        <x:v>399</x:v>
      </x:c>
      <x:c r="B403" s="14" t="str">
        <x:v>ФОП Атясов Андрій Миколайович</x:v>
      </x:c>
      <x:c r="C403" s="14" t="str">
        <x:v>2676702933</x:v>
      </x:c>
      <x:c r="D403" s="14" t="str">
        <x:v>HVAC / ОВіК</x:v>
      </x:c>
      <x:c r="E403" s="14" t="str">
        <x:v>Pilot now</x:v>
      </x:c>
      <x:c r="F403" s="14" t="str">
        <x:v>I3</x:v>
      </x:c>
      <x:c r="G403" s="14" t="n">
        <x:v>43</x:v>
      </x:c>
      <x:c r="H403" s="14" t="n">
        <x:v>1</x:v>
      </x:c>
      <x:c r="I403" s="14" t="n">
        <x:v>1</x:v>
      </x:c>
      <x:c r="J403" s="18" t="n">
        <x:v>80000</x:v>
      </x:c>
      <x:c r="K403" s="19" t="n">
        <x:v>46155.33405505787</x:v>
      </x:c>
      <x:c r="L403" s="19" t="n">
        <x:v>46356.37567129629</x:v>
      </x:c>
      <x:c r="M403" s="15" t="str">
        <x:v>Монтаж буферної ємності системи опалення та димаря опалювального котла</x:v>
      </x:c>
      <x:c r="N403" s="15" t="str">
        <x:v>https://prozorro.gov.ua/tender/UA-2026-05-13-003291-a</x:v>
      </x:c>
    </x:row>
    <x:row r="404">
      <x:c r="A404" s="14" t="n">
        <x:v>400</x:v>
      </x:c>
      <x:c r="B404" s="14" t="str">
        <x:v>ФОП Буслаєв Дмитро Петрович</x:v>
      </x:c>
      <x:c r="C404" s="14" t="str">
        <x:v>2930816259</x:v>
      </x:c>
      <x:c r="D404" s="14" t="str">
        <x:v>Електромонтаж</x:v>
      </x:c>
      <x:c r="E404" s="14" t="str">
        <x:v>Pilot now</x:v>
      </x:c>
      <x:c r="F404" s="14" t="str">
        <x:v>I3</x:v>
      </x:c>
      <x:c r="G404" s="14" t="n">
        <x:v>43</x:v>
      </x:c>
      <x:c r="H404" s="14" t="n">
        <x:v>1</x:v>
      </x:c>
      <x:c r="I404" s="14" t="n">
        <x:v>1</x:v>
      </x:c>
      <x:c r="J404" s="18" t="n">
        <x:v>79705</x:v>
      </x:c>
      <x:c r="K404" s="19" t="n">
        <x:v>46153.42331789352</x:v>
      </x:c>
      <x:c r="L404" s="19" t="n">
        <x:v>46387.464641203704</x:v>
      </x:c>
      <x:c r="M404" s="15" t="str">
        <x:v>Послуги з прокладання, монтажу та підключення електричних мереж в адміністративній будівлі запорізького НДЕКЦ МВС за адресою: м. Запоріжжя, вул. Республіканська, 73 А</x:v>
      </x:c>
      <x:c r="N404" s="15" t="str">
        <x:v>https://prozorro.gov.ua/tender/UA-2026-05-11-006522-a</x:v>
      </x:c>
    </x:row>
    <x:row r="405">
      <x:c r="A405" s="14" t="n">
        <x:v>401</x:v>
      </x:c>
      <x:c r="B405" s="14" t="str">
        <x:v>ФОП Ващенко Олег В'ячеславович</x:v>
      </x:c>
      <x:c r="C405" s="14" t="str">
        <x:v>3082719552</x:v>
      </x:c>
      <x:c r="D405" s="14" t="str">
        <x:v>HVAC / ОВіК</x:v>
      </x:c>
      <x:c r="E405" s="14" t="str">
        <x:v>Pilot now</x:v>
      </x:c>
      <x:c r="F405" s="14" t="str">
        <x:v>I3</x:v>
      </x:c>
      <x:c r="G405" s="14" t="n">
        <x:v>43</x:v>
      </x:c>
      <x:c r="H405" s="14" t="n">
        <x:v>1</x:v>
      </x:c>
      <x:c r="I405" s="14" t="n">
        <x:v>1</x:v>
      </x:c>
      <x:c r="J405" s="18" t="n">
        <x:v>49294</x:v>
      </x:c>
      <x:c r="K405" s="19" t="n">
        <x:v>46197.31053866898</x:v>
      </x:c>
      <x:c r="L405" s="19" t="n">
        <x:v>46387.35335648148</x:v>
      </x:c>
      <x:c r="M405" s="15" t="str">
        <x:v>Додаткове обладнання для безпосереднього монтажу припливно-витяжної системи вентиляції з рекуперацією тепла</x:v>
      </x:c>
      <x:c r="N405" s="15" t="str">
        <x:v>https://prozorro.gov.ua/tender/UA-2026-06-24-002311-a</x:v>
      </x:c>
    </x:row>
    <x:row r="406">
      <x:c r="A406" s="14" t="n">
        <x:v>402</x:v>
      </x:c>
      <x:c r="B406" s="14" t="str">
        <x:v>ФОП Дорош Ігор Григорович</x:v>
      </x:c>
      <x:c r="C406" s="14" t="str">
        <x:v>2850617657</x:v>
      </x:c>
      <x:c r="D406" s="14" t="str">
        <x:v>Пожежогасіння</x:v>
      </x:c>
      <x:c r="E406" s="14" t="str">
        <x:v>Expansion discovery</x:v>
      </x:c>
      <x:c r="F406" s="14" t="str">
        <x:v>I3</x:v>
      </x:c>
      <x:c r="G406" s="14" t="n">
        <x:v>43</x:v>
      </x:c>
      <x:c r="H406" s="14" t="n">
        <x:v>1</x:v>
      </x:c>
      <x:c r="I406" s="14" t="n">
        <x:v>1</x:v>
      </x:c>
      <x:c r="J406" s="18" t="n">
        <x:v>15870.2</x:v>
      </x:c>
      <x:c r="K406" s="19" t="n">
        <x:v>46205.48432412037</x:v>
      </x:c>
      <x:c r="L406" s="19" t="n">
        <x:v>46387.52408564815</x:v>
      </x:c>
      <x:c r="M406" s="15" t="str">
        <x:v>Монтаж та пусконалагоджування системи пожежної сигналізації та системи оповіщення</x:v>
      </x:c>
      <x:c r="N406" s="15" t="str">
        <x:v>https://prozorro.gov.ua/tender/UA-2026-07-02-006539-a</x:v>
      </x:c>
    </x:row>
    <x:row r="407">
      <x:c r="A407" s="14" t="n">
        <x:v>403</x:v>
      </x:c>
      <x:c r="B407" s="14" t="str">
        <x:v>ФОП Корабельський Дмитро Володимирович</x:v>
      </x:c>
      <x:c r="C407" s="14" t="str">
        <x:v>3742802693</x:v>
      </x:c>
      <x:c r="D407" s="14" t="str">
        <x:v>Безпека / СКУД / CCTV</x:v>
      </x:c>
      <x:c r="E407" s="14" t="str">
        <x:v>Expansion discovery</x:v>
      </x:c>
      <x:c r="F407" s="14" t="str">
        <x:v>I3</x:v>
      </x:c>
      <x:c r="G407" s="14" t="n">
        <x:v>43</x:v>
      </x:c>
      <x:c r="H407" s="14" t="n">
        <x:v>1</x:v>
      </x:c>
      <x:c r="I407" s="14" t="n">
        <x:v>1</x:v>
      </x:c>
      <x:c r="J407" s="18" t="n">
        <x:v>24175</x:v>
      </x:c>
      <x:c r="K407" s="19" t="n">
        <x:v>46188.548678541665</x:v>
      </x:c>
      <x:c r="L407" s="19" t="n">
        <x:v>46387.26008101852</x:v>
      </x:c>
      <x:c r="M407" s="15" t="str">
        <x:v>Послуги з монтажу та налаштування системи відеоспостереження</x:v>
      </x:c>
      <x:c r="N407" s="15" t="str">
        <x:v>https://prozorro.gov.ua/tender/UA-2026-06-12-000137-a</x:v>
      </x:c>
    </x:row>
    <x:row r="408">
      <x:c r="A408" s="14" t="n">
        <x:v>404</x:v>
      </x:c>
      <x:c r="B408" s="14" t="str">
        <x:v>ФОП Лобода Марія Василівна</x:v>
      </x:c>
      <x:c r="C408" s="14" t="str">
        <x:v>3478613245</x:v>
      </x:c>
      <x:c r="D408" s="14" t="str">
        <x:v>HVAC / ОВіК</x:v>
      </x:c>
      <x:c r="E408" s="14" t="str">
        <x:v>Pilot now</x:v>
      </x:c>
      <x:c r="F408" s="14" t="str">
        <x:v>I3</x:v>
      </x:c>
      <x:c r="G408" s="14" t="n">
        <x:v>43</x:v>
      </x:c>
      <x:c r="H408" s="14" t="n">
        <x:v>1</x:v>
      </x:c>
      <x:c r="I408" s="14" t="n">
        <x:v>1</x:v>
      </x:c>
      <x:c r="J408" s="18" t="n">
        <x:v>74300</x:v>
      </x:c>
      <x:c r="K408" s="19" t="n">
        <x:v>46154.36841935185</x:v>
      </x:c>
      <x:c r="L408" s="19" t="n">
        <x:v>46387.40935185185</x:v>
      </x:c>
      <x:c r="M408" s="15" t="str">
        <x:v>Монтаж водопровідних мереж, систем опалення та кондиціонування</x:v>
      </x:c>
      <x:c r="N408" s="15" t="str">
        <x:v>https://prozorro.gov.ua/tender/UA-2026-05-12-005333-a</x:v>
      </x:c>
    </x:row>
    <x:row r="409">
      <x:c r="A409" s="14" t="n">
        <x:v>405</x:v>
      </x:c>
      <x:c r="B409" s="14" t="str">
        <x:v>ФОП Льогких Дмитро Анатолійович</x:v>
      </x:c>
      <x:c r="C409" s="14" t="str">
        <x:v>3006011193</x:v>
      </x:c>
      <x:c r="D409" s="14" t="str">
        <x:v>Пожежогасіння</x:v>
      </x:c>
      <x:c r="E409" s="14" t="str">
        <x:v>Expansion discovery</x:v>
      </x:c>
      <x:c r="F409" s="14" t="str">
        <x:v>I3</x:v>
      </x:c>
      <x:c r="G409" s="14" t="n">
        <x:v>43</x:v>
      </x:c>
      <x:c r="H409" s="14" t="n">
        <x:v>1</x:v>
      </x:c>
      <x:c r="I409" s="14" t="n">
        <x:v>1</x:v>
      </x:c>
      <x:c r="J409" s="18" t="n">
        <x:v>86857.4</x:v>
      </x:c>
      <x:c r="K409" s="19" t="n">
        <x:v>46175.59332990741</x:v>
      </x:c>
      <x:c r="L409" s="19" t="n">
        <x:v>46387</x:v>
      </x:c>
      <x:c r="M409" s="15" t="str">
        <x:v>Послуги з монтажу системи автоматичної пожежної сигналізації, системи оповіщення людей про пожежу, системи передавання тривожних сповіщень. (Поточний ремонт з монтажу системи автоматичної пожежної сигналізації, системи оповіщення людей про пожежу, системи передавання тривожних сповіщень частини підвальних приміщень учбового корпусу коледжу)</x:v>
      </x:c>
      <x:c r="N409" s="15" t="str">
        <x:v>https://prozorro.gov.ua/tender/UA-2026-06-02-013120-a</x:v>
      </x:c>
    </x:row>
    <x:row r="410">
      <x:c r="A410" s="14" t="n">
        <x:v>406</x:v>
      </x:c>
      <x:c r="B410" s="14" t="str">
        <x:v>ФОП Мрака Олеся Богданівна</x:v>
      </x:c>
      <x:c r="C410" s="14" t="str">
        <x:v>3222204349</x:v>
      </x:c>
      <x:c r="D410" s="14" t="str">
        <x:v>Безпека / СКУД / CCTV</x:v>
      </x:c>
      <x:c r="E410" s="14" t="str">
        <x:v>Expansion discovery</x:v>
      </x:c>
      <x:c r="F410" s="14" t="str">
        <x:v>I3</x:v>
      </x:c>
      <x:c r="G410" s="14" t="n">
        <x:v>43</x:v>
      </x:c>
      <x:c r="H410" s="14" t="n">
        <x:v>1</x:v>
      </x:c>
      <x:c r="I410" s="14" t="n">
        <x:v>1</x:v>
      </x:c>
      <x:c r="J410" s="18" t="n">
        <x:v>35514</x:v>
      </x:c>
      <x:c r="K410" s="19" t="n">
        <x:v>46178.372875706016</x:v>
      </x:c>
      <x:c r="L410" s="19" t="n">
        <x:v>46387</x:v>
      </x:c>
      <x:c r="M410" s="15" t="str">
        <x:v>Послуги з монтажу, встановлення та налаштування системи контролю доступу (аудіодомофону) у Закладі дошкільної освіти № 188, що знаходиться за адресою: м. Львів, вул. Сміливих, 26</x:v>
      </x:c>
      <x:c r="N410" s="15" t="str">
        <x:v>https://prozorro.gov.ua/tender/UA-2026-06-05-005357-a</x:v>
      </x:c>
    </x:row>
    <x:row r="411">
      <x:c r="A411" s="14" t="n">
        <x:v>407</x:v>
      </x:c>
      <x:c r="B411" s="14" t="str">
        <x:v>ФОП ОПАНАСЮК ВОЛОДИМИР ЛЕОНІДОВИЧ</x:v>
      </x:c>
      <x:c r="C411" s="14" t="str">
        <x:v>3308815293</x:v>
      </x:c>
      <x:c r="D411" s="14" t="str">
        <x:v>HVAC / ОВіК</x:v>
      </x:c>
      <x:c r="E411" s="14" t="str">
        <x:v>Pilot now</x:v>
      </x:c>
      <x:c r="F411" s="14" t="str">
        <x:v>I3</x:v>
      </x:c>
      <x:c r="G411" s="14" t="n">
        <x:v>43</x:v>
      </x:c>
      <x:c r="H411" s="14" t="n">
        <x:v>1</x:v>
      </x:c>
      <x:c r="I411" s="14" t="n">
        <x:v>1</x:v>
      </x:c>
      <x:c r="J411" s="18" t="n">
        <x:v>839738.07</x:v>
      </x:c>
      <x:c r="K411" s="19" t="n">
        <x:v>46113.573004432874</x:v>
      </x:c>
      <x:c r="L411" s="19" t="n">
        <x:v>46356</x:v>
      </x:c>
      <x:c r="M411" s="15" t="str">
        <x:v>Послуги з демонтажу та монтажу тимчасової тентової конструкції накриття басейну з технічним обслуговуванням системи вентиляції</x:v>
      </x:c>
      <x:c r="N411" s="15" t="str">
        <x:v>https://prozorro.gov.ua/tender/UA-2026-03-18-007973-a</x:v>
      </x:c>
    </x:row>
    <x:row r="412">
      <x:c r="A412" s="14" t="n">
        <x:v>408</x:v>
      </x:c>
      <x:c r="B412" s="14" t="str">
        <x:v>ФОП Поронюк Ольга Ігорівна</x:v>
      </x:c>
      <x:c r="C412" s="14" t="str">
        <x:v>3261604001</x:v>
      </x:c>
      <x:c r="D412" s="14" t="str">
        <x:v>Безпека / СКУД / CCTV</x:v>
      </x:c>
      <x:c r="E412" s="14" t="str">
        <x:v>Expansion discovery</x:v>
      </x:c>
      <x:c r="F412" s="14" t="str">
        <x:v>I3</x:v>
      </x:c>
      <x:c r="G412" s="14" t="n">
        <x:v>43</x:v>
      </x:c>
      <x:c r="H412" s="14" t="n">
        <x:v>1</x:v>
      </x:c>
      <x:c r="I412" s="14" t="n">
        <x:v>1</x:v>
      </x:c>
      <x:c r="J412" s="18" t="n">
        <x:v>53901</x:v>
      </x:c>
      <x:c r="K412" s="19" t="n">
        <x:v>46202.44037795139</x:v>
      </x:c>
      <x:c r="L412" s="19" t="n">
        <x:v>46265.44179398148</x:v>
      </x:c>
      <x:c r="M412" s="15" t="str">
        <x:v>Послуги з монтажу та установки системи відеоспостереження</x:v>
      </x:c>
      <x:c r="N412" s="15" t="str">
        <x:v>https://prozorro.gov.ua/tender/UA-2026-06-29-005630-a</x:v>
      </x:c>
    </x:row>
    <x:row r="413">
      <x:c r="A413" s="14" t="n">
        <x:v>409</x:v>
      </x:c>
      <x:c r="B413" s="14" t="str">
        <x:v>ФОП Пюрик Марія Василівна</x:v>
      </x:c>
      <x:c r="C413" s="14" t="str">
        <x:v>3124005822</x:v>
      </x:c>
      <x:c r="D413" s="14" t="str">
        <x:v>Електромонтаж</x:v>
      </x:c>
      <x:c r="E413" s="14" t="str">
        <x:v>Pilot now</x:v>
      </x:c>
      <x:c r="F413" s="14" t="str">
        <x:v>I3</x:v>
      </x:c>
      <x:c r="G413" s="14" t="n">
        <x:v>43</x:v>
      </x:c>
      <x:c r="H413" s="14" t="n">
        <x:v>1</x:v>
      </x:c>
      <x:c r="I413" s="14" t="n">
        <x:v>1</x:v>
      </x:c>
      <x:c r="J413" s="18" t="n">
        <x:v>15815</x:v>
      </x:c>
      <x:c r="K413" s="19" t="n">
        <x:v>46149.36312923611</x:v>
      </x:c>
      <x:c r="L413" s="19" t="n">
        <x:v>46387</x:v>
      </x:c>
      <x:c r="M413" s="15" t="str">
        <x:v>Електровимірювальні роботи по перевірці опорів контурів заземлення та опорів ізоляції силових і освітлювальних ліній у будівлі Ліцею №28 ЛМР, м. Львів, вул. Тютюнників, 2 (технічне обслуговування та утримання в належному стані внутрішніх електромереж)</x:v>
      </x:c>
      <x:c r="N413" s="15" t="str">
        <x:v>https://prozorro.gov.ua/tender/UA-2026-05-07-005317-a</x:v>
      </x:c>
    </x:row>
    <x:row r="414">
      <x:c r="A414" s="14" t="n">
        <x:v>410</x:v>
      </x:c>
      <x:c r="B414" s="14" t="str">
        <x:v>ФОП Роман Віталій Васильович</x:v>
      </x:c>
      <x:c r="C414" s="14" t="str">
        <x:v>3016409930</x:v>
      </x:c>
      <x:c r="D414" s="14" t="str">
        <x:v>Безпека / СКУД / CCTV</x:v>
      </x:c>
      <x:c r="E414" s="14" t="str">
        <x:v>Expansion discovery</x:v>
      </x:c>
      <x:c r="F414" s="14" t="str">
        <x:v>I3</x:v>
      </x:c>
      <x:c r="G414" s="14" t="n">
        <x:v>43</x:v>
      </x:c>
      <x:c r="H414" s="14" t="n">
        <x:v>1</x:v>
      </x:c>
      <x:c r="I414" s="14" t="n">
        <x:v>1</x:v>
      </x:c>
      <x:c r="J414" s="18" t="n">
        <x:v>21825</x:v>
      </x:c>
      <x:c r="K414" s="19" t="n">
        <x:v>46149.54091869213</x:v>
      </x:c>
      <x:c r="L414" s="19" t="n">
        <x:v>46387.5783912037</x:v>
      </x:c>
      <x:c r="M414" s="15" t="str">
        <x:v>Послуги з монтажу системи контролю доступу</x:v>
      </x:c>
      <x:c r="N414" s="15" t="str">
        <x:v>https://prozorro.gov.ua/tender/UA-2026-05-07-012002-a</x:v>
      </x:c>
    </x:row>
    <x:row r="415">
      <x:c r="A415" s="14" t="n">
        <x:v>411</x:v>
      </x:c>
      <x:c r="B415" s="14" t="str">
        <x:v>ФОП Семеник Олексій Сергійович</x:v>
      </x:c>
      <x:c r="C415" s="14" t="str">
        <x:v>3299302258</x:v>
      </x:c>
      <x:c r="D415" s="14" t="str">
        <x:v>HVAC / ОВіК</x:v>
      </x:c>
      <x:c r="E415" s="14" t="str">
        <x:v>Pilot now</x:v>
      </x:c>
      <x:c r="F415" s="14" t="str">
        <x:v>I3</x:v>
      </x:c>
      <x:c r="G415" s="14" t="n">
        <x:v>43</x:v>
      </x:c>
      <x:c r="H415" s="14" t="n">
        <x:v>1</x:v>
      </x:c>
      <x:c r="I415" s="14" t="n">
        <x:v>1</x:v>
      </x:c>
      <x:c r="J415" s="18" t="n">
        <x:v>5000</x:v>
      </x:c>
      <x:c r="K415" s="19" t="n">
        <x:v>46142.47348383102</x:v>
      </x:c>
      <x:c r="L415" s="19" t="n">
        <x:v>46387</x:v>
      </x:c>
      <x:c r="M415" s="15" t="str">
        <x:v>Послуги з монтажу, демонтажу лічильників тепла та контрольного лічильника води, всатновлених в системі опалення в ЗДО № 5 по вул. Князя Святослава, 9, м. Васильків, Київська область
(код ДК 021:2015: 50720000-8 Послуги з ремонту і технічного обслговування систем центрального опалення)</x:v>
      </x:c>
      <x:c r="N415" s="15" t="str">
        <x:v>https://prozorro.gov.ua/tender/UA-2026-04-30-007020-a</x:v>
      </x:c>
    </x:row>
    <x:row r="416">
      <x:c r="A416" s="14" t="n">
        <x:v>412</x:v>
      </x:c>
      <x:c r="B416" s="14" t="str">
        <x:v>ФОП Синиця Олександр Олександрович</x:v>
      </x:c>
      <x:c r="C416" s="14" t="str">
        <x:v>3664310511</x:v>
      </x:c>
      <x:c r="D416" s="14" t="str">
        <x:v>Насосні станції</x:v>
      </x:c>
      <x:c r="E416" s="14" t="str">
        <x:v>Expansion discovery</x:v>
      </x:c>
      <x:c r="F416" s="14" t="str">
        <x:v>I3</x:v>
      </x:c>
      <x:c r="G416" s="14" t="n">
        <x:v>43</x:v>
      </x:c>
      <x:c r="H416" s="14" t="n">
        <x:v>1</x:v>
      </x:c>
      <x:c r="I416" s="14" t="n">
        <x:v>1</x:v>
      </x:c>
      <x:c r="J416" s="18" t="n">
        <x:v>5340</x:v>
      </x:c>
      <x:c r="K416" s="19" t="n">
        <x:v>46147.398541041664</x:v>
      </x:c>
      <x:c r="L416" s="19" t="n">
        <x:v>46387.438784722224</x:v>
      </x:c>
      <x:c r="M416" s="15" t="str">
        <x:v>авторський нагляд за об'єктом: "Реконструкція електричних  мереж зі встановлення мережевої  СЕС на резервній станції насосної станції І-го підйому водозабору за адресою: Стрийський р-н, с. Дубина, вул. Дачна, 51-А."</x:v>
      </x:c>
      <x:c r="N416" s="15" t="str">
        <x:v>https://prozorro.gov.ua/tender/UA-2026-05-05-006402-a</x:v>
      </x:c>
    </x:row>
    <x:row r="417">
      <x:c r="A417" s="14" t="n">
        <x:v>413</x:v>
      </x:c>
      <x:c r="B417" s="14" t="str">
        <x:v>ФОП Ткачук Ю.Ю.</x:v>
      </x:c>
      <x:c r="C417" s="14" t="str">
        <x:v>3193923935</x:v>
      </x:c>
      <x:c r="D417" s="14" t="str">
        <x:v>Безпека / СКУД / CCTV</x:v>
      </x:c>
      <x:c r="E417" s="14" t="str">
        <x:v>Expansion discovery</x:v>
      </x:c>
      <x:c r="F417" s="14" t="str">
        <x:v>I3</x:v>
      </x:c>
      <x:c r="G417" s="14" t="n">
        <x:v>43</x:v>
      </x:c>
      <x:c r="H417" s="14" t="n">
        <x:v>1</x:v>
      </x:c>
      <x:c r="I417" s="14" t="n">
        <x:v>1</x:v>
      </x:c>
      <x:c r="J417" s="18" t="n">
        <x:v>12000</x:v>
      </x:c>
      <x:c r="K417" s="19" t="n">
        <x:v>46170.26546267361</x:v>
      </x:c>
      <x:c r="L417" s="19" t="n">
        <x:v>46387</x:v>
      </x:c>
      <x:c r="M417" s="15" t="str">
        <x:v>Послуги з монтажу системи контролю доступу у приміщенні Косівської окружної прокуратури</x:v>
      </x:c>
      <x:c r="N417" s="15" t="str">
        <x:v>https://prozorro.gov.ua/tender/UA-2026-05-28-000899-a</x:v>
      </x:c>
    </x:row>
    <x:row r="418">
      <x:c r="A418" s="14" t="n">
        <x:v>414</x:v>
      </x:c>
      <x:c r="B418" s="14" t="str">
        <x:v>ЧЕРЕДНІЧЕНКО ДМИТРО ІВАНОВИЧ</x:v>
      </x:c>
      <x:c r="C418" s="14" t="str">
        <x:v>3041613994</x:v>
      </x:c>
      <x:c r="D418" s="14" t="str">
        <x:v>Безпека / СКУД / CCTV</x:v>
      </x:c>
      <x:c r="E418" s="14" t="str">
        <x:v>Expansion discovery</x:v>
      </x:c>
      <x:c r="F418" s="14" t="str">
        <x:v>I3</x:v>
      </x:c>
      <x:c r="G418" s="14" t="n">
        <x:v>43</x:v>
      </x:c>
      <x:c r="H418" s="14" t="n">
        <x:v>1</x:v>
      </x:c>
      <x:c r="I418" s="14" t="n">
        <x:v>1</x:v>
      </x:c>
      <x:c r="J418" s="18" t="n">
        <x:v>7200</x:v>
      </x:c>
      <x:c r="K418" s="19" t="n">
        <x:v>46210.311359375</x:v>
      </x:c>
      <x:c r="L418" s="19" t="n">
        <x:v>46387</x:v>
      </x:c>
      <x:c r="M418" s="15" t="str">
        <x:v>Послуги монтажу та налаштування системи відеоспостереження</x:v>
      </x:c>
      <x:c r="N418" s="15" t="str">
        <x:v>https://prozorro.gov.ua/tender/UA-2026-07-07-001969-a</x:v>
      </x:c>
    </x:row>
    <x:row r="419">
      <x:c r="A419" s="14" t="n">
        <x:v>415</x:v>
      </x:c>
      <x:c r="B419" s="14" t="str">
        <x:v>ШИПОША ОЛЕКСАНДР АНАТОЛІЙОВИЧ</x:v>
      </x:c>
      <x:c r="C419" s="14" t="str">
        <x:v>2888517635</x:v>
      </x:c>
      <x:c r="D419" s="14" t="str">
        <x:v>Сонячна енергетика</x:v>
      </x:c>
      <x:c r="E419" s="14" t="str">
        <x:v>Expansion discovery</x:v>
      </x:c>
      <x:c r="F419" s="14" t="str">
        <x:v>I3</x:v>
      </x:c>
      <x:c r="G419" s="14" t="n">
        <x:v>43</x:v>
      </x:c>
      <x:c r="H419" s="14" t="n">
        <x:v>1</x:v>
      </x:c>
      <x:c r="I419" s="14" t="n">
        <x:v>1</x:v>
      </x:c>
      <x:c r="J419" s="18" t="n">
        <x:v>7120</x:v>
      </x:c>
      <x:c r="K419" s="19" t="n">
        <x:v>46174.526771689816</x:v>
      </x:c>
      <x:c r="L419" s="19" t="n">
        <x:v>46265</x:v>
      </x:c>
      <x:c r="M419" s="15" t="str">
        <x:v>Виконання авторського нагляду за об’єктом будівництва «Нове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x:v>
      </x:c>
      <x:c r="N419" s="15" t="str">
        <x:v>https://prozorro.gov.ua/tender/UA-2026-06-01-009569-a</x:v>
      </x:c>
    </x:row>
    <x:row r="420">
      <x:c r="A420" s="14" t="n">
        <x:v>416</x:v>
      </x:c>
      <x:c r="B420" s="14" t="str">
        <x:v>ФОП Сологуб Богдан Михайлович</x:v>
      </x:c>
      <x:c r="C420" s="14" t="str">
        <x:v>3329403156</x:v>
      </x:c>
      <x:c r="D420" s="14" t="str">
        <x:v>Безпека / СКУД / CCTV</x:v>
      </x:c>
      <x:c r="E420" s="14" t="str">
        <x:v>Expansion discovery</x:v>
      </x:c>
      <x:c r="F420" s="14" t="str">
        <x:v>I3</x:v>
      </x:c>
      <x:c r="G420" s="14" t="n">
        <x:v>43</x:v>
      </x:c>
      <x:c r="H420" s="14" t="n">
        <x:v>2</x:v>
      </x:c>
      <x:c r="I420" s="14" t="n">
        <x:v>0</x:v>
      </x:c>
      <x:c r="J420" s="18" t="n">
        <x:v>76000</x:v>
      </x:c>
      <x:c r="K420" s="19" t="n">
        <x:v>46192.57537104167</x:v>
      </x:c>
      <x:c r="L420" s="19" t="n">
        <x:v>46206</x:v>
      </x:c>
      <x:c r="M420" s="15" t="str">
        <x:v>Послуги з монтажу та підключення системи контролю доступу в службовому приміщенні Львівської обласної прокуратури за адресою: м. Яворів, вул. Львівська, 25</x:v>
      </x:c>
      <x:c r="N420" s="15" t="str">
        <x:v>https://prozorro.gov.ua/tender/UA-2026-06-19-012235-a</x:v>
      </x:c>
    </x:row>
    <x:row r="421">
      <x:c r="A421" s="14" t="n">
        <x:v>417</x:v>
      </x:c>
      <x:c r="B421" s="14" t="str">
        <x:v>Товариство з обмеженою відповідальністю "Ковельпроект"</x:v>
      </x:c>
      <x:c r="C421" s="14" t="str">
        <x:v>45937126</x:v>
      </x:c>
      <x:c r="D421" s="14" t="str">
        <x:v>Водоочищення / очисні споруди</x:v>
      </x:c>
      <x:c r="E421" s="14" t="str">
        <x:v>Expansion discovery</x:v>
      </x:c>
      <x:c r="F421" s="14" t="str">
        <x:v>I3</x:v>
      </x:c>
      <x:c r="G421" s="14" t="n">
        <x:v>42</x:v>
      </x:c>
      <x:c r="H421" s="14" t="n">
        <x:v>1</x:v>
      </x:c>
      <x:c r="I421" s="14" t="n">
        <x:v>1</x:v>
      </x:c>
      <x:c r="J421" s="18" t="n">
        <x:v>100858</x:v>
      </x:c>
      <x:c r="K421" s="19" t="n">
        <x:v>46101.38826259259</x:v>
      </x:c>
      <x:c r="L421" s="19" t="n">
        <x:v>46387</x:v>
      </x:c>
      <x:c r="M421" s="15" t="str">
        <x:v>Реконструкція електромереж від КГУ на котельні с. Вербка, вул. Молодіжна, 13 до очисних споруд по вул. Грабовського в м. Ковель</x:v>
      </x:c>
      <x:c r="N421" s="15" t="str">
        <x:v>https://prozorro.gov.ua/tender/UA-2026-03-20-004544-a</x:v>
      </x:c>
    </x:row>
    <x:row r="422">
      <x:c r="A422" s="14" t="n">
        <x:v>418</x:v>
      </x:c>
      <x:c r="B422" s="14" t="str">
        <x:v>МАЛЬЦЕВ ВЯЧЕСЛАВ ВОЛОДИМИРОВИЧ</x:v>
      </x:c>
      <x:c r="C422" s="14" t="str">
        <x:v>3050226417</x:v>
      </x:c>
      <x:c r="D422" s="14" t="str">
        <x:v>Газопостачання / котельні</x:v>
      </x:c>
      <x:c r="E422" s="14" t="str">
        <x:v>Expansion discovery</x:v>
      </x:c>
      <x:c r="F422" s="14" t="str">
        <x:v>I3</x:v>
      </x:c>
      <x:c r="G422" s="14" t="n">
        <x:v>42</x:v>
      </x:c>
      <x:c r="H422" s="14" t="n">
        <x:v>1</x:v>
      </x:c>
      <x:c r="I422" s="14" t="n">
        <x:v>0</x:v>
      </x:c>
      <x:c r="J422" s="18" t="n">
        <x:v>241293.44</x:v>
      </x:c>
      <x:c r="K422" s="19" t="n">
        <x:v>46160.46988414352</x:v>
      </x:c>
      <x:c r="L422" s="19" t="n">
        <x:v>46203</x:v>
      </x:c>
      <x:c r="M422" s="15" t="str">
        <x:v>Нове будівництво модульної транспортабельної котельні у м. Харкові за адресою: вул. ********** (резервне живлення). Монтаж димових труб та зовнішньої каналізації (код ДК 021:2015 – 45251000-1 "Будівництво електростанцій і теплових станцій").</x:v>
      </x:c>
      <x:c r="N422" s="15" t="str">
        <x:v>https://prozorro.gov.ua/tender/UA-2026-05-18-007697-a</x:v>
      </x:c>
    </x:row>
    <x:row r="423">
      <x:c r="A423" s="14" t="n">
        <x:v>419</x:v>
      </x:c>
      <x:c r="B423" s="14" t="str">
        <x:v>ТзОВ "Інфоком"</x:v>
      </x:c>
      <x:c r="C423" s="14" t="str">
        <x:v>25228900</x:v>
      </x:c>
      <x:c r="D423" s="14" t="str">
        <x:v>ГНБ / безтраншейні роботи</x:v>
      </x:c>
      <x:c r="E423" s="14" t="str">
        <x:v>Expansion discovery</x:v>
      </x:c>
      <x:c r="F423" s="14" t="str">
        <x:v>I3</x:v>
      </x:c>
      <x:c r="G423" s="14" t="n">
        <x:v>42</x:v>
      </x:c>
      <x:c r="H423" s="14" t="n">
        <x:v>2</x:v>
      </x:c>
      <x:c r="I423" s="14" t="n">
        <x:v>0</x:v>
      </x:c>
      <x:c r="J423" s="18" t="n">
        <x:v>202309.44</x:v>
      </x:c>
      <x:c r="K423" s="19" t="n">
        <x:v>46066.28940515046</x:v>
      </x:c>
      <x:c r="L423" s="19" t="n">
        <x:v>46081</x:v>
      </x:c>
      <x:c r="M423" s="15" t="str">
        <x:v>Поточний ремонт КЛ-0.6кВ ТП-7, фідер "Аеропорт"(Влаштування переходу методом горизонтально-направленого буріння (ГНБ) через перешкоди для прокладання футлярів під електрокабель по вул. Любінська-Виговського у м. Львові</x:v>
      </x:c>
      <x:c r="N423" s="15" t="str">
        <x:v>https://prozorro.gov.ua/tender/UA-2026-02-13-000625-a</x:v>
      </x:c>
    </x:row>
    <x:row r="424">
      <x:c r="A424" s="14" t="n">
        <x:v>420</x:v>
      </x:c>
      <x:c r="B424" s="14" t="str">
        <x:v>КУДРАЙ ПЕТРО МИКОЛАЙОВИЧ</x:v>
      </x:c>
      <x:c r="C424" s="14" t="str">
        <x:v>2164313634</x:v>
      </x:c>
      <x:c r="D424" s="14" t="str">
        <x:v>HVAC / ОВіК</x:v>
      </x:c>
      <x:c r="E424" s="14" t="str">
        <x:v>Pilot now</x:v>
      </x:c>
      <x:c r="F424" s="14" t="str">
        <x:v>I3</x:v>
      </x:c>
      <x:c r="G424" s="14" t="n">
        <x:v>41</x:v>
      </x:c>
      <x:c r="H424" s="14" t="n">
        <x:v>1</x:v>
      </x:c>
      <x:c r="I424" s="14" t="n">
        <x:v>0</x:v>
      </x:c>
      <x:c r="J424" s="18" t="n">
        <x:v>59800</x:v>
      </x:c>
      <x:c r="K424" s="19" t="n">
        <x:v>46190.49012988426</x:v>
      </x:c>
      <x:c r="L424" s="19" t="n">
        <x:v>46203</x:v>
      </x:c>
      <x:c r="M424"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x:v>
      </x:c>
      <x:c r="N424" s="15" t="str">
        <x:v>https://prozorro.gov.ua/tender/UA-2026-06-17-009046-a</x:v>
      </x:c>
    </x:row>
    <x:row r="425">
      <x:c r="A425" s="14" t="n">
        <x:v>421</x:v>
      </x:c>
      <x:c r="B425" s="14" t="str">
        <x:v>ПП Явір-2000</x:v>
      </x:c>
      <x:c r="C425" s="14" t="str">
        <x:v>31175036</x:v>
      </x:c>
      <x:c r="D425" s="14" t="str">
        <x:v>Газопостачання / котельні</x:v>
      </x:c>
      <x:c r="E425" s="14" t="str">
        <x:v>Expansion discovery</x:v>
      </x:c>
      <x:c r="F425" s="14" t="str">
        <x:v>I3</x:v>
      </x:c>
      <x:c r="G425" s="14" t="n">
        <x:v>41</x:v>
      </x:c>
      <x:c r="H425" s="14" t="n">
        <x:v>1</x:v>
      </x:c>
      <x:c r="I425" s="14" t="n">
        <x:v>0</x:v>
      </x:c>
      <x:c r="J425" s="18" t="n">
        <x:v>50720.11</x:v>
      </x:c>
      <x:c r="K425" s="19" t="n">
        <x:v>46167.55429439815</x:v>
      </x:c>
      <x:c r="L425" s="19" t="n">
        <x:v>46173.55663194445</x:v>
      </x:c>
      <x:c r="M425" s="15" t="str">
        <x:v>Роботи з проєктування та монтажу системи пожежної сигналізації на об’єкті: Приміщення духової котельні за адресою: м. Полтава, вул. Європейська, 68</x:v>
      </x:c>
      <x:c r="N425" s="15" t="str">
        <x:v>https://prozorro.gov.ua/tender/UA-2026-05-25-012079-a</x:v>
      </x:c>
    </x:row>
    <x:row r="426">
      <x:c r="A426" s="14" t="n">
        <x:v>422</x:v>
      </x:c>
      <x:c r="B426" s="14" t="str">
        <x:v>ТзОВ фірма "АЛЕРТ КОМ"</x:v>
      </x:c>
      <x:c r="C426" s="14" t="str">
        <x:v>30555702</x:v>
      </x:c>
      <x:c r="D426" s="14" t="str">
        <x:v>Пожежогасіння</x:v>
      </x:c>
      <x:c r="E426" s="14" t="str">
        <x:v>Expansion discovery</x:v>
      </x:c>
      <x:c r="F426" s="14" t="str">
        <x:v>I3</x:v>
      </x:c>
      <x:c r="G426" s="14" t="n">
        <x:v>41</x:v>
      </x:c>
      <x:c r="H426" s="14" t="n">
        <x:v>1</x:v>
      </x:c>
      <x:c r="I426" s="14" t="n">
        <x:v>0</x:v>
      </x:c>
      <x:c r="J426" s="18" t="n">
        <x:v>30789.34</x:v>
      </x:c>
      <x:c r="K426" s="19" t="n">
        <x:v>46205.301480277776</x:v>
      </x:c>
      <x:c r="L426" s="19" t="n">
        <x:v>46234</x:v>
      </x:c>
      <x:c r="M426" s="15" t="str">
        <x:v>Послуги з монтажу системи пожежної сигналізації, оповіщення про пожежу та управління евакуацією людей, устаткування  передавання тривожних сповіщень</x:v>
      </x:c>
      <x:c r="N426" s="15" t="str">
        <x:v>https://prozorro.gov.ua/tender/UA-2026-07-02-001567-a</x:v>
      </x:c>
    </x:row>
    <x:row r="427">
      <x:c r="A427" s="14" t="n">
        <x:v>423</x:v>
      </x:c>
      <x:c r="B427" s="14" t="str">
        <x:v>ТОВ "ТОРГІВЕЛЬНИЙ ДІМ ВЕДА"</x:v>
      </x:c>
      <x:c r="C427" s="14" t="str">
        <x:v>43070563</x:v>
      </x:c>
      <x:c r="D427" s="14" t="str">
        <x:v>HVAC / ОВіК</x:v>
      </x:c>
      <x:c r="E427" s="14" t="str">
        <x:v>Pilot now</x:v>
      </x:c>
      <x:c r="F427" s="14" t="str">
        <x:v>I3</x:v>
      </x:c>
      <x:c r="G427" s="14" t="n">
        <x:v>41</x:v>
      </x:c>
      <x:c r="H427" s="14" t="n">
        <x:v>1</x:v>
      </x:c>
      <x:c r="I427" s="14" t="n">
        <x:v>0</x:v>
      </x:c>
      <x:c r="J427" s="18" t="n">
        <x:v>75000</x:v>
      </x:c>
      <x:c r="K427" s="19" t="n">
        <x:v>46169.46751858796</x:v>
      </x:c>
      <x:c r="L427" s="19" t="n">
        <x:v>46204</x:v>
      </x:c>
      <x:c r="M427" s="15" t="str">
        <x:v> Закупівля ділеться на лоти:Твердопаливний котел потужністю 40 кВт у комплекті з автоматикою та вентилятором наддуву .
Комплект елементів димоходу з нержавіючої сталі двостінних (утеплених) та одностінних. 
Трубопровідна арматура, фітинги та приладдя для монтажу системи опалення</x:v>
      </x:c>
      <x:c r="N427" s="15" t="str">
        <x:v>https://prozorro.gov.ua/tender/UA-2026-05-19-014964-a</x:v>
      </x:c>
    </x:row>
    <x:row r="428">
      <x:c r="A428" s="14" t="n">
        <x:v>424</x:v>
      </x:c>
      <x:c r="B428" s="14" t="str">
        <x:v>ТОВ "Файберлінк"</x:v>
      </x:c>
      <x:c r="C428" s="14" t="str">
        <x:v>39492269</x:v>
      </x:c>
      <x:c r="D428" s="14" t="str">
        <x:v>Безпека / СКУД / CCTV</x:v>
      </x:c>
      <x:c r="E428" s="14" t="str">
        <x:v>Expansion discovery</x:v>
      </x:c>
      <x:c r="F428" s="14" t="str">
        <x:v>I3</x:v>
      </x:c>
      <x:c r="G428" s="14" t="n">
        <x:v>41</x:v>
      </x:c>
      <x:c r="H428" s="14" t="n">
        <x:v>1</x:v>
      </x:c>
      <x:c r="I428" s="14" t="n">
        <x:v>0</x:v>
      </x:c>
      <x:c r="J428" s="18" t="n">
        <x:v>27200</x:v>
      </x:c>
      <x:c r="K428" s="19" t="n">
        <x:v>46175.35395547454</x:v>
      </x:c>
      <x:c r="L428" s="19" t="n">
        <x:v>46203</x:v>
      </x:c>
      <x:c r="M428" s="15" t="str">
        <x:v>Послуги з монтажу системи відеоспостереження</x:v>
      </x:c>
      <x:c r="N428" s="15" t="str">
        <x:v>https://prozorro.gov.ua/tender/UA-2026-06-02-004197-a</x:v>
      </x:c>
    </x:row>
    <x:row r="429">
      <x:c r="A429" s="14" t="n">
        <x:v>425</x:v>
      </x:c>
      <x:c r="B429" s="14" t="str">
        <x:v>ТОВАРИСТВО З ОБМЕЖЕНОЮ ВІДПОВІДАЛЬНІСТЮ "ВЕНТПРОМЕЛЕКТРОМОНТАЖ"</x:v>
      </x:c>
      <x:c r="C429" s="14" t="str">
        <x:v>41731677</x:v>
      </x:c>
      <x:c r="D429" s="14" t="str">
        <x:v>HVAC / ОВіК</x:v>
      </x:c>
      <x:c r="E429" s="14" t="str">
        <x:v>Pilot now</x:v>
      </x:c>
      <x:c r="F429" s="14" t="str">
        <x:v>I3</x:v>
      </x:c>
      <x:c r="G429" s="14" t="n">
        <x:v>41</x:v>
      </x:c>
      <x:c r="H429" s="14" t="n">
        <x:v>1</x:v>
      </x:c>
      <x:c r="I429" s="14" t="n">
        <x:v>0</x:v>
      </x:c>
      <x:c r="J429" s="18" t="n">
        <x:v>1098000</x:v>
      </x:c>
      <x:c r="K429" s="19" t="n">
        <x:v>46049.36088487269</x:v>
      </x:c>
      <x:c r="L429" s="19" t="n">
        <x:v>46080</x:v>
      </x:c>
      <x:c r="M429" s="15" t="str">
        <x:v>Придбання, монтаж та пусконалагодження системи вентиляції ДНК-лабораторії.</x:v>
      </x:c>
      <x:c r="N429" s="15" t="str">
        <x:v>https://prozorro.gov.ua/tender/UA-2026-01-12-006627-a</x:v>
      </x:c>
    </x:row>
    <x:row r="430">
      <x:c r="A430" s="14" t="n">
        <x:v>426</x:v>
      </x:c>
      <x:c r="B430" s="14" t="str">
        <x:v>ТОВАРИСТВО З ОБМЕЖЕНОЮ ВІДПОВІДАЛЬНІСТЮ "ЕКОФАКТОР ЧАРДЖ"</x:v>
      </x:c>
      <x:c r="C430" s="14" t="str">
        <x:v>26568146</x:v>
      </x:c>
      <x:c r="D430" s="14" t="str">
        <x:v>Сонячна енергетика</x:v>
      </x:c>
      <x:c r="E430" s="14" t="str">
        <x:v>Expansion discovery</x:v>
      </x:c>
      <x:c r="F430" s="14" t="str">
        <x:v>I3</x:v>
      </x:c>
      <x:c r="G430" s="14" t="n">
        <x:v>41</x:v>
      </x:c>
      <x:c r="H430" s="14" t="n">
        <x:v>1</x:v>
      </x:c>
      <x:c r="I430" s="14" t="n">
        <x:v>0</x:v>
      </x:c>
      <x:c r="J430" s="18" t="n">
        <x:v>25194</x:v>
      </x:c>
      <x:c r="K430" s="19" t="n">
        <x:v>46196.32071678241</x:v>
      </x:c>
      <x:c r="L430" s="19" t="n">
        <x:v>46203</x:v>
      </x:c>
      <x:c r="M430" s="15" t="str">
        <x:v>Послуги зі встановленням джерел резервного живлення  (з монтажу сонячної електростанції)</x:v>
      </x:c>
      <x:c r="N430" s="15" t="str">
        <x:v>https://prozorro.gov.ua/tender/UA-2026-06-23-003080-a</x:v>
      </x:c>
    </x:row>
    <x:row r="431">
      <x:c r="A431" s="14" t="n">
        <x:v>427</x:v>
      </x:c>
      <x:c r="B431" s="14" t="str">
        <x:v>ТОВАРИСТВО З ОБМЕЖЕНОЮ ВІДПОВІДАЛЬНІСТЮ "КОНСАЛТИНГОВА АГЕНЦІЯ "ГАЛІЛЕО"</x:v>
      </x:c>
      <x:c r="C431" s="14" t="str">
        <x:v>40716972</x:v>
      </x:c>
      <x:c r="D431" s="14" t="str">
        <x:v>Насосні станції</x:v>
      </x:c>
      <x:c r="E431" s="14" t="str">
        <x:v>Expansion discovery</x:v>
      </x:c>
      <x:c r="F431" s="14" t="str">
        <x:v>I3</x:v>
      </x:c>
      <x:c r="G431" s="14" t="n">
        <x:v>41</x:v>
      </x:c>
      <x:c r="H431" s="14" t="n">
        <x:v>1</x:v>
      </x:c>
      <x:c r="I431" s="14" t="n">
        <x:v>0</x:v>
      </x:c>
      <x:c r="J431" s="18" t="n">
        <x:v>68352</x:v>
      </x:c>
      <x:c r="K431" s="19" t="n">
        <x:v>46174.522606666666</x:v>
      </x:c>
      <x:c r="L431" s="19" t="n">
        <x:v>46234</x:v>
      </x:c>
      <x:c r="M431" s="15" t="str">
        <x:v>проведення експертизи проектної документації на проєкт будівництва: «Реконструкція каналізаційної насосної станції із встановленням модульної КНС, розташованої  за адресою: Савинське шосе, 2-В в м. Балаклія, Ізюмського району, Харківської області»</x:v>
      </x:c>
      <x:c r="N431" s="15" t="str">
        <x:v>https://prozorro.gov.ua/tender/UA-2026-06-01-009371-a</x:v>
      </x:c>
    </x:row>
    <x:row r="432">
      <x:c r="A432" s="14" t="n">
        <x:v>428</x:v>
      </x:c>
      <x:c r="B432" s="14" t="str">
        <x:v>ТОВАРИСТВО З ОБМЕЖЕНОЮ ВІДПОВІДАЛЬНІСТЮ "ОХОРОНА-КОМПЛЕКС-ТИТАН"</x:v>
      </x:c>
      <x:c r="C432" s="14" t="str">
        <x:v>32639815</x:v>
      </x:c>
      <x:c r="D432" s="14" t="str">
        <x:v>Пожежогасіння</x:v>
      </x:c>
      <x:c r="E432" s="14" t="str">
        <x:v>Expansion discovery</x:v>
      </x:c>
      <x:c r="F432" s="14" t="str">
        <x:v>I3</x:v>
      </x:c>
      <x:c r="G432" s="14" t="n">
        <x:v>41</x:v>
      </x:c>
      <x:c r="H432" s="14" t="n">
        <x:v>1</x:v>
      </x:c>
      <x:c r="I432" s="14" t="n">
        <x:v>0</x:v>
      </x:c>
      <x:c r="J432" s="18" t="n">
        <x:v>26502.01</x:v>
      </x:c>
      <x:c r="K432" s="19" t="n">
        <x:v>46142.45822862269</x:v>
      </x:c>
      <x:c r="L432" s="19" t="n">
        <x:v>46173</x:v>
      </x:c>
      <x:c r="M432" s="15" t="str">
        <x:v>Послуги зі встановлення протипожежного устаткування (монтаж та налагодження системи пожежної сигналізації)</x:v>
      </x:c>
      <x:c r="N432" s="15" t="str">
        <x:v>https://prozorro.gov.ua/tender/UA-2026-04-30-006603-a</x:v>
      </x:c>
    </x:row>
    <x:row r="433">
      <x:c r="A433" s="14" t="n">
        <x:v>429</x:v>
      </x:c>
      <x:c r="B433" s="14" t="str">
        <x:v>ТОВАРИСТВО З ОБМЕЖЕНОЮ ВІДПОВІДАЛЬНІСТЮ "ОХОРОННЕ ПІДПРИЄМСТВО "ФОРТ"</x:v>
      </x:c>
      <x:c r="C433" s="14" t="str">
        <x:v>32081955</x:v>
      </x:c>
      <x:c r="D433" s="14" t="str">
        <x:v>Безпека / СКУД / CCTV</x:v>
      </x:c>
      <x:c r="E433" s="14" t="str">
        <x:v>Expansion discovery</x:v>
      </x:c>
      <x:c r="F433" s="14" t="str">
        <x:v>I3</x:v>
      </x:c>
      <x:c r="G433" s="14" t="n">
        <x:v>41</x:v>
      </x:c>
      <x:c r="H433" s="14" t="n">
        <x:v>1</x:v>
      </x:c>
      <x:c r="I433" s="14" t="n">
        <x:v>0</x:v>
      </x:c>
      <x:c r="J433" s="18" t="n">
        <x:v>73321.2</x:v>
      </x:c>
      <x:c r="K433" s="19" t="n">
        <x:v>46204.362556064814</x:v>
      </x:c>
      <x:c r="L433" s="19" t="n">
        <x:v>46237.34087962963</x:v>
      </x:c>
      <x:c r="M433" s="15" t="str">
        <x:v>Послуги зі встановлення контрольного обладнання код ДК 021:2015:51220000-0  (Монтаж та пусконалагоджувальні роботи системи контролю та управління доступом)</x:v>
      </x:c>
      <x:c r="N433" s="15" t="str">
        <x:v>https://prozorro.gov.ua/tender/UA-2026-07-01-002439-a</x:v>
      </x:c>
    </x:row>
    <x:row r="434">
      <x:c r="A434" s="14" t="n">
        <x:v>430</x:v>
      </x:c>
      <x:c r="B434" s="14" t="str">
        <x:v>Товариство з обмеженою відповідальністю "СЕРВІСРУМ"</x:v>
      </x:c>
      <x:c r="C434" s="14" t="str">
        <x:v>45408976</x:v>
      </x:c>
      <x:c r="D434" s="14" t="str">
        <x:v>HVAC / ОВіК</x:v>
      </x:c>
      <x:c r="E434" s="14" t="str">
        <x:v>Pilot now</x:v>
      </x:c>
      <x:c r="F434" s="14" t="str">
        <x:v>I3</x:v>
      </x:c>
      <x:c r="G434" s="14" t="n">
        <x:v>41</x:v>
      </x:c>
      <x:c r="H434" s="14" t="n">
        <x:v>1</x:v>
      </x:c>
      <x:c r="I434" s="14" t="n">
        <x:v>0</x:v>
      </x:c>
      <x:c r="J434" s="18" t="n">
        <x:v>68700</x:v>
      </x:c>
      <x:c r="K434" s="19" t="n">
        <x:v>46150.474411145835</x:v>
      </x:c>
      <x:c r="L434" s="19" t="n">
        <x:v>46173</x:v>
      </x:c>
      <x:c r="M434" s="15" t="str">
        <x:v>Комплекс послуг з монтажу водопровідних мереж та системи опалення за адресою м.Київ, вул. Євгена Чикаленка, буд. 34 Б, В</x:v>
      </x:c>
      <x:c r="N434" s="15" t="str">
        <x:v>https://prozorro.gov.ua/tender/UA-2026-05-08-008912-a</x:v>
      </x:c>
    </x:row>
    <x:row r="435">
      <x:c r="A435" s="14" t="n">
        <x:v>431</x:v>
      </x:c>
      <x:c r="B435" s="14" t="str">
        <x:v>ТОВАРИСТВО З ОБМЕЖЕНОЮ ВІДПОВІДАЛЬНІСТЮ "ТЕРНОПІЛЬВОДПРОЕКТ"</x:v>
      </x:c>
      <x:c r="C435" s="14" t="str">
        <x:v>01035182</x:v>
      </x:c>
      <x:c r="D435" s="14" t="str">
        <x:v>Мости / інфраструктура</x:v>
      </x:c>
      <x:c r="E435" s="14" t="str">
        <x:v>Expansion discovery</x:v>
      </x:c>
      <x:c r="F435" s="14" t="str">
        <x:v>I3</x:v>
      </x:c>
      <x:c r="G435" s="14" t="n">
        <x:v>41</x:v>
      </x:c>
      <x:c r="H435" s="14" t="n">
        <x:v>1</x:v>
      </x:c>
      <x:c r="I435" s="14" t="n">
        <x:v>0</x:v>
      </x:c>
      <x:c r="J435" s="18" t="n">
        <x:v>54230</x:v>
      </x:c>
      <x:c r="K435" s="19" t="n">
        <x:v>46199.54265590278</x:v>
      </x:c>
      <x:c r="L435" s="19" t="n">
        <x:v>46233</x:v>
      </x:c>
      <x:c r="M435" s="15" t="str">
        <x:v>Виготовлення проектно-кошторисної документації на об'єкт : "Капітальний ремонт верхнього шару покриття, огородження пішохідного мосту на річці Стрипа в місті Зборові Тернопільського району Тернопільської області"</x:v>
      </x:c>
      <x:c r="N435" s="15" t="str">
        <x:v>https://prozorro.gov.ua/tender/UA-2026-06-26-010257-a</x:v>
      </x:c>
    </x:row>
    <x:row r="436">
      <x:c r="A436" s="14" t="n">
        <x:v>432</x:v>
      </x:c>
      <x:c r="B436" s="14" t="str">
        <x:v>ТОВАРИСТВО З ОБМЕЖЕНОЮ ВІДПОВІДАЛЬНІСТЮ З ІНОЗЕМНИМИ ІНВЕСТИЦІЯМИ "ЮРОМАШ"</x:v>
      </x:c>
      <x:c r="C436" s="14" t="str">
        <x:v>32849408</x:v>
      </x:c>
      <x:c r="D436" s="14" t="str">
        <x:v>ГНБ / безтраншейні роботи</x:v>
      </x:c>
      <x:c r="E436" s="14" t="str">
        <x:v>Expansion discovery</x:v>
      </x:c>
      <x:c r="F436" s="14" t="str">
        <x:v>I3</x:v>
      </x:c>
      <x:c r="G436" s="14" t="n">
        <x:v>41</x:v>
      </x:c>
      <x:c r="H436" s="14" t="n">
        <x:v>1</x:v>
      </x:c>
      <x:c r="I436" s="14" t="n">
        <x:v>0</x:v>
      </x:c>
      <x:c r="J436" s="18" t="n">
        <x:v>12433700</x:v>
      </x:c>
      <x:c r="K436" s="19" t="n">
        <x:v>45960.35516327546</x:v>
      </x:c>
      <x:c r="L436" s="19" t="n">
        <x:v>46022</x:v>
      </x:c>
      <x:c r="M436" s="15" t="str">
        <x:v>25Т-469_43130000-3 - Бурове обладнання (Установка горизонтально-направленого буріння)</x:v>
      </x:c>
      <x:c r="N436" s="15" t="str">
        <x:v>https://prozorro.gov.ua/tender/UA-2025-10-01-003923-a</x:v>
      </x:c>
    </x:row>
    <x:row r="437">
      <x:c r="A437" s="14" t="n">
        <x:v>433</x:v>
      </x:c>
      <x:c r="B437" s="14" t="str">
        <x:v>ТОВАРИСТВО З ОБМЕЖЕНОЮ ВІДПОВІДАЛЬНІСТЮ ПІДПРИЄМСТВО "СПЕЦАВТОМАТИКА"</x:v>
      </x:c>
      <x:c r="C437" s="14" t="str">
        <x:v>25612046</x:v>
      </x:c>
      <x:c r="D437" s="14" t="str">
        <x:v>Безпека / СКУД / CCTV</x:v>
      </x:c>
      <x:c r="E437" s="14" t="str">
        <x:v>Expansion discovery</x:v>
      </x:c>
      <x:c r="F437" s="14" t="str">
        <x:v>I3</x:v>
      </x:c>
      <x:c r="G437" s="14" t="n">
        <x:v>41</x:v>
      </x:c>
      <x:c r="H437" s="14" t="n">
        <x:v>1</x:v>
      </x:c>
      <x:c r="I437" s="14" t="n">
        <x:v>0</x:v>
      </x:c>
      <x:c r="J437" s="18" t="n">
        <x:v>54900</x:v>
      </x:c>
      <x:c r="K437" s="19" t="n">
        <x:v>46148.51074971065</x:v>
      </x:c>
      <x:c r="L437" s="19" t="n">
        <x:v>46150</x:v>
      </x:c>
      <x:c r="M437" s="15" t="str">
        <x:v>Монтаж та налаштування системи контролю доступу шлагбаума</x:v>
      </x:c>
      <x:c r="N437" s="15" t="str">
        <x:v>https://prozorro.gov.ua/tender/UA-2026-05-06-010791-a</x:v>
      </x:c>
    </x:row>
    <x:row r="438">
      <x:c r="A438" s="14" t="n">
        <x:v>434</x:v>
      </x:c>
      <x:c r="B438" s="14" t="str">
        <x:v> ФОП Гриценко С.В.   Надавачем послуги є ФОП ГРИЦЕНКО СЕРГІЙ ВІТАЛІЙОВИЧ, код ЄДРПОУ 2226713797, яке у відповідності до статті 5-1 Закону України «Про запобігання та протидію легалізації (відмиванню) доходів, одержаних злочинним шляхом, фінансуванню тероризму та фінансуванню розповсюдження зброї масового знищення» немає кінцевого бенефіціарного власника), що підтверджується витягом з Єдиного державного реєстру юридичних осіб, фізичних осіб - підприємців та громадських формувань</x:v>
      </x:c>
      <x:c r="C438" s="14" t="str">
        <x:v>2226713797</x:v>
      </x:c>
      <x:c r="D438" s="14" t="str">
        <x:v>Електромонтаж</x:v>
      </x:c>
      <x:c r="E438" s="14" t="str">
        <x:v>Pilot now</x:v>
      </x:c>
      <x:c r="F438" s="14" t="str">
        <x:v>I3</x:v>
      </x:c>
      <x:c r="G438" s="14" t="n">
        <x:v>40</x:v>
      </x:c>
      <x:c r="H438" s="14" t="n">
        <x:v>2</x:v>
      </x:c>
      <x:c r="I438" s="14" t="n">
        <x:v>1</x:v>
      </x:c>
      <x:c r="J438" s="18" t="n">
        <x:v>7500</x:v>
      </x:c>
      <x:c r="K438" s="19" t="n">
        <x:v>46129.57997133102</x:v>
      </x:c>
      <x:c r="L438" s="19" t="n">
        <x:v>46387</x:v>
      </x:c>
      <x:c r="M438" s="15" t="str">
        <x:v>Послуги щодо виконання електровимірювальних робіт
 (Вимірювання опору заземлюючих пристроїв електроустановок;
 визначення повного опору петлі "фаза-нуль" шляхом виміру повного опору петлі "фаза-нульовий захисний провідник" та узгодження параметрів ланцюга "фаза-нуль" з характеристиками пристроїв автоматичного відключення живлення; 
перевірка працездатності пристроїв захисного відключення; 
вимірювання перехідного опору між заземлюючими пристроями та елементами заземлення електроустановок; 
вимірювання опору їзоляції електрообладнання та електромереж; 
розробка і виготовлення паспортів заземлюючого пристрою (при необхідності)</x:v>
      </x:c>
      <x:c r="N438" s="15" t="str">
        <x:v>https://prozorro.gov.ua/tender/UA-2026-04-17-011774-a</x:v>
      </x:c>
    </x:row>
    <x:row r="439">
      <x:c r="A439" s="14" t="n">
        <x:v>435</x:v>
      </x:c>
      <x:c r="B439" s="14" t="str">
        <x:v>СИДОРЕНКО СЕРГІЙ ВІКТОРОВИЧ</x:v>
      </x:c>
      <x:c r="C439" s="14" t="str">
        <x:v>2977111590</x:v>
      </x:c>
      <x:c r="D439" s="14" t="str">
        <x:v>Водоочищення / очисні споруди</x:v>
      </x:c>
      <x:c r="E439" s="14" t="str">
        <x:v>Expansion discovery</x:v>
      </x:c>
      <x:c r="F439" s="14" t="str">
        <x:v>I3</x:v>
      </x:c>
      <x:c r="G439" s="14" t="n">
        <x:v>39</x:v>
      </x:c>
      <x:c r="H439" s="14" t="n">
        <x:v>1</x:v>
      </x:c>
      <x:c r="I439" s="14" t="n">
        <x:v>1</x:v>
      </x:c>
      <x:c r="J439" s="18" t="n">
        <x:v>380000</x:v>
      </x:c>
      <x:c r="K439" s="19" t="n">
        <x:v>46132.27426259259</x:v>
      </x:c>
      <x:c r="L439" s="19" t="n">
        <x:v>46387</x:v>
      </x:c>
      <x:c r="M439" s="15" t="str">
        <x:v>Розроблення звіту з оцінки впливу на довкілля (ОВД) робочого проєкту "Реконструкція каналізаційних очисних споруд (аеротенки та повітродувна станція з повітроводом) в м.Глухів вул.Жужоми,51</x:v>
      </x:c>
      <x:c r="N439" s="15" t="str">
        <x:v>https://prozorro.gov.ua/tender/UA-2026-04-20-000865-a</x:v>
      </x:c>
    </x:row>
    <x:row r="440">
      <x:c r="A440" s="14" t="n">
        <x:v>436</x:v>
      </x:c>
      <x:c r="B440" s="14" t="str">
        <x:v>ФІЗИЧНА ОСОБА ПІДПРИЄМЕЦЬ ТРЯНОВ АНАТОЛІЙ АНАТОЛІЙОВИЧ</x:v>
      </x:c>
      <x:c r="C440" s="14" t="str">
        <x:v>3131519514</x:v>
      </x:c>
      <x:c r="D440" s="14" t="str">
        <x:v>Електромонтаж</x:v>
      </x:c>
      <x:c r="E440" s="14" t="str">
        <x:v>Pilot now</x:v>
      </x:c>
      <x:c r="F440" s="14" t="str">
        <x:v>I3</x:v>
      </x:c>
      <x:c r="G440" s="14" t="n">
        <x:v>39</x:v>
      </x:c>
      <x:c r="H440" s="14" t="n">
        <x:v>1</x:v>
      </x:c>
      <x:c r="I440" s="14" t="n">
        <x:v>1</x:v>
      </x:c>
      <x:c r="J440" s="18" t="n">
        <x:v>199736.15</x:v>
      </x:c>
      <x:c r="K440" s="19" t="n">
        <x:v>46120.50775244213</x:v>
      </x:c>
      <x:c r="L440" s="19" t="n">
        <x:v>46303.508888888886</x:v>
      </x:c>
      <x:c r="M440" s="15" t="str">
        <x:v>Реконструкція електричних мереж 0,4 кВ з підключенням та монтажем дахової сонячної електростанції на даху опорного закладу освіти "Петровірівський ліцей" Петровірівської сільської ради Березівського району Одеської області за адресою: 66860, Одеська область, Березівський район, с.Петровірівка, вул. Центральна, 24          </x:v>
      </x:c>
      <x:c r="N440" s="15" t="str">
        <x:v>https://prozorro.gov.ua/tender/UA-2026-04-08-010233-a</x:v>
      </x:c>
    </x:row>
    <x:row r="441">
      <x:c r="A441" s="14" t="n">
        <x:v>437</x:v>
      </x:c>
      <x:c r="B441" s="14" t="str">
        <x:v>ФОП ЛОГІНОВ ОЛЕКСАНДР ІВАНОВИЧ</x:v>
      </x:c>
      <x:c r="C441" s="14" t="str">
        <x:v>2444315539</x:v>
      </x:c>
      <x:c r="D441" s="14" t="str">
        <x:v>Медичні гази</x:v>
      </x:c>
      <x:c r="E441" s="14" t="str">
        <x:v>Expansion discovery</x:v>
      </x:c>
      <x:c r="F441" s="14" t="str">
        <x:v>I3</x:v>
      </x:c>
      <x:c r="G441" s="14" t="n">
        <x:v>39</x:v>
      </x:c>
      <x:c r="H441" s="14" t="n">
        <x:v>1</x:v>
      </x:c>
      <x:c r="I441" s="14" t="n">
        <x:v>1</x:v>
      </x:c>
      <x:c r="J441" s="18" t="n">
        <x:v>245395</x:v>
      </x:c>
      <x:c r="K441" s="19" t="n">
        <x:v>46107.63286478009</x:v>
      </x:c>
      <x:c r="L441" s="19" t="n">
        <x:v>46378.329780092594</x:v>
      </x:c>
      <x:c r="M441" s="15" t="str">
        <x:v>50420000-5 Послуги з ремонту і технічного обслуговування медичного та хірургічного обладнання (Послуги з поточного ремонту та монтажу системи постачання медичних газів)</x:v>
      </x:c>
      <x:c r="N441" s="15" t="str">
        <x:v>https://prozorro.gov.ua/tender/UA-2026-03-18-001697-a</x:v>
      </x:c>
    </x:row>
    <x:row r="442">
      <x:c r="A442" s="14" t="n">
        <x:v>438</x:v>
      </x:c>
      <x:c r="B442" s="14" t="str">
        <x:v>ТОВ "Біляївська будівельна компанія"</x:v>
      </x:c>
      <x:c r="C442" s="14" t="str">
        <x:v>41381317</x:v>
      </x:c>
      <x:c r="D442" s="14" t="str">
        <x:v>ГНБ / безтраншейні роботи</x:v>
      </x:c>
      <x:c r="E442" s="14" t="str">
        <x:v>Expansion discovery</x:v>
      </x:c>
      <x:c r="F442" s="14" t="str">
        <x:v>I3</x:v>
      </x:c>
      <x:c r="G442" s="14" t="n">
        <x:v>39</x:v>
      </x:c>
      <x:c r="H442" s="14" t="n">
        <x:v>3</x:v>
      </x:c>
      <x:c r="I442" s="14" t="n">
        <x:v>0</x:v>
      </x:c>
      <x:c r="J442" s="18" t="n">
        <x:v>242193.6</x:v>
      </x:c>
      <x:c r="K442" s="19" t="n">
        <x:v>45982.33196025463</x:v>
      </x:c>
      <x:c r="L442" s="19" t="n">
        <x:v>46021.33216435185</x:v>
      </x:c>
      <x:c r="M442" s="15" t="str">
        <x:v>Послуги з поточного ремонту зовнішніх мереж водопостачання протяжністю 150 метрів погонних, в межах неселеного пункту с.Великий Дальник по 1-му Тепличному провулку (влаштування проколу методом горизонтально-направленого буріння)</x:v>
      </x:c>
      <x:c r="N442" s="15" t="str">
        <x:v>https://prozorro.gov.ua/tender/UA-2025-11-21-002037-a</x:v>
      </x:c>
    </x:row>
    <x:row r="443">
      <x:c r="A443" s="14" t="n">
        <x:v>439</x:v>
      </x:c>
      <x:c r="B443" s="14" t="str">
        <x:v>ДП "Укрдержекспертиза"</x:v>
      </x:c>
      <x:c r="C443" s="14" t="str">
        <x:v>35917794</x:v>
      </x:c>
      <x:c r="D443" s="14" t="str">
        <x:v>Зовнішні мережі</x:v>
      </x:c>
      <x:c r="E443" s="14" t="str">
        <x:v>Expansion discovery</x:v>
      </x:c>
      <x:c r="F443" s="14" t="str">
        <x:v>I3</x:v>
      </x:c>
      <x:c r="G443" s="14" t="n">
        <x:v>38</x:v>
      </x:c>
      <x:c r="H443" s="14" t="n">
        <x:v>1</x:v>
      </x:c>
      <x:c r="I443" s="14" t="n">
        <x:v>1</x:v>
      </x:c>
      <x:c r="J443" s="18" t="n">
        <x:v>79819.21</x:v>
      </x:c>
      <x:c r="K443" s="19" t="n">
        <x:v>46099.34066887732</x:v>
      </x:c>
      <x:c r="L443" s="19" t="n">
        <x:v>46387</x:v>
      </x:c>
      <x:c r="M443" s="15" t="str">
        <x:v>Виконання експертизи проєкту будівництва: “Нове будівництво зовнішніх інженерних мереж
електропостачання військового містечка № 50, село Мала Любаша, Рівненська область”</x:v>
      </x:c>
      <x:c r="N443" s="15" t="str">
        <x:v>https://prozorro.gov.ua/tender/UA-2026-03-18-002291-a</x:v>
      </x:c>
    </x:row>
    <x:row r="444">
      <x:c r="A444" s="14" t="n">
        <x:v>440</x:v>
      </x:c>
      <x:c r="B444" s="14" t="str">
        <x:v>ПП "Грантекс"</x:v>
      </x:c>
      <x:c r="C444" s="14" t="str">
        <x:v>32729285</x:v>
      </x:c>
      <x:c r="D444" s="14" t="str">
        <x:v>Сонячна енергетика</x:v>
      </x:c>
      <x:c r="E444" s="14" t="str">
        <x:v>Expansion discovery</x:v>
      </x:c>
      <x:c r="F444" s="14" t="str">
        <x:v>I3</x:v>
      </x:c>
      <x:c r="G444" s="14" t="n">
        <x:v>38</x:v>
      </x:c>
      <x:c r="H444" s="14" t="n">
        <x:v>1</x:v>
      </x:c>
      <x:c r="I444" s="14" t="n">
        <x:v>1</x:v>
      </x:c>
      <x:c r="J444" s="18" t="n">
        <x:v>48669.53</x:v>
      </x:c>
      <x:c r="K444" s="19" t="n">
        <x:v>46120.610908194445</x:v>
      </x:c>
      <x:c r="L444" s="19" t="n">
        <x:v>46387</x:v>
      </x:c>
      <x:c r="M444" s="15" t="str">
        <x:v>Електротехнічне обладнання для монтажу сонячної електростанції</x:v>
      </x:c>
      <x:c r="N444" s="15" t="str">
        <x:v>https://prozorro.gov.ua/tender/UA-2026-04-08-014234-a</x:v>
      </x:c>
    </x:row>
    <x:row r="445">
      <x:c r="A445" s="14" t="n">
        <x:v>441</x:v>
      </x:c>
      <x:c r="B445" s="14" t="str">
        <x:v>ПП «КОЛЕКС»</x:v>
      </x:c>
      <x:c r="C445" s="14" t="str">
        <x:v>34606315</x:v>
      </x:c>
      <x:c r="D445" s="14" t="str">
        <x:v>Пожежогасіння</x:v>
      </x:c>
      <x:c r="E445" s="14" t="str">
        <x:v>Expansion discovery</x:v>
      </x:c>
      <x:c r="F445" s="14" t="str">
        <x:v>I3</x:v>
      </x:c>
      <x:c r="G445" s="14" t="n">
        <x:v>38</x:v>
      </x:c>
      <x:c r="H445" s="14" t="n">
        <x:v>1</x:v>
      </x:c>
      <x:c r="I445" s="14" t="n">
        <x:v>1</x:v>
      </x:c>
      <x:c r="J445" s="18" t="n">
        <x:v>94274.59</x:v>
      </x:c>
      <x:c r="K445" s="19" t="n">
        <x:v>46108.6047377662</x:v>
      </x:c>
      <x:c r="L445" s="19" t="n">
        <x:v>46387</x:v>
      </x:c>
      <x:c r="M445" s="15" t="str">
        <x:v>Монтаж та налагодження системи охоронної та пожежної сигналізації</x:v>
      </x:c>
      <x:c r="N445" s="15" t="str">
        <x:v>https://prozorro.gov.ua/tender/UA-2026-03-27-011149-a</x:v>
      </x:c>
    </x:row>
    <x:row r="446">
      <x:c r="A446" s="14" t="n">
        <x:v>442</x:v>
      </x:c>
      <x:c r="B446" s="14" t="str">
        <x:v>ТОВ "ВЕНБЕСТ"-Харківська філія ТОВ "ВЕНБЕСТ"</x:v>
      </x:c>
      <x:c r="C446" s="14" t="str">
        <x:v>33307679</x:v>
      </x:c>
      <x:c r="D446" s="14" t="str">
        <x:v>Пожежогасіння</x:v>
      </x:c>
      <x:c r="E446" s="14" t="str">
        <x:v>Expansion discovery</x:v>
      </x:c>
      <x:c r="F446" s="14" t="str">
        <x:v>I3</x:v>
      </x:c>
      <x:c r="G446" s="14" t="n">
        <x:v>38</x:v>
      </x:c>
      <x:c r="H446" s="14" t="n">
        <x:v>1</x:v>
      </x:c>
      <x:c r="I446" s="14" t="n">
        <x:v>1</x:v>
      </x:c>
      <x:c r="J446" s="18" t="n">
        <x:v>12749</x:v>
      </x:c>
      <x:c r="K446" s="19" t="n">
        <x:v>46118.56968915509</x:v>
      </x:c>
      <x:c r="L446" s="19" t="n">
        <x:v>46387</x:v>
      </x:c>
      <x:c r="M446" s="15" t="str">
        <x:v>Послуга з монтажу системи пожежної сигналізації</x:v>
      </x:c>
      <x:c r="N446" s="15" t="str">
        <x:v>https://prozorro.gov.ua/tender/UA-2026-04-06-012301-a</x:v>
      </x:c>
    </x:row>
    <x:row r="447">
      <x:c r="A447" s="14" t="n">
        <x:v>443</x:v>
      </x:c>
      <x:c r="B447" s="14" t="str">
        <x:v>ТОВАРИСТВО З ОБМЕЖЕНОЮ ВІДПОВІДАЛЬНІСТЮ "АРТЛАЙН ІНТЕГРАЦІЯ"</x:v>
      </x:c>
      <x:c r="C447" s="14" t="str">
        <x:v>40733799</x:v>
      </x:c>
      <x:c r="D447" s="14" t="str">
        <x:v>Резервне живлення</x:v>
      </x:c>
      <x:c r="E447" s="14" t="str">
        <x:v>Expansion discovery</x:v>
      </x:c>
      <x:c r="F447" s="14" t="str">
        <x:v>I3</x:v>
      </x:c>
      <x:c r="G447" s="14" t="n">
        <x:v>38</x:v>
      </x:c>
      <x:c r="H447" s="14" t="n">
        <x:v>1</x:v>
      </x:c>
      <x:c r="I447" s="14" t="n">
        <x:v>1</x:v>
      </x:c>
      <x:c r="J447" s="18" t="n">
        <x:v>37320</x:v>
      </x:c>
      <x:c r="K447" s="19" t="n">
        <x:v>46071.398380011575</x:v>
      </x:c>
      <x:c r="L447" s="19" t="n">
        <x:v>46387</x:v>
      </x:c>
      <x:c r="M447" s="15" t="str">
        <x:v>Послуги встановлення системи безперебійного живлення</x:v>
      </x:c>
      <x:c r="N447" s="15" t="str">
        <x:v>https://prozorro.gov.ua/tender/UA-2026-02-18-004664-a</x:v>
      </x:c>
    </x:row>
    <x:row r="448">
      <x:c r="A448" s="14" t="n">
        <x:v>444</x:v>
      </x:c>
      <x:c r="B448" s="14" t="str">
        <x:v>ТОВАРИСТВО З ОБМЕЖЕНОЮ ВІДПОВІДАЛЬНІСТЮ "БУД-ПРОЕКТ-СТРОЙ"</x:v>
      </x:c>
      <x:c r="C448" s="14" t="str">
        <x:v>41025681</x:v>
      </x:c>
      <x:c r="D448" s="14" t="str">
        <x:v>Електромонтаж</x:v>
      </x:c>
      <x:c r="E448" s="14" t="str">
        <x:v>Pilot now</x:v>
      </x:c>
      <x:c r="F448" s="14" t="str">
        <x:v>I3</x:v>
      </x:c>
      <x:c r="G448" s="14" t="n">
        <x:v>38</x:v>
      </x:c>
      <x:c r="H448" s="14" t="n">
        <x:v>1</x:v>
      </x:c>
      <x:c r="I448" s="14" t="n">
        <x:v>1</x:v>
      </x:c>
      <x:c r="J448" s="18" t="n">
        <x:v>71800</x:v>
      </x:c>
      <x:c r="K448" s="19" t="n">
        <x:v>46073.35758332176</x:v>
      </x:c>
      <x:c r="L448" s="19" t="n">
        <x:v>46387</x:v>
      </x:c>
      <x:c r="M448" s="15" t="str">
        <x:v>Послуги з будівництва та монтажу електричних мереж</x:v>
      </x:c>
      <x:c r="N448" s="15" t="str">
        <x:v>https://prozorro.gov.ua/tender/UA-2026-02-20-002524-a</x:v>
      </x:c>
    </x:row>
    <x:row r="449">
      <x:c r="A449" s="14" t="n">
        <x:v>445</x:v>
      </x:c>
      <x:c r="B449" s="14" t="str">
        <x:v>ТОВАРИСТВО З ОБМЕЖЕНОЮ ВІДПОВІДАЛЬНІСТЮ "КОНСАЛТИНГ ЛТД"</x:v>
      </x:c>
      <x:c r="C449" s="14" t="str">
        <x:v>34724383</x:v>
      </x:c>
      <x:c r="D449" s="14" t="str">
        <x:v>Резервне живлення</x:v>
      </x:c>
      <x:c r="E449" s="14" t="str">
        <x:v>Expansion discovery</x:v>
      </x:c>
      <x:c r="F449" s="14" t="str">
        <x:v>I3</x:v>
      </x:c>
      <x:c r="G449" s="14" t="n">
        <x:v>38</x:v>
      </x:c>
      <x:c r="H449" s="14" t="n">
        <x:v>1</x:v>
      </x:c>
      <x:c r="I449" s="14" t="n">
        <x:v>1</x:v>
      </x:c>
      <x:c r="J449" s="18" t="n">
        <x:v>50000</x:v>
      </x:c>
      <x:c r="K449" s="19" t="n">
        <x:v>46043.37433818287</x:v>
      </x:c>
      <x:c r="L449" s="19" t="n">
        <x:v>46387</x:v>
      </x:c>
      <x:c r="M449" s="15" t="str">
        <x:v>Монтаж та пусконалагоджувальні роботи системи безперебійного живлення будівлі КНП "Міська лікарня швидкої медичної допомоги" Кропивницької міської ради" по вул. Героїв-земляків, 56 м. Кропивницький"</x:v>
      </x:c>
      <x:c r="N449" s="15" t="str">
        <x:v>https://prozorro.gov.ua/tender/UA-2026-01-21-004427-a</x:v>
      </x:c>
    </x:row>
    <x:row r="450">
      <x:c r="A450" s="14" t="n">
        <x:v>446</x:v>
      </x:c>
      <x:c r="B450" s="14" t="str">
        <x:v>ТОВАРИСТВО З ОБМЕЖЕНОЮ ВІДПОВІДАЛЬНІСТЮ "ПОЖЕЖНА БЕЗПЕКА-ЦЕНТР"</x:v>
      </x:c>
      <x:c r="C450" s="14" t="str">
        <x:v>44930287</x:v>
      </x:c>
      <x:c r="D450" s="14" t="str">
        <x:v>Пожежогасіння</x:v>
      </x:c>
      <x:c r="E450" s="14" t="str">
        <x:v>Expansion discovery</x:v>
      </x:c>
      <x:c r="F450" s="14" t="str">
        <x:v>I3</x:v>
      </x:c>
      <x:c r="G450" s="14" t="n">
        <x:v>38</x:v>
      </x:c>
      <x:c r="H450" s="14" t="n">
        <x:v>1</x:v>
      </x:c>
      <x:c r="I450" s="14" t="n">
        <x:v>1</x:v>
      </x:c>
      <x:c r="J450" s="18" t="n">
        <x:v>99972</x:v>
      </x:c>
      <x:c r="K450" s="19" t="n">
        <x:v>46136.345209479165</x:v>
      </x:c>
      <x:c r="L450" s="19" t="n">
        <x:v>46387</x:v>
      </x:c>
      <x:c r="M450" s="15" t="str">
        <x:v>Послуги з монтажу системи  пожежної сигналізації та системи тривожних сповіщень</x:v>
      </x:c>
      <x:c r="N450" s="15" t="str">
        <x:v>https://prozorro.gov.ua/tender/UA-2026-04-24-004247-a</x:v>
      </x:c>
    </x:row>
    <x:row r="451">
      <x:c r="A451" s="14" t="n">
        <x:v>447</x:v>
      </x:c>
      <x:c r="B451" s="14" t="str">
        <x:v>БЄЛЯЄВ СЕРГІЙ ВІКТОРОВИЧ</x:v>
      </x:c>
      <x:c r="C451" s="14" t="str">
        <x:v>2296809197</x:v>
      </x:c>
      <x:c r="D451" s="14" t="str">
        <x:v>Промисловий холод</x:v>
      </x:c>
      <x:c r="E451" s="14" t="str">
        <x:v>Expansion discovery</x:v>
      </x:c>
      <x:c r="F451" s="14" t="str">
        <x:v>I3</x:v>
      </x:c>
      <x:c r="G451" s="14" t="n">
        <x:v>38</x:v>
      </x:c>
      <x:c r="H451" s="14" t="n">
        <x:v>1</x:v>
      </x:c>
      <x:c r="I451" s="14" t="n">
        <x:v>0</x:v>
      </x:c>
      <x:c r="J451" s="18" t="n">
        <x:v>21800</x:v>
      </x:c>
      <x:c r="K451" s="19" t="n">
        <x:v>46160.47784247685</x:v>
      </x:c>
      <x:c r="L451" s="19" t="n">
        <x:v>46173</x:v>
      </x:c>
      <x:c r="M451" s="15" t="str">
        <x:v>Кондиціонер Osaka STV 07 HH з монтажем за ДК 021:2015 "42510000-4 Теплообмінники, кондиціонери повітря, холодильне обладнання та фільтрувальні пристрої"
</x:v>
      </x:c>
      <x:c r="N451" s="15" t="str">
        <x:v>https://prozorro.gov.ua/tender/UA-2026-05-18-008042-a</x:v>
      </x:c>
    </x:row>
    <x:row r="452">
      <x:c r="A452" s="14" t="n">
        <x:v>448</x:v>
      </x:c>
      <x:c r="B452" s="14" t="str">
        <x:v>Блошенко Олександр Олександрович</x:v>
      </x:c>
      <x:c r="C452" s="14" t="str">
        <x:v>3309014950</x:v>
      </x:c>
      <x:c r="D452" s="14" t="str">
        <x:v>Сонячна енергетика</x:v>
      </x:c>
      <x:c r="E452" s="14" t="str">
        <x:v>Expansion discovery</x:v>
      </x:c>
      <x:c r="F452" s="14" t="str">
        <x:v>I3</x:v>
      </x:c>
      <x:c r="G452" s="14" t="n">
        <x:v>38</x:v>
      </x:c>
      <x:c r="H452" s="14" t="n">
        <x:v>1</x:v>
      </x:c>
      <x:c r="I452" s="14" t="n">
        <x:v>0</x:v>
      </x:c>
      <x:c r="J452" s="18" t="n">
        <x:v>8000</x:v>
      </x:c>
      <x:c r="K452" s="19" t="n">
        <x:v>46160.5288471875</x:v>
      </x:c>
      <x:c r="L452" s="19" t="n">
        <x:v>46203</x:v>
      </x:c>
      <x:c r="M452" s="15" t="str">
        <x:v>71520000-9 Послуги з нагляду за виконанням будівельних робіт Технічний нагляд по об’єкту «Роботи з монтажу сонячної електростанції з системою накопичення енергії за адресою 68600, Одеська обл., м. Ізмаїл, пр. Миру, 15»</x:v>
      </x:c>
      <x:c r="N452" s="15" t="str">
        <x:v>https://prozorro.gov.ua/tender/UA-2026-05-18-010643-a</x:v>
      </x:c>
    </x:row>
    <x:row r="453">
      <x:c r="A453" s="14" t="n">
        <x:v>449</x:v>
      </x:c>
      <x:c r="B453" s="14" t="str">
        <x:v>ІГНАТЮК ВАСИЛИНА ІВАНІВНА</x:v>
      </x:c>
      <x:c r="C453" s="14" t="str">
        <x:v>2448402807</x:v>
      </x:c>
      <x:c r="D453" s="14" t="str">
        <x:v>Сонячна енергетика</x:v>
      </x:c>
      <x:c r="E453" s="14" t="str">
        <x:v>Expansion discovery</x:v>
      </x:c>
      <x:c r="F453" s="14" t="str">
        <x:v>I3</x:v>
      </x:c>
      <x:c r="G453" s="14" t="n">
        <x:v>38</x:v>
      </x:c>
      <x:c r="H453" s="14" t="n">
        <x:v>1</x:v>
      </x:c>
      <x:c r="I453" s="14" t="n">
        <x:v>0</x:v>
      </x:c>
      <x:c r="J453" s="18" t="n">
        <x:v>99900</x:v>
      </x:c>
      <x:c r="K453" s="19" t="n">
        <x:v>46160.528846863424</x:v>
      </x:c>
      <x:c r="L453" s="19" t="n">
        <x:v>46203</x:v>
      </x:c>
      <x:c r="M453" s="15" t="str">
        <x:v>45260000-7 Покрівельні роботи та інші спеціалізовані будівельні роботи (Роботи з монтажу сонячної електростанції з системою накопичення енергії за адресою 68600, Одеська обл., м. Ізмаїл, пр. Миру, 15)</x:v>
      </x:c>
      <x:c r="N453" s="15" t="str">
        <x:v>https://prozorro.gov.ua/tender/UA-2026-05-18-010340-a</x:v>
      </x:c>
    </x:row>
    <x:row r="454">
      <x:c r="A454" s="14" t="n">
        <x:v>450</x:v>
      </x:c>
      <x:c r="B454" s="14" t="str">
        <x:v>КОЖЕМЯКІНА ХРИСТИНА ВОЛОДИМИРІВНА</x:v>
      </x:c>
      <x:c r="C454" s="14" t="str">
        <x:v>3247111125</x:v>
      </x:c>
      <x:c r="D454" s="14" t="str">
        <x:v>HVAC / ОВіК</x:v>
      </x:c>
      <x:c r="E454" s="14" t="str">
        <x:v>Pilot now</x:v>
      </x:c>
      <x:c r="F454" s="14" t="str">
        <x:v>I3</x:v>
      </x:c>
      <x:c r="G454" s="14" t="n">
        <x:v>38</x:v>
      </x:c>
      <x:c r="H454" s="14" t="n">
        <x:v>1</x:v>
      </x:c>
      <x:c r="I454" s="14" t="n">
        <x:v>0</x:v>
      </x:c>
      <x:c r="J454" s="18" t="n">
        <x:v>31000</x:v>
      </x:c>
      <x:c r="K454" s="19" t="n">
        <x:v>46197.5185555787</x:v>
      </x:c>
      <x:c r="L454" s="19" t="n">
        <x:v>46203</x:v>
      </x:c>
      <x:c r="M454" s="15" t="str">
        <x:v>Послуги з монтажу системи вентиляції та системи кондиціонування повітря у КЗ "ЗОШВСМ"ЗОР</x:v>
      </x:c>
      <x:c r="N454" s="15" t="str">
        <x:v>https://prozorro.gov.ua/tender/UA-2026-06-24-009983-a</x:v>
      </x:c>
    </x:row>
    <x:row r="455">
      <x:c r="A455" s="14" t="n">
        <x:v>451</x:v>
      </x:c>
      <x:c r="B455" s="14" t="str">
        <x:v>Микитин Володимир Васильович</x:v>
      </x:c>
      <x:c r="C455" s="14" t="str">
        <x:v>3217413037</x:v>
      </x:c>
      <x:c r="D455" s="14" t="str">
        <x:v>Безпека / СКУД / CCTV</x:v>
      </x:c>
      <x:c r="E455" s="14" t="str">
        <x:v>Expansion discovery</x:v>
      </x:c>
      <x:c r="F455" s="14" t="str">
        <x:v>I3</x:v>
      </x:c>
      <x:c r="G455" s="14" t="n">
        <x:v>38</x:v>
      </x:c>
      <x:c r="H455" s="14" t="n">
        <x:v>1</x:v>
      </x:c>
      <x:c r="I455" s="14" t="n">
        <x:v>0</x:v>
      </x:c>
      <x:c r="J455" s="18" t="n">
        <x:v>7680</x:v>
      </x:c>
      <x:c r="K455" s="19" t="n">
        <x:v>46209.55647822917</x:v>
      </x:c>
      <x:c r="L455" s="19" t="n">
        <x:v>46234</x:v>
      </x:c>
      <x:c r="M455" s="15" t="str">
        <x:v>Монтаж та налаштування системи відеоспостереження</x:v>
      </x:c>
      <x:c r="N455" s="15" t="str">
        <x:v>https://prozorro.gov.ua/tender/UA-2026-07-06-009128-a</x:v>
      </x:c>
    </x:row>
    <x:row r="456">
      <x:c r="A456" s="14" t="n">
        <x:v>452</x:v>
      </x:c>
      <x:c r="B456" s="14" t="str">
        <x:v>ОСАДЧЕНКО ВАЛЕРІЙ ВАСИЛЬОВИЧ</x:v>
      </x:c>
      <x:c r="C456" s="14" t="str">
        <x:v>2199015537</x:v>
      </x:c>
      <x:c r="D456" s="14" t="str">
        <x:v>Резервне живлення</x:v>
      </x:c>
      <x:c r="E456" s="14" t="str">
        <x:v>Expansion discovery</x:v>
      </x:c>
      <x:c r="F456" s="14" t="str">
        <x:v>I3</x:v>
      </x:c>
      <x:c r="G456" s="14" t="n">
        <x:v>38</x:v>
      </x:c>
      <x:c r="H456" s="14" t="n">
        <x:v>1</x:v>
      </x:c>
      <x:c r="I456" s="14" t="n">
        <x:v>0</x:v>
      </x:c>
      <x:c r="J456" s="18" t="n">
        <x:v>28280</x:v>
      </x:c>
      <x:c r="K456" s="19" t="n">
        <x:v>46162.294158969904</x:v>
      </x:c>
      <x:c r="L456" s="19" t="n">
        <x:v>46173</x:v>
      </x:c>
      <x:c r="M456" s="15" t="str">
        <x:v>Монтаж, підключення, налаштування та здача в експлуатацію системи безперебійного живлення</x:v>
      </x:c>
      <x:c r="N456" s="15" t="str">
        <x:v>https://prozorro.gov.ua/tender/UA-2026-05-20-001780-a</x:v>
      </x:c>
    </x:row>
    <x:row r="457">
      <x:c r="A457" s="14" t="n">
        <x:v>453</x:v>
      </x:c>
      <x:c r="B457" s="14" t="str">
        <x:v>РАДЗИВІЛ ОЛЕКСАНДР АРКАДІЙОВИЧ</x:v>
      </x:c>
      <x:c r="C457" s="14" t="str">
        <x:v>3023319734</x:v>
      </x:c>
      <x:c r="D457" s="14" t="str">
        <x:v>Безпека / СКУД / CCTV</x:v>
      </x:c>
      <x:c r="E457" s="14" t="str">
        <x:v>Expansion discovery</x:v>
      </x:c>
      <x:c r="F457" s="14" t="str">
        <x:v>I3</x:v>
      </x:c>
      <x:c r="G457" s="14" t="n">
        <x:v>38</x:v>
      </x:c>
      <x:c r="H457" s="14" t="n">
        <x:v>1</x:v>
      </x:c>
      <x:c r="I457" s="14" t="n">
        <x:v>0</x:v>
      </x:c>
      <x:c r="J457" s="18" t="n">
        <x:v>99920</x:v>
      </x:c>
      <x:c r="K457" s="19" t="n">
        <x:v>46198.47282954861</x:v>
      </x:c>
      <x:c r="L457" s="19" t="n">
        <x:v>46223</x:v>
      </x:c>
      <x:c r="M457" s="15" t="str">
        <x:v>Послуги монтажу та налаштування системи  відеоспостереження</x:v>
      </x:c>
      <x:c r="N457" s="15" t="str">
        <x:v>https://prozorro.gov.ua/tender/UA-2026-06-25-007871-a</x:v>
      </x:c>
    </x:row>
    <x:row r="458">
      <x:c r="A458" s="14" t="n">
        <x:v>454</x:v>
      </x:c>
      <x:c r="B458" s="14" t="str">
        <x:v>Фізична особа-підприємець Хоманець Валентина Іванівна</x:v>
      </x:c>
      <x:c r="C458" s="14" t="str">
        <x:v>2531503308</x:v>
      </x:c>
      <x:c r="D458" s="14" t="str">
        <x:v>Безпека / СКУД / CCTV</x:v>
      </x:c>
      <x:c r="E458" s="14" t="str">
        <x:v>Expansion discovery</x:v>
      </x:c>
      <x:c r="F458" s="14" t="str">
        <x:v>I3</x:v>
      </x:c>
      <x:c r="G458" s="14" t="n">
        <x:v>38</x:v>
      </x:c>
      <x:c r="H458" s="14" t="n">
        <x:v>1</x:v>
      </x:c>
      <x:c r="I458" s="14" t="n">
        <x:v>0</x:v>
      </x:c>
      <x:c r="J458" s="18" t="n">
        <x:v>550</x:v>
      </x:c>
      <x:c r="K458" s="19" t="n">
        <x:v>46155.37156013889</x:v>
      </x:c>
      <x:c r="L458" s="19" t="n">
        <x:v>46203</x:v>
      </x:c>
      <x:c r="M458" s="15" t="str">
        <x:v>Кабель сигналізаційний для монтажу системи контролю доступу у ЗДО №51 Львівської міської ради (ДК 021:2015:44320000-9 - Кабелі та супутня продукція)</x:v>
      </x:c>
      <x:c r="N458" s="15" t="str">
        <x:v>https://prozorro.gov.ua/tender/UA-2026-05-13-005151-a</x:v>
      </x:c>
    </x:row>
    <x:row r="459">
      <x:c r="A459" s="14" t="n">
        <x:v>455</x:v>
      </x:c>
      <x:c r="B459" s="14" t="str">
        <x:v>ФОП  КОСИНСЬКИЙ ВАЛЕРІЙ МИХАЙЛОВИЧ</x:v>
      </x:c>
      <x:c r="C459" s="14" t="str">
        <x:v>2210914319</x:v>
      </x:c>
      <x:c r="D459" s="14" t="str">
        <x:v>ГНБ / безтраншейні роботи</x:v>
      </x:c>
      <x:c r="E459" s="14" t="str">
        <x:v>Expansion discovery</x:v>
      </x:c>
      <x:c r="F459" s="14" t="str">
        <x:v>I3</x:v>
      </x:c>
      <x:c r="G459" s="14" t="n">
        <x:v>38</x:v>
      </x:c>
      <x:c r="H459" s="14" t="n">
        <x:v>1</x:v>
      </x:c>
      <x:c r="I459" s="14" t="n">
        <x:v>0</x:v>
      </x:c>
      <x:c r="J459" s="18" t="n">
        <x:v>10800</x:v>
      </x:c>
      <x:c r="K459" s="19" t="n">
        <x:v>46204.33350625</x:v>
      </x:c>
      <x:c r="L459" s="19" t="n">
        <x:v>46234</x:v>
      </x:c>
      <x:c r="M459" s="15" t="str">
        <x:v>Горизонтально-направлене буріння ґрунту довжиною 6м, глибиною 1,2м, діаметром 120мм</x:v>
      </x:c>
      <x:c r="N459" s="15" t="str">
        <x:v>https://prozorro.gov.ua/tender/UA-2026-07-01-002295-a</x:v>
      </x:c>
    </x:row>
    <x:row r="460">
      <x:c r="A460" s="14" t="n">
        <x:v>456</x:v>
      </x:c>
      <x:c r="B460" s="14" t="str">
        <x:v>ФОП БОРСУК ІВАННА ПЕТРІВНА</x:v>
      </x:c>
      <x:c r="C460" s="14" t="str">
        <x:v>3446913988</x:v>
      </x:c>
      <x:c r="D460" s="14" t="str">
        <x:v>Безпека / СКУД / CCTV</x:v>
      </x:c>
      <x:c r="E460" s="14" t="str">
        <x:v>Expansion discovery</x:v>
      </x:c>
      <x:c r="F460" s="14" t="str">
        <x:v>I3</x:v>
      </x:c>
      <x:c r="G460" s="14" t="n">
        <x:v>38</x:v>
      </x:c>
      <x:c r="H460" s="14" t="n">
        <x:v>1</x:v>
      </x:c>
      <x:c r="I460" s="14" t="n">
        <x:v>0</x:v>
      </x:c>
      <x:c r="J460" s="18" t="n">
        <x:v>23396</x:v>
      </x:c>
      <x:c r="K460" s="19" t="n">
        <x:v>46181.49224665509</x:v>
      </x:c>
      <x:c r="L460" s="19" t="n">
        <x:v>46183</x:v>
      </x:c>
      <x:c r="M460" s="15" t="str">
        <x:v>Матеріали та обладнання для монтажу системи відеоспостереження (камера відеоспостереження)</x:v>
      </x:c>
      <x:c r="N460" s="15" t="str">
        <x:v>https://prozorro.gov.ua/tender/UA-2026-06-08-008397-a</x:v>
      </x:c>
    </x:row>
    <x:row r="461">
      <x:c r="A461" s="14" t="n">
        <x:v>457</x:v>
      </x:c>
      <x:c r="B461" s="14" t="str">
        <x:v>ФОП Микитюк Микола Георгійович</x:v>
      </x:c>
      <x:c r="C461" s="14" t="str">
        <x:v>2307214319</x:v>
      </x:c>
      <x:c r="D461" s="14" t="str">
        <x:v>Газопостачання / котельні</x:v>
      </x:c>
      <x:c r="E461" s="14" t="str">
        <x:v>Expansion discovery</x:v>
      </x:c>
      <x:c r="F461" s="14" t="str">
        <x:v>I3</x:v>
      </x:c>
      <x:c r="G461" s="14" t="n">
        <x:v>38</x:v>
      </x:c>
      <x:c r="H461" s="14" t="n">
        <x:v>1</x:v>
      </x:c>
      <x:c r="I461" s="14" t="n">
        <x:v>0</x:v>
      </x:c>
      <x:c r="J461" s="18" t="n">
        <x:v>88970</x:v>
      </x:c>
      <x:c r="K461" s="19" t="n">
        <x:v>46204.3824987037</x:v>
      </x:c>
      <x:c r="L461" s="19" t="n">
        <x:v>46234</x:v>
      </x:c>
      <x:c r="M461" s="15" t="str">
        <x:v>Послуги з демонтажу та монтажу димової труби в котельні Мамаївського ЗДО</x:v>
      </x:c>
      <x:c r="N461" s="15" t="str">
        <x:v>https://prozorro.gov.ua/tender/UA-2026-07-01-003861-a</x:v>
      </x:c>
    </x:row>
    <x:row r="462">
      <x:c r="A462" s="14" t="n">
        <x:v>458</x:v>
      </x:c>
      <x:c r="B462" s="14" t="str">
        <x:v>ФОП Чабан І.В.</x:v>
      </x:c>
      <x:c r="C462" s="14" t="str">
        <x:v>3524713121</x:v>
      </x:c>
      <x:c r="D462" s="14" t="str">
        <x:v>Безпека / СКУД / CCTV</x:v>
      </x:c>
      <x:c r="E462" s="14" t="str">
        <x:v>Expansion discovery</x:v>
      </x:c>
      <x:c r="F462" s="14" t="str">
        <x:v>I3</x:v>
      </x:c>
      <x:c r="G462" s="14" t="n">
        <x:v>38</x:v>
      </x:c>
      <x:c r="H462" s="14" t="n">
        <x:v>1</x:v>
      </x:c>
      <x:c r="I462" s="14" t="n">
        <x:v>0</x:v>
      </x:c>
      <x:c r="J462" s="18" t="n">
        <x:v>50825</x:v>
      </x:c>
      <x:c r="K462" s="19" t="n">
        <x:v>46198.56511065972</x:v>
      </x:c>
      <x:c r="L462" s="19" t="n">
        <x:v>46198</x:v>
      </x:c>
      <x:c r="M462" s="15" t="str">
        <x:v>послуги з монтажу,установки системи відеоспостереження</x:v>
      </x:c>
      <x:c r="N462" s="15" t="str">
        <x:v>https://prozorro.gov.ua/tender/UA-2026-06-25-011830-a</x:v>
      </x:c>
    </x:row>
    <x:row r="463">
      <x:c r="A463" s="14" t="n">
        <x:v>459</x:v>
      </x:c>
      <x:c r="B463" s="14" t="str">
        <x:v>ЯКИМЕНКО ВІТАЛІЙ ВАСИЛЬОВИЧ</x:v>
      </x:c>
      <x:c r="C463" s="14" t="str">
        <x:v>2703713476</x:v>
      </x:c>
      <x:c r="D463" s="14" t="str">
        <x:v>Безпека / СКУД / CCTV</x:v>
      </x:c>
      <x:c r="E463" s="14" t="str">
        <x:v>Expansion discovery</x:v>
      </x:c>
      <x:c r="F463" s="14" t="str">
        <x:v>I3</x:v>
      </x:c>
      <x:c r="G463" s="14" t="n">
        <x:v>38</x:v>
      </x:c>
      <x:c r="H463" s="14" t="n">
        <x:v>1</x:v>
      </x:c>
      <x:c r="I463" s="14" t="n">
        <x:v>0</x:v>
      </x:c>
      <x:c r="J463" s="18" t="n">
        <x:v>5060</x:v>
      </x:c>
      <x:c r="K463" s="19" t="n">
        <x:v>46185.38756188657</x:v>
      </x:c>
      <x:c r="L463" s="19" t="n">
        <x:v>46185</x:v>
      </x:c>
      <x:c r="M463" s="15" t="str">
        <x:v>Послуги з монтажу та установки системи відеоспостереження</x:v>
      </x:c>
      <x:c r="N463" s="15" t="str">
        <x:v>https://prozorro.gov.ua/tender/UA-2026-06-12-005736-a</x:v>
      </x:c>
    </x:row>
    <x:row r="464">
      <x:c r="A464" s="14" t="n">
        <x:v>460</x:v>
      </x:c>
      <x:c r="B464" s="14" t="str">
        <x:v>Науково-виробниче підприємство"Електропром" у формі ТОВ</x:v>
      </x:c>
      <x:c r="C464" s="14" t="str">
        <x:v>14089096</x:v>
      </x:c>
      <x:c r="D464" s="14" t="str">
        <x:v>Електромонтаж</x:v>
      </x:c>
      <x:c r="E464" s="14" t="str">
        <x:v>Pilot now</x:v>
      </x:c>
      <x:c r="F464" s="14" t="str">
        <x:v>I3</x:v>
      </x:c>
      <x:c r="G464" s="14" t="n">
        <x:v>37</x:v>
      </x:c>
      <x:c r="H464" s="14" t="n">
        <x:v>1</x:v>
      </x:c>
      <x:c r="I464" s="14" t="n">
        <x:v>0</x:v>
      </x:c>
      <x:c r="J464" s="18" t="n">
        <x:v>389415.6</x:v>
      </x:c>
      <x:c r="K464" s="19" t="n">
        <x:v>46128.366191064815</x:v>
      </x:c>
      <x:c r="L464" s="19" t="n">
        <x:v>46203</x:v>
      </x:c>
      <x:c r="M464" s="15" t="str">
        <x:v>Монтаж мереж  електричного кабелю 9-го під'їзду та 4-го під'їзду будинку за адресою: пл. Свободи, 5 в м. Харкові</x:v>
      </x:c>
      <x:c r="N464" s="15" t="str">
        <x:v>https://prozorro.gov.ua/tender/UA-2026-04-16-004889-a</x:v>
      </x:c>
    </x:row>
    <x:row r="465">
      <x:c r="A465" s="14" t="n">
        <x:v>461</x:v>
      </x:c>
      <x:c r="B465" s="14" t="str">
        <x:v>ТОВ "МОНТАЖТРАНСГАЗ"</x:v>
      </x:c>
      <x:c r="C465" s="14" t="str">
        <x:v>13958101</x:v>
      </x:c>
      <x:c r="D465" s="14" t="str">
        <x:v>Технологічні трубопроводи</x:v>
      </x:c>
      <x:c r="E465" s="14" t="str">
        <x:v>Expansion discovery</x:v>
      </x:c>
      <x:c r="F465" s="14" t="str">
        <x:v>I3</x:v>
      </x:c>
      <x:c r="G465" s="14" t="n">
        <x:v>37</x:v>
      </x:c>
      <x:c r="H465" s="14" t="n">
        <x:v>1</x:v>
      </x:c>
      <x:c r="I465" s="14" t="n">
        <x:v>0</x:v>
      </x:c>
      <x:c r="J465" s="18" t="n">
        <x:v>6210180</x:v>
      </x:c>
      <x:c r="K465" s="19" t="n">
        <x:v>45806.45531452546</x:v>
      </x:c>
      <x:c r="L465" s="19" t="n">
        <x:v>46022</x:v>
      </x:c>
      <x:c r="M465" s="15" t="str">
        <x:v>Технічне переоснащення в частині відновлення товарно-сировинного парку ХХХ з монтажем внутрішньо-паркових технологічних трубопроводів та РВС</x:v>
      </x:c>
      <x:c r="N465" s="15" t="str">
        <x:v>https://prozorro.gov.ua/tender/UA-2025-04-24-010173-a</x:v>
      </x:c>
    </x:row>
    <x:row r="466">
      <x:c r="A466" s="14" t="n">
        <x:v>462</x:v>
      </x:c>
      <x:c r="B466" s="14" t="str">
        <x:v>ТОВ "НГХ СЕРВІС"</x:v>
      </x:c>
      <x:c r="C466" s="14" t="str">
        <x:v>38781431</x:v>
      </x:c>
      <x:c r="D466" s="14" t="str">
        <x:v>Технологічні трубопроводи</x:v>
      </x:c>
      <x:c r="E466" s="14" t="str">
        <x:v>Expansion discovery</x:v>
      </x:c>
      <x:c r="F466" s="14" t="str">
        <x:v>I3</x:v>
      </x:c>
      <x:c r="G466" s="14" t="n">
        <x:v>37</x:v>
      </x:c>
      <x:c r="H466" s="14" t="n">
        <x:v>1</x:v>
      </x:c>
      <x:c r="I466" s="14" t="n">
        <x:v>0</x:v>
      </x:c>
      <x:c r="J466" s="18" t="n">
        <x:v>7229604</x:v>
      </x:c>
      <x:c r="K466" s="19" t="n">
        <x:v>45688.56694599537</x:v>
      </x:c>
      <x:c r="L466" s="19" t="n">
        <x:v>46022</x:v>
      </x:c>
      <x:c r="M466" s="15" t="str">
        <x:v>Технічне переоснащення в частині відновлення товарно-сировинного парку ЦПСН КГПЗ з монтажем внутрішньопаркових технологічних трубопроводів та РВС по вул. Центральна, 1,  с. Мала Павлівка, Охтирського району Сумської області, ДК 021:2015 45220000-5  інженерні та будівельні роботи</x:v>
      </x:c>
      <x:c r="N466" s="15" t="str">
        <x:v>https://prozorro.gov.ua/tender/UA-2025-01-08-007081-a</x:v>
      </x:c>
    </x:row>
    <x:row r="467">
      <x:c r="A467" s="14" t="n">
        <x:v>463</x:v>
      </x:c>
      <x:c r="B467" s="14" t="str">
        <x:v>ТОВ "ОДЕСАСПЕ­ЦЕНЕРГО"</x:v>
      </x:c>
      <x:c r="C467" s="14" t="str">
        <x:v>34490487</x:v>
      </x:c>
      <x:c r="D467" s="14" t="str">
        <x:v>ГНБ / безтраншейні роботи</x:v>
      </x:c>
      <x:c r="E467" s="14" t="str">
        <x:v>Expansion discovery</x:v>
      </x:c>
      <x:c r="F467" s="14" t="str">
        <x:v>I3</x:v>
      </x:c>
      <x:c r="G467" s="14" t="n">
        <x:v>37</x:v>
      </x:c>
      <x:c r="H467" s="14" t="n">
        <x:v>1</x:v>
      </x:c>
      <x:c r="I467" s="14" t="n">
        <x:v>0</x:v>
      </x:c>
      <x:c r="J467" s="18" t="n">
        <x:v>4449000</x:v>
      </x:c>
      <x:c r="K467" s="19" t="n">
        <x:v>45908.31016237268</x:v>
      </x:c>
      <x:c r="L467" s="19" t="n">
        <x:v>46097</x:v>
      </x:c>
      <x:c r="M467" s="15" t="str">
        <x:v>Реконструкція газопроводу-відводу до газорозподільної станції «Чорногузи» на ділянці переходу через річку Черемош на межі Вижницького району Чернівецької області та Косівського району Івано-Франківської області (роботи з горизонтально-направленого буріння) (Будівельні роботи та поточний ремонт)</x:v>
      </x:c>
      <x:c r="N467" s="15" t="str">
        <x:v>https://prozorro.gov.ua/tender/UA-2025-08-08-003722-a</x:v>
      </x:c>
    </x:row>
    <x:row r="468">
      <x:c r="A468" s="14" t="n">
        <x:v>464</x:v>
      </x:c>
      <x:c r="B468" s="14" t="str">
        <x:v>ВІТИК ТАРАС РОМАНОВИЧ</x:v>
      </x:c>
      <x:c r="C468" s="14" t="str">
        <x:v>2746811436</x:v>
      </x:c>
      <x:c r="D468" s="14" t="str">
        <x:v>Безпека / СКУД / CCTV</x:v>
      </x:c>
      <x:c r="E468" s="14" t="str">
        <x:v>Expansion discovery</x:v>
      </x:c>
      <x:c r="F468" s="14" t="str">
        <x:v>I3</x:v>
      </x:c>
      <x:c r="G468" s="14" t="n">
        <x:v>35</x:v>
      </x:c>
      <x:c r="H468" s="14" t="n">
        <x:v>1</x:v>
      </x:c>
      <x:c r="I468" s="14" t="n">
        <x:v>1</x:v>
      </x:c>
      <x:c r="J468" s="18" t="n">
        <x:v>14387.31</x:v>
      </x:c>
      <x:c r="K468" s="19" t="n">
        <x:v>46119.47239679398</x:v>
      </x:c>
      <x:c r="L468" s="19" t="n">
        <x:v>46387</x:v>
      </x:c>
      <x:c r="M468" s="15" t="str">
        <x:v>Послуги з монтажу та налагоджування системи контролю доступу по вул.Стефаника,2</x:v>
      </x:c>
      <x:c r="N468" s="15" t="str">
        <x:v>https://prozorro.gov.ua/tender/UA-2026-04-07-008585-a</x:v>
      </x:c>
    </x:row>
    <x:row r="469">
      <x:c r="A469" s="14" t="n">
        <x:v>465</x:v>
      </x:c>
      <x:c r="B469" s="14" t="str">
        <x:v>ГАВРИЩУК ТЕТЯНА ЯРОСЛАВІВНА</x:v>
      </x:c>
      <x:c r="C469" s="14" t="str">
        <x:v>2964801488</x:v>
      </x:c>
      <x:c r="D469" s="14" t="str">
        <x:v>HVAC / ОВіК</x:v>
      </x:c>
      <x:c r="E469" s="14" t="str">
        <x:v>Pilot now</x:v>
      </x:c>
      <x:c r="F469" s="14" t="str">
        <x:v>I3</x:v>
      </x:c>
      <x:c r="G469" s="14" t="n">
        <x:v>35</x:v>
      </x:c>
      <x:c r="H469" s="14" t="n">
        <x:v>1</x:v>
      </x:c>
      <x:c r="I469" s="14" t="n">
        <x:v>1</x:v>
      </x:c>
      <x:c r="J469" s="18" t="n">
        <x:v>21058</x:v>
      </x:c>
      <x:c r="K469" s="19" t="n">
        <x:v>46092.52821265046</x:v>
      </x:c>
      <x:c r="L469" s="19" t="n">
        <x:v>46387</x:v>
      </x:c>
      <x:c r="M469" s="15" t="str">
        <x:v>Монтаж обладнання для системи вентиляції повітря</x:v>
      </x:c>
      <x:c r="N469" s="15" t="str">
        <x:v>https://prozorro.gov.ua/tender/UA-2026-03-11-009469-a</x:v>
      </x:c>
    </x:row>
    <x:row r="470">
      <x:c r="A470" s="14" t="n">
        <x:v>466</x:v>
      </x:c>
      <x:c r="B470" s="14" t="str">
        <x:v>МАКОВІЙ ОЛЕКСАНДР ВІКТОРОВИЧ</x:v>
      </x:c>
      <x:c r="C470" s="14" t="str">
        <x:v>3225620512</x:v>
      </x:c>
      <x:c r="D470" s="14" t="str">
        <x:v>Електромонтаж</x:v>
      </x:c>
      <x:c r="E470" s="14" t="str">
        <x:v>Pilot now</x:v>
      </x:c>
      <x:c r="F470" s="14" t="str">
        <x:v>I3</x:v>
      </x:c>
      <x:c r="G470" s="14" t="n">
        <x:v>35</x:v>
      </x:c>
      <x:c r="H470" s="14" t="n">
        <x:v>1</x:v>
      </x:c>
      <x:c r="I470" s="14" t="n">
        <x:v>1</x:v>
      </x:c>
      <x:c r="J470" s="18" t="n">
        <x:v>22315</x:v>
      </x:c>
      <x:c r="K470" s="19" t="n">
        <x:v>46055.277131284725</x:v>
      </x:c>
      <x:c r="L470" s="19" t="n">
        <x:v>46387</x:v>
      </x:c>
      <x:c r="M470" s="15" t="str">
        <x:v>Послуги щодо виконання електровимірювальних робіт (Вимірювання опору заземлюючих пристроїв електроустановок; визначення повного опору петлі "фаза-нуль" шляхом виміру повного опору петлі "фаза-нульовий захисний провідник" та узгодження параметрів ланцюга "фаза-нуль" з характеристиками пристроїв автоматичного відключення живлення; перевірка працездатності пристроїв захисного відключення; вимірювання перехідного опору між заземлюючими пристроями та елементами заземлення електроустановок; вимірювання опору їзоляції електрообладнання та електромереж)</x:v>
      </x:c>
      <x:c r="N470" s="15" t="str">
        <x:v>https://prozorro.gov.ua/tender/UA-2026-02-02-000218-a</x:v>
      </x:c>
    </x:row>
    <x:row r="471">
      <x:c r="A471" s="14" t="n">
        <x:v>467</x:v>
      </x:c>
      <x:c r="B471" s="14" t="str">
        <x:v>РУМЯНЦЕВ РУСЛАН СЕРГІЙОВИЧ</x:v>
      </x:c>
      <x:c r="C471" s="14" t="str">
        <x:v>2858401831</x:v>
      </x:c>
      <x:c r="D471" s="14" t="str">
        <x:v>HVAC / ОВіК</x:v>
      </x:c>
      <x:c r="E471" s="14" t="str">
        <x:v>Pilot now</x:v>
      </x:c>
      <x:c r="F471" s="14" t="str">
        <x:v>I3</x:v>
      </x:c>
      <x:c r="G471" s="14" t="n">
        <x:v>35</x:v>
      </x:c>
      <x:c r="H471" s="14" t="n">
        <x:v>1</x:v>
      </x:c>
      <x:c r="I471" s="14" t="n">
        <x:v>1</x:v>
      </x:c>
      <x:c r="J471" s="18" t="n">
        <x:v>99520</x:v>
      </x:c>
      <x:c r="K471" s="19" t="n">
        <x:v>46086.51481393519</x:v>
      </x:c>
      <x:c r="L471" s="19" t="n">
        <x:v>46387</x:v>
      </x:c>
      <x:c r="M471" s="15" t="str">
        <x:v>Послуги з монтажу та демонтажу стояків системи опалення та радіаторів в приміщенні за адресою: Харківська область, Чугуївський район, м.Зміїв, вул.Бутівська, буд.5 </x:v>
      </x:c>
      <x:c r="N471" s="15" t="str">
        <x:v>https://prozorro.gov.ua/tender/UA-2026-03-05-009153-a</x:v>
      </x:c>
    </x:row>
    <x:row r="472">
      <x:c r="A472" s="14" t="n">
        <x:v>468</x:v>
      </x:c>
      <x:c r="B472" s="14" t="str">
        <x:v>ФОП "Іванов Р.О."</x:v>
      </x:c>
      <x:c r="C472" s="14" t="str">
        <x:v>2645312176</x:v>
      </x:c>
      <x:c r="D472" s="14" t="str">
        <x:v>Промисловий холод</x:v>
      </x:c>
      <x:c r="E472" s="14" t="str">
        <x:v>Expansion discovery</x:v>
      </x:c>
      <x:c r="F472" s="14" t="str">
        <x:v>I3</x:v>
      </x:c>
      <x:c r="G472" s="14" t="n">
        <x:v>35</x:v>
      </x:c>
      <x:c r="H472" s="14" t="n">
        <x:v>1</x:v>
      </x:c>
      <x:c r="I472" s="14" t="n">
        <x:v>1</x:v>
      </x:c>
      <x:c r="J472" s="18" t="n">
        <x:v>11500</x:v>
      </x:c>
      <x:c r="K472" s="19" t="n">
        <x:v>46084.31268465278</x:v>
      </x:c>
      <x:c r="L472" s="19" t="n">
        <x:v>46377.31267361111</x:v>
      </x:c>
      <x:c r="M472" s="15" t="str">
        <x:v>Монтаж та технічне обслуговування холодильного обладнання (холодильний кулбаїн Olmo ECO-COOL S3.1k).</x:v>
      </x:c>
      <x:c r="N472" s="15" t="str">
        <x:v>https://prozorro.gov.ua/tender/UA-2026-03-03-000950-a</x:v>
      </x:c>
    </x:row>
    <x:row r="473">
      <x:c r="A473" s="14" t="n">
        <x:v>469</x:v>
      </x:c>
      <x:c r="B473" s="14" t="str">
        <x:v>ФОП "МЕРЕЖКО МИКИТА АНДРІЙОВИЧ"</x:v>
      </x:c>
      <x:c r="C473" s="14" t="str">
        <x:v>3408617498</x:v>
      </x:c>
      <x:c r="D473" s="14" t="str">
        <x:v>Промисловий холод</x:v>
      </x:c>
      <x:c r="E473" s="14" t="str">
        <x:v>Expansion discovery</x:v>
      </x:c>
      <x:c r="F473" s="14" t="str">
        <x:v>I3</x:v>
      </x:c>
      <x:c r="G473" s="14" t="n">
        <x:v>35</x:v>
      </x:c>
      <x:c r="H473" s="14" t="n">
        <x:v>1</x:v>
      </x:c>
      <x:c r="I473" s="14" t="n">
        <x:v>1</x:v>
      </x:c>
      <x:c r="J473" s="18" t="n">
        <x:v>600000</x:v>
      </x:c>
      <x:c r="K473" s="19" t="n">
        <x:v>46014.59971059028</x:v>
      </x:c>
      <x:c r="L473" s="19" t="n">
        <x:v>46387</x:v>
      </x:c>
      <x:c r="M473" s="15" t="str">
        <x:v>Строкове платне користування обладнанням та роботи з його монтажу (ДК: 42510000-4: Теплообмінники, кондиціонери повітря, холодильне обладнання та фільтрувальні пристрої).</x:v>
      </x:c>
      <x:c r="N473" s="15" t="str">
        <x:v>https://prozorro.gov.ua/tender/UA-2025-12-15-018436-a</x:v>
      </x:c>
    </x:row>
    <x:row r="474">
      <x:c r="A474" s="14" t="n">
        <x:v>470</x:v>
      </x:c>
      <x:c r="B474" s="14" t="str">
        <x:v>ФОП Бортнік Роман Андрійович</x:v>
      </x:c>
      <x:c r="C474" s="14" t="str">
        <x:v>3376707477</x:v>
      </x:c>
      <x:c r="D474" s="14" t="str">
        <x:v>Сонячна енергетика</x:v>
      </x:c>
      <x:c r="E474" s="14" t="str">
        <x:v>Expansion discovery</x:v>
      </x:c>
      <x:c r="F474" s="14" t="str">
        <x:v>I3</x:v>
      </x:c>
      <x:c r="G474" s="14" t="n">
        <x:v>35</x:v>
      </x:c>
      <x:c r="H474" s="14" t="n">
        <x:v>1</x:v>
      </x:c>
      <x:c r="I474" s="14" t="n">
        <x:v>1</x:v>
      </x:c>
      <x:c r="J474" s="18" t="n">
        <x:v>99000</x:v>
      </x:c>
      <x:c r="K474" s="19" t="n">
        <x:v>46030.520002083336</x:v>
      </x:c>
      <x:c r="L474" s="19" t="n">
        <x:v>46387.52075231481</x:v>
      </x:c>
      <x:c r="M474" s="15" t="str">
        <x:v>Послуги монтажу  сонячної електростанції</x:v>
      </x:c>
      <x:c r="N474" s="15" t="str">
        <x:v>https://prozorro.gov.ua/tender/UA-2026-01-08-004937-a</x:v>
      </x:c>
    </x:row>
    <x:row r="475">
      <x:c r="A475" s="14" t="n">
        <x:v>471</x:v>
      </x:c>
      <x:c r="B475" s="14" t="str">
        <x:v>ФОП Дзюба Олександр Володимирович</x:v>
      </x:c>
      <x:c r="C475" s="14" t="str">
        <x:v>3017110871</x:v>
      </x:c>
      <x:c r="D475" s="14" t="str">
        <x:v>Промисловий холод</x:v>
      </x:c>
      <x:c r="E475" s="14" t="str">
        <x:v>Expansion discovery</x:v>
      </x:c>
      <x:c r="F475" s="14" t="str">
        <x:v>I3</x:v>
      </x:c>
      <x:c r="G475" s="14" t="n">
        <x:v>35</x:v>
      </x:c>
      <x:c r="H475" s="14" t="n">
        <x:v>1</x:v>
      </x:c>
      <x:c r="I475" s="14" t="n">
        <x:v>1</x:v>
      </x:c>
      <x:c r="J475" s="18" t="n">
        <x:v>98064</x:v>
      </x:c>
      <x:c r="K475" s="19" t="n">
        <x:v>46105.356499421294</x:v>
      </x:c>
      <x:c r="L475" s="19" t="n">
        <x:v>46387.35738425926</x:v>
      </x:c>
      <x:c r="M475" s="15" t="str">
        <x:v>Послуги з монтажу/демонтажу холодильного обладнання</x:v>
      </x:c>
      <x:c r="N475" s="15" t="str">
        <x:v>https://prozorro.gov.ua/tender/UA-2026-03-24-003055-a</x:v>
      </x:c>
    </x:row>
    <x:row r="476">
      <x:c r="A476" s="14" t="n">
        <x:v>472</x:v>
      </x:c>
      <x:c r="B476" s="14" t="str">
        <x:v>ФОП Ковальчук П. Я.</x:v>
      </x:c>
      <x:c r="C476" s="14" t="str">
        <x:v>3529106677</x:v>
      </x:c>
      <x:c r="D476" s="14" t="str">
        <x:v>Мости / інфраструктура</x:v>
      </x:c>
      <x:c r="E476" s="14" t="str">
        <x:v>Expansion discovery</x:v>
      </x:c>
      <x:c r="F476" s="14" t="str">
        <x:v>I3</x:v>
      </x:c>
      <x:c r="G476" s="14" t="n">
        <x:v>35</x:v>
      </x:c>
      <x:c r="H476" s="14" t="n">
        <x:v>1</x:v>
      </x:c>
      <x:c r="I476" s="14" t="n">
        <x:v>1</x:v>
      </x:c>
      <x:c r="J476" s="18" t="n">
        <x:v>18700</x:v>
      </x:c>
      <x:c r="K476" s="19" t="n">
        <x:v>46129.35597673611</x:v>
      </x:c>
      <x:c r="L476" s="19" t="n">
        <x:v>46387.39959490741</x:v>
      </x:c>
      <x:c r="M476" s="15" t="str">
        <x:v>Ремонт заднього моста автобуса KING LONG</x:v>
      </x:c>
      <x:c r="N476" s="15" t="str">
        <x:v>https://prozorro.gov.ua/tender/UA-2026-04-17-004350-a</x:v>
      </x:c>
    </x:row>
    <x:row r="477">
      <x:c r="A477" s="14" t="n">
        <x:v>473</x:v>
      </x:c>
      <x:c r="B477" s="14" t="str">
        <x:v>КУЛЬЧИЦЬКИЙ ВОЛОДИМИР БОГДАНОВИЧ</x:v>
      </x:c>
      <x:c r="C477" s="14" t="str">
        <x:v>2497618018</x:v>
      </x:c>
      <x:c r="D477" s="14" t="str">
        <x:v>ГНБ / безтраншейні роботи</x:v>
      </x:c>
      <x:c r="E477" s="14" t="str">
        <x:v>Expansion discovery</x:v>
      </x:c>
      <x:c r="F477" s="14" t="str">
        <x:v>I3</x:v>
      </x:c>
      <x:c r="G477" s="14" t="n">
        <x:v>35</x:v>
      </x:c>
      <x:c r="H477" s="14" t="n">
        <x:v>2</x:v>
      </x:c>
      <x:c r="I477" s="14" t="n">
        <x:v>0</x:v>
      </x:c>
      <x:c r="J477" s="18" t="n">
        <x:v>902371.44</x:v>
      </x:c>
      <x:c r="K477" s="19" t="n">
        <x:v>45987.40705403935</x:v>
      </x:c>
      <x:c r="L477" s="19" t="n">
        <x:v>46022</x:v>
      </x:c>
      <x:c r="M477" s="15" t="str">
        <x:v>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x:v>
      </x:c>
      <x:c r="N477" s="15" t="str">
        <x:v>https://prozorro.gov.ua/tender/UA-2025-11-26-006530-a</x:v>
      </x:c>
    </x:row>
    <x:row r="478">
      <x:c r="A478" s="14" t="n">
        <x:v>474</x:v>
      </x:c>
      <x:c r="B478" s="14" t="str">
        <x:v>ПОДОЛЯКА АНАТОЛІЙ МИКОЛАЙОВИЧ</x:v>
      </x:c>
      <x:c r="C478" s="14" t="str">
        <x:v>2099304597</x:v>
      </x:c>
      <x:c r="D478" s="14" t="str">
        <x:v>Електромонтаж</x:v>
      </x:c>
      <x:c r="E478" s="14" t="str">
        <x:v>Pilot now</x:v>
      </x:c>
      <x:c r="F478" s="14" t="str">
        <x:v>I3</x:v>
      </x:c>
      <x:c r="G478" s="14" t="n">
        <x:v>35</x:v>
      </x:c>
      <x:c r="H478" s="14" t="n">
        <x:v>2</x:v>
      </x:c>
      <x:c r="I478" s="14" t="n">
        <x:v>0</x:v>
      </x:c>
      <x:c r="J478" s="18" t="n">
        <x:v>8300</x:v>
      </x:c>
      <x:c r="K478" s="19" t="n">
        <x:v>46031.57680336806</x:v>
      </x:c>
      <x:c r="L478" s="19" t="n">
        <x:v>46053</x:v>
      </x:c>
      <x:c r="M478" s="15" t="str">
        <x:v>ДК 021:2015: 71630000-3 Послуги з технічного огляду та випробовувань (електровимірювальні роботи (ЕР) по вимірюванню опору: контуру заземлення блискавозахисту та виготовлення паспорту блискавозахисту)</x:v>
      </x:c>
      <x:c r="N478" s="15" t="str">
        <x:v>https://prozorro.gov.ua/tender/UA-2026-01-09-007123-a</x:v>
      </x:c>
    </x:row>
    <x:row r="479">
      <x:c r="A479" s="14" t="n">
        <x:v>475</x:v>
      </x:c>
      <x:c r="B479" s="14" t="str">
        <x:v>ПРИВАТНЕ ПІДПРИЄМСТВО "ІНСТАЛ ГРУП"</x:v>
      </x:c>
      <x:c r="C479" s="14" t="str">
        <x:v>39812602</x:v>
      </x:c>
      <x:c r="D479" s="14" t="str">
        <x:v>Резервне живлення</x:v>
      </x:c>
      <x:c r="E479" s="14" t="str">
        <x:v>Expansion discovery</x:v>
      </x:c>
      <x:c r="F479" s="14" t="str">
        <x:v>I3</x:v>
      </x:c>
      <x:c r="G479" s="14" t="n">
        <x:v>35</x:v>
      </x:c>
      <x:c r="H479" s="14" t="n">
        <x:v>3</x:v>
      </x:c>
      <x:c r="I479" s="14" t="n">
        <x:v>0</x:v>
      </x:c>
      <x:c r="J479" s="18" t="n">
        <x:v>46000</x:v>
      </x:c>
      <x:c r="K479" s="19" t="n">
        <x:v>46001.31072509259</x:v>
      </x:c>
      <x:c r="L479" s="19" t="n">
        <x:v>46022.31108796296</x:v>
      </x:c>
      <x:c r="M479" s="15" t="str">
        <x:v>Електромонтажні роботи (послуги з монтажу системи безперебійного живлення)</x:v>
      </x:c>
      <x:c r="N479" s="15" t="str">
        <x:v>https://prozorro.gov.ua/tender/UA-2025-12-10-001371-a</x:v>
      </x:c>
    </x:row>
    <x:row r="480">
      <x:c r="A480" s="14" t="n">
        <x:v>476</x:v>
      </x:c>
      <x:c r="B480" s="14" t="str">
        <x:v>ПП "Компанія Інсталбуд"</x:v>
      </x:c>
      <x:c r="C480" s="14" t="str">
        <x:v>33465397</x:v>
      </x:c>
      <x:c r="D480" s="14" t="str">
        <x:v>ГНБ / безтраншейні роботи</x:v>
      </x:c>
      <x:c r="E480" s="14" t="str">
        <x:v>Expansion discovery</x:v>
      </x:c>
      <x:c r="F480" s="14" t="str">
        <x:v>I3</x:v>
      </x:c>
      <x:c r="G480" s="14" t="n">
        <x:v>34</x:v>
      </x:c>
      <x:c r="H480" s="14" t="n">
        <x:v>2</x:v>
      </x:c>
      <x:c r="I480" s="14" t="n">
        <x:v>0</x:v>
      </x:c>
      <x:c r="J480" s="18" t="n">
        <x:v>148476.78</x:v>
      </x:c>
      <x:c r="K480" s="19" t="n">
        <x:v>45902.35470488426</x:v>
      </x:c>
      <x:c r="L480" s="19" t="n">
        <x:v>45930.35290509259</x:v>
      </x:c>
      <x:c r="M480" s="15" t="str">
        <x:v>Поточний ремонт водопроводу по вул. Сокальська, 2 в м.Шептицький Львівської області (Перехід доріг методом горизонтально-направленого буріння)</x:v>
      </x:c>
      <x:c r="N480" s="15" t="str">
        <x:v>https://prozorro.gov.ua/tender/UA-2025-09-02-003676-a</x:v>
      </x:c>
    </x:row>
    <x:row r="481">
      <x:c r="A481" s="14" t="n">
        <x:v>477</x:v>
      </x:c>
      <x:c r="B481" s="14" t="str">
        <x:v>ТОВАРИСТВО З ОБМЕЖЕНОЮ ВІД­ПО­ВІД­АЛЬ­НІ­СТЮ «БУДІВЕЛЬНІ СПОРУДИ МІСТА»</x:v>
      </x:c>
      <x:c r="C481" s="14" t="str">
        <x:v>43037877</x:v>
      </x:c>
      <x:c r="D481" s="14" t="str">
        <x:v>ГНБ / безтраншейні роботи</x:v>
      </x:c>
      <x:c r="E481" s="14" t="str">
        <x:v>Expansion discovery</x:v>
      </x:c>
      <x:c r="F481" s="14" t="str">
        <x:v>I3</x:v>
      </x:c>
      <x:c r="G481" s="14" t="n">
        <x:v>34</x:v>
      </x:c>
      <x:c r="H481" s="14" t="n">
        <x:v>2</x:v>
      </x:c>
      <x:c r="I481" s="14" t="n">
        <x:v>0</x:v>
      </x:c>
      <x:c r="J481" s="18" t="n">
        <x:v>333690</x:v>
      </x:c>
      <x:c r="K481" s="19" t="n">
        <x:v>46009.57103386574</x:v>
      </x:c>
      <x:c r="L481" s="19" t="n">
        <x:v>46010</x:v>
      </x:c>
      <x:c r="M481" s="15" t="str">
        <x:v>Поточний ремонт частини водопроводу по вул. Житомирська, 85 методом горизонтально-направленого буріння в м. Звягель Житомирської області</x:v>
      </x:c>
      <x:c r="N481" s="15" t="str">
        <x:v>https://prozorro.gov.ua/tender/UA-2025-12-18-018759-a</x:v>
      </x:c>
    </x:row>
    <x:row r="482">
      <x:c r="A482" s="14" t="n">
        <x:v>478</x:v>
      </x:c>
      <x:c r="B482" s="14" t="str">
        <x:v>ФОП АЛФІМОВ ІГОР ДМИТРОВИЧ</x:v>
      </x:c>
      <x:c r="C482" s="14" t="str">
        <x:v>3413506156</x:v>
      </x:c>
      <x:c r="D482" s="14" t="str">
        <x:v>Електромонтаж</x:v>
      </x:c>
      <x:c r="E482" s="14" t="str">
        <x:v>Pilot now</x:v>
      </x:c>
      <x:c r="F482" s="14" t="str">
        <x:v>I3</x:v>
      </x:c>
      <x:c r="G482" s="14" t="n">
        <x:v>34</x:v>
      </x:c>
      <x:c r="H482" s="14" t="n">
        <x:v>1</x:v>
      </x:c>
      <x:c r="I482" s="14" t="n">
        <x:v>0</x:v>
      </x:c>
      <x:c r="J482" s="18" t="n">
        <x:v>198569.6</x:v>
      </x:c>
      <x:c r="K482" s="19" t="n">
        <x:v>46133.36862380787</x:v>
      </x:c>
      <x:c r="L482" s="19" t="n">
        <x:v>46157</x:v>
      </x:c>
      <x:c r="M482" s="15" t="str">
        <x:v>ДК 021:2015 код 45310000-3 Електромонтажні роботи (Поточний ремонт внутрішніх електричних мереж Козирського ліцею, що розташований за адресою: Миколаївський район, Миколаївська область, село Козирка, вул. Шкільна, 1-В - ДК 021:2015 код 45311100-1 Монтаж електропроводки) </x:v>
      </x:c>
      <x:c r="N482" s="15" t="str">
        <x:v>https://prozorro.gov.ua/tender/UA-2026-04-21-004189-a</x:v>
      </x:c>
    </x:row>
    <x:row r="483">
      <x:c r="A483" s="14" t="n">
        <x:v>479</x:v>
      </x:c>
      <x:c r="B483" s="14" t="str">
        <x:v>ДЕРЖАВНЕ ПІДПРИЄМСТВО "ЖИЛКОМ"</x:v>
      </x:c>
      <x:c r="C483" s="14" t="str">
        <x:v>32350021</x:v>
      </x:c>
      <x:c r="D483" s="14" t="str">
        <x:v>Зовнішні мережі</x:v>
      </x:c>
      <x:c r="E483" s="14" t="str">
        <x:v>Expansion discovery</x:v>
      </x:c>
      <x:c r="F483" s="14" t="str">
        <x:v>I3</x:v>
      </x:c>
      <x:c r="G483" s="14" t="n">
        <x:v>33</x:v>
      </x:c>
      <x:c r="H483" s="14" t="n">
        <x:v>1</x:v>
      </x:c>
      <x:c r="I483" s="14" t="n">
        <x:v>0</x:v>
      </x:c>
      <x:c r="J483" s="18" t="n">
        <x:v>74966.69</x:v>
      </x:c>
      <x:c r="K483" s="19" t="n">
        <x:v>46121.44054548611</x:v>
      </x:c>
      <x:c r="L483" s="19" t="n">
        <x:v>46151</x:v>
      </x:c>
      <x:c r="M483" s="15" t="str">
        <x:v>Роботи на виконання експертизи проєкту будівництва: “Нове будівництво зовнішніх інженерних мереж електропостачання, військове містечко № 7, с. Тетерівка, Житомирська обл.”</x:v>
      </x:c>
      <x:c r="N483" s="15" t="str">
        <x:v>https://prozorro.gov.ua/tender/UA-2026-04-09-006861-a</x:v>
      </x:c>
    </x:row>
    <x:row r="484">
      <x:c r="A484" s="14" t="n">
        <x:v>480</x:v>
      </x:c>
      <x:c r="B484" s="14" t="str">
        <x:v>ПП "ЕВЕРЕСТ О"</x:v>
      </x:c>
      <x:c r="C484" s="14" t="str">
        <x:v>36274877</x:v>
      </x:c>
      <x:c r="D484" s="14" t="str">
        <x:v>Газопостачання / котельні</x:v>
      </x:c>
      <x:c r="E484" s="14" t="str">
        <x:v>Expansion discovery</x:v>
      </x:c>
      <x:c r="F484" s="14" t="str">
        <x:v>I3</x:v>
      </x:c>
      <x:c r="G484" s="14" t="n">
        <x:v>33</x:v>
      </x:c>
      <x:c r="H484" s="14" t="n">
        <x:v>1</x:v>
      </x:c>
      <x:c r="I484" s="14" t="n">
        <x:v>0</x:v>
      </x:c>
      <x:c r="J484" s="18" t="n">
        <x:v>8599.2</x:v>
      </x:c>
      <x:c r="K484" s="19" t="n">
        <x:v>46113.30135084491</x:v>
      </x:c>
      <x:c r="L484" s="19" t="n">
        <x:v>46154.302199074074</x:v>
      </x:c>
      <x:c r="M484" s="15" t="str">
        <x:v>Послуги з демонтажу, ремонту та монтажу протипожежного обладнання на котельні в м. Кременчуці</x:v>
      </x:c>
      <x:c r="N484" s="15" t="str">
        <x:v>https://prozorro.gov.ua/tender/UA-2026-04-01-001928-a</x:v>
      </x:c>
    </x:row>
    <x:row r="485">
      <x:c r="A485" s="14" t="n">
        <x:v>481</x:v>
      </x:c>
      <x:c r="B485" s="14" t="str">
        <x:v>ПрАТ Львівське спеціалізоване будівельно-монтажне управління №1</x:v>
      </x:c>
      <x:c r="C485" s="14" t="str">
        <x:v>03335511</x:v>
      </x:c>
      <x:c r="D485" s="14" t="str">
        <x:v>ГНБ / безтраншейні роботи</x:v>
      </x:c>
      <x:c r="E485" s="14" t="str">
        <x:v>Expansion discovery</x:v>
      </x:c>
      <x:c r="F485" s="14" t="str">
        <x:v>I3</x:v>
      </x:c>
      <x:c r="G485" s="14" t="n">
        <x:v>33</x:v>
      </x:c>
      <x:c r="H485" s="14" t="n">
        <x:v>1</x:v>
      </x:c>
      <x:c r="I485" s="14" t="n">
        <x:v>0</x:v>
      </x:c>
      <x:c r="J485" s="18" t="n">
        <x:v>571026.58</x:v>
      </x:c>
      <x:c r="K485" s="19" t="n">
        <x:v>45908.623008194445</x:v>
      </x:c>
      <x:c r="L485" s="19" t="n">
        <x:v>46022</x:v>
      </x:c>
      <x:c r="M485" s="15" t="str">
        <x:v>Виконання робіт по об’єкту: ««Реконструкція напірних колекторів від КНС "Кільцева" в м. Винники до КОС». Коригування» (Перетин автомобільної дороги методом горизонтально направленого буріння)»</x:v>
      </x:c>
      <x:c r="N485" s="15" t="str">
        <x:v>https://prozorro.gov.ua/tender/UA-2025-08-18-011728-a</x:v>
      </x:c>
    </x:row>
    <x:row r="486">
      <x:c r="A486" s="14" t="n">
        <x:v>482</x:v>
      </x:c>
      <x:c r="B486" s="14" t="str">
        <x:v>ТОВ "ВІННИЦЯ БЛАГОУСТРІЙ"</x:v>
      </x:c>
      <x:c r="C486" s="14" t="str">
        <x:v>41164193</x:v>
      </x:c>
      <x:c r="D486" s="14" t="str">
        <x:v>ГНБ / безтраншейні роботи</x:v>
      </x:c>
      <x:c r="E486" s="14" t="str">
        <x:v>Expansion discovery</x:v>
      </x:c>
      <x:c r="F486" s="14" t="str">
        <x:v>I3</x:v>
      </x:c>
      <x:c r="G486" s="14" t="n">
        <x:v>33</x:v>
      </x:c>
      <x:c r="H486" s="14" t="n">
        <x:v>1</x:v>
      </x:c>
      <x:c r="I486" s="14" t="n">
        <x:v>0</x:v>
      </x:c>
      <x:c r="J486" s="18" t="n">
        <x:v>850235.84</x:v>
      </x:c>
      <x:c r="K486" s="19" t="n">
        <x:v>46000.647910300926</x:v>
      </x:c>
      <x:c r="L486" s="19" t="n">
        <x:v>46016</x:v>
      </x:c>
      <x:c r="M486" s="15" t="str">
        <x:v>Супутні роботи: благоустрій території – облаштування тротуарів та пандусів, острівця безпеки на розділовій смузі дороги; облаштування регульованого пішохідного переходу – прокол (горизонтально направлене буріння) по капітальному ремонту об’єкту: «Облаштування регульованого пішохідного переходу через вул. Барське шосе в районі зупинки міського пасажирського транспорту «вул. Стельмаха» в м. Вінниці» за кодом ДК 021:2015 Єдиного закупівельного словника 45450000-6 Інші завершальні будівельні роботи (45453000-7 Капітальний ремонт і реставрація).</x:v>
      </x:c>
      <x:c r="N486" s="15" t="str">
        <x:v>https://prozorro.gov.ua/tender/UA-2025-11-28-001410-a</x:v>
      </x:c>
    </x:row>
    <x:row r="487">
      <x:c r="A487" s="14" t="n">
        <x:v>483</x:v>
      </x:c>
      <x:c r="B487" s="14" t="str">
        <x:v>ТОВ "Ротор-24"</x:v>
      </x:c>
      <x:c r="C487" s="14" t="str">
        <x:v>44505709</x:v>
      </x:c>
      <x:c r="D487" s="14" t="str">
        <x:v>Електромонтаж</x:v>
      </x:c>
      <x:c r="E487" s="14" t="str">
        <x:v>Pilot now</x:v>
      </x:c>
      <x:c r="F487" s="14" t="str">
        <x:v>I3</x:v>
      </x:c>
      <x:c r="G487" s="14" t="n">
        <x:v>33</x:v>
      </x:c>
      <x:c r="H487" s="14" t="n">
        <x:v>1</x:v>
      </x:c>
      <x:c r="I487" s="14" t="n">
        <x:v>0</x:v>
      </x:c>
      <x:c r="J487" s="18" t="n">
        <x:v>15630</x:v>
      </x:c>
      <x:c r="K487" s="19" t="n">
        <x:v>46119.39454677083</x:v>
      </x:c>
      <x:c r="L487" s="19" t="n">
        <x:v>46122</x:v>
      </x:c>
      <x:c r="M487" s="15" t="str">
        <x:v>Електровимірювальні роботи (вимірювння опору заземлення та ізоляції- за адресою:  вул.Лаврська 9 , корп. 24,26 та по вул. Велика Всильківська, 121 )</x:v>
      </x:c>
      <x:c r="N487" s="15" t="str">
        <x:v>https://prozorro.gov.ua/tender/UA-2026-04-07-006143-a</x:v>
      </x:c>
    </x:row>
    <x:row r="488">
      <x:c r="A488" s="14" t="n">
        <x:v>484</x:v>
      </x:c>
      <x:c r="B488" s="14" t="str">
        <x:v>Товариство з додатковою відповідальністю "БЗКУ АРДЕНЗ"</x:v>
      </x:c>
      <x:c r="C488" s="14" t="str">
        <x:v>05495354</x:v>
      </x:c>
      <x:c r="D488" s="14" t="str">
        <x:v>Газопостачання / котельні</x:v>
      </x:c>
      <x:c r="E488" s="14" t="str">
        <x:v>Expansion discovery</x:v>
      </x:c>
      <x:c r="F488" s="14" t="str">
        <x:v>I3</x:v>
      </x:c>
      <x:c r="G488" s="14" t="n">
        <x:v>33</x:v>
      </x:c>
      <x:c r="H488" s="14" t="n">
        <x:v>1</x:v>
      </x:c>
      <x:c r="I488" s="14" t="n">
        <x:v>0</x:v>
      </x:c>
      <x:c r="J488" s="18" t="n">
        <x:v>55392</x:v>
      </x:c>
      <x:c r="K488" s="19" t="n">
        <x:v>46106.40369903935</x:v>
      </x:c>
      <x:c r="L488" s="19" t="n">
        <x:v>46136.362662037034</x:v>
      </x:c>
      <x:c r="M488" s="15" t="str">
        <x:v>Послуги з монтажу та технологічне налагодження котельного обладнання, що розташоване в котельні за адресою м.Шостка, вул. Заводська,30</x:v>
      </x:c>
      <x:c r="N488" s="15" t="str">
        <x:v>https://prozorro.gov.ua/tender/UA-2026-03-25-004989-a</x:v>
      </x:c>
    </x:row>
    <x:row r="489">
      <x:c r="A489" s="14" t="n">
        <x:v>485</x:v>
      </x:c>
      <x:c r="B489" s="14" t="str">
        <x:v>ТОВАРИСТВО З ОБМЕЖЕНОЮ ВІДПОВІДАЛЬНІСТЮ "ВЕТО"</x:v>
      </x:c>
      <x:c r="C489" s="14" t="str">
        <x:v>32653295</x:v>
      </x:c>
      <x:c r="D489" s="14" t="str">
        <x:v>Пожежогасіння</x:v>
      </x:c>
      <x:c r="E489" s="14" t="str">
        <x:v>Expansion discovery</x:v>
      </x:c>
      <x:c r="F489" s="14" t="str">
        <x:v>I3</x:v>
      </x:c>
      <x:c r="G489" s="14" t="n">
        <x:v>33</x:v>
      </x:c>
      <x:c r="H489" s="14" t="n">
        <x:v>1</x:v>
      </x:c>
      <x:c r="I489" s="14" t="n">
        <x:v>0</x:v>
      </x:c>
      <x:c r="J489" s="18" t="n">
        <x:v>28128</x:v>
      </x:c>
      <x:c r="K489" s="19" t="n">
        <x:v>46122.36283795139</x:v>
      </x:c>
      <x:c r="L489" s="19" t="n">
        <x:v>46142</x:v>
      </x:c>
      <x:c r="M489" s="15" t="str">
        <x:v>Роботи з монтажу і наладки засобів системи пожежної сигналізації </x:v>
      </x:c>
      <x:c r="N489" s="15" t="str">
        <x:v>https://prozorro.gov.ua/tender/UA-2026-04-10-004562-a</x:v>
      </x:c>
    </x:row>
    <x:row r="490">
      <x:c r="A490" s="14" t="n">
        <x:v>486</x:v>
      </x:c>
      <x:c r="B490" s="14" t="str">
        <x:v>УПРАВЛІННЯ ПОЛІЦІЇ ОХОРОНИ В КИЇВСЬКІЙ ОБЛАСТІ</x:v>
      </x:c>
      <x:c r="C490" s="14" t="str">
        <x:v>40109063</x:v>
      </x:c>
      <x:c r="D490" s="14" t="str">
        <x:v>Газопостачання / котельні</x:v>
      </x:c>
      <x:c r="E490" s="14" t="str">
        <x:v>Expansion discovery</x:v>
      </x:c>
      <x:c r="F490" s="14" t="str">
        <x:v>I3</x:v>
      </x:c>
      <x:c r="G490" s="14" t="n">
        <x:v>33</x:v>
      </x:c>
      <x:c r="H490" s="14" t="n">
        <x:v>1</x:v>
      </x:c>
      <x:c r="I490" s="14" t="n">
        <x:v>0</x:v>
      </x:c>
      <x:c r="J490" s="18" t="n">
        <x:v>88688.74</x:v>
      </x:c>
      <x:c r="K490" s="19" t="n">
        <x:v>46135.5542437037</x:v>
      </x:c>
      <x:c r="L490" s="19" t="n">
        <x:v>46172</x:v>
      </x:c>
      <x:c r="M490" s="15" t="str">
        <x:v>Монтаж, пусконалагоджування охоронно-тривожної системи сигналізації на об'єкті: котельня по вулиці Київський Шлях, 39-б; котельня по вулиці Нижній Вал, 1-а; котельня по вулиці Княгині Ольги, 1-г; котельня по вулиці Глібова, 3; котельня по вулиці Володимира Момота, 42-б; котельня по вулиці Соборна, 8-а; котельня по вулиці Привокзальна, 2-г; котельня по вулиці Соцмістечко, 242
(45310000-3	Електромонтажні роботи)</x:v>
      </x:c>
      <x:c r="N490" s="15" t="str">
        <x:v>https://prozorro.gov.ua/tender/UA-2026-04-23-013132-a</x:v>
      </x:c>
    </x:row>
    <x:row r="491">
      <x:c r="A491" s="14" t="n">
        <x:v>487</x:v>
      </x:c>
      <x:c r="B491" s="14" t="str">
        <x:v>Фізична особа підприємець Корчемлюк Володимир Васильович</x:v>
      </x:c>
      <x:c r="C491" s="14" t="str">
        <x:v>2448308158</x:v>
      </x:c>
      <x:c r="D491" s="14" t="str">
        <x:v>Електромонтаж</x:v>
      </x:c>
      <x:c r="E491" s="14" t="str">
        <x:v>Pilot now</x:v>
      </x:c>
      <x:c r="F491" s="14" t="str">
        <x:v>I3</x:v>
      </x:c>
      <x:c r="G491" s="14" t="n">
        <x:v>32</x:v>
      </x:c>
      <x:c r="H491" s="14" t="n">
        <x:v>3</x:v>
      </x:c>
      <x:c r="I491" s="14" t="n">
        <x:v>0</x:v>
      </x:c>
      <x:c r="J491" s="18" t="n">
        <x:v>74565.36</x:v>
      </x:c>
      <x:c r="K491" s="19" t="n">
        <x:v>45849.489091689815</x:v>
      </x:c>
      <x:c r="L491" s="19" t="n">
        <x:v>45905.491481481484</x:v>
      </x:c>
      <x:c r="M491" s="15" t="str">
        <x:v>Поточний ремонт системи контурів заземлення, електровимірювальні роботи із виготовленням паспортів контурів  заземлення нежитлового приміщення адмінбудинку Карпатського національного природного парку за адресою: вул. Стуса, 6, м. Яремче Івано-Франківської області.</x:v>
      </x:c>
      <x:c r="N491" s="15" t="str">
        <x:v>https://prozorro.gov.ua/tender/UA-2025-07-11-007985-a</x:v>
      </x:c>
    </x:row>
    <x:row r="492">
      <x:c r="A492" s="14" t="n">
        <x:v>488</x:v>
      </x:c>
      <x:c r="B492" s="14" t="str">
        <x:v>Фізична особа - підприємець Хрущ Сергій Володимирович</x:v>
      </x:c>
      <x:c r="C492" s="14" t="str">
        <x:v>3318711816</x:v>
      </x:c>
      <x:c r="D492" s="14" t="str">
        <x:v>Резервне живлення</x:v>
      </x:c>
      <x:c r="E492" s="14" t="str">
        <x:v>Expansion discovery</x:v>
      </x:c>
      <x:c r="F492" s="14" t="str">
        <x:v>I3</x:v>
      </x:c>
      <x:c r="G492" s="14" t="n">
        <x:v>31</x:v>
      </x:c>
      <x:c r="H492" s="14" t="n">
        <x:v>2</x:v>
      </x:c>
      <x:c r="I492" s="14" t="n">
        <x:v>0</x:v>
      </x:c>
      <x:c r="J492" s="18" t="n">
        <x:v>115260</x:v>
      </x:c>
      <x:c r="K492" s="19" t="n">
        <x:v>46014.56969240741</x:v>
      </x:c>
      <x:c r="L492" s="19" t="n">
        <x:v>46022.57048611111</x:v>
      </x:c>
      <x:c r="M492" s="15" t="str">
        <x:v>Послуги з монтажу джерел безперебійного живлення та системи резервного освітлення</x:v>
      </x:c>
      <x:c r="N492" s="15" t="str">
        <x:v>https://prozorro.gov.ua/tender/UA-2025-12-23-016856-a</x:v>
      </x:c>
    </x:row>
    <x:row r="493">
      <x:c r="A493" s="14" t="n">
        <x:v>489</x:v>
      </x:c>
      <x:c r="B493" s="14" t="str">
        <x:v>ДОБРІНОВ СЕРГІЙ ПЕТРОВИЧ</x:v>
      </x:c>
      <x:c r="C493" s="14" t="str">
        <x:v>2347816559</x:v>
      </x:c>
      <x:c r="D493" s="14" t="str">
        <x:v>Електромонтаж</x:v>
      </x:c>
      <x:c r="E493" s="14" t="str">
        <x:v>Pilot now</x:v>
      </x:c>
      <x:c r="F493" s="14" t="str">
        <x:v>I3</x:v>
      </x:c>
      <x:c r="G493" s="14" t="n">
        <x:v>30</x:v>
      </x:c>
      <x:c r="H493" s="14" t="n">
        <x:v>1</x:v>
      </x:c>
      <x:c r="I493" s="14" t="n">
        <x:v>0</x:v>
      </x:c>
      <x:c r="J493" s="18" t="n">
        <x:v>92560</x:v>
      </x:c>
      <x:c r="K493" s="19" t="n">
        <x:v>46127.52486856481</x:v>
      </x:c>
      <x:c r="L493" s="19" t="n">
        <x:v>46207</x:v>
      </x:c>
      <x:c r="M493" s="15" t="str">
        <x:v>виготовлення  проєктно-кошторисної документації  по об’єкту: «Реконструкція електричних мереж комунального підприємства «Миколаївкомунтранс» шляхом монтажу та підключення сонячної електростанції на даху з установкою зберігання енергії за адресою: 54034, м. Микола-їв, вул. Ковальська, 199»  (71320000-7 Послуги з інженерного проектування)</x:v>
      </x:c>
      <x:c r="N493" s="15" t="str">
        <x:v>https://prozorro.gov.ua/tender/UA-2026-04-15-010231-a</x:v>
      </x:c>
    </x:row>
    <x:row r="494">
      <x:c r="A494" s="14" t="n">
        <x:v>490</x:v>
      </x:c>
      <x:c r="B494" s="14" t="str">
        <x:v>НЕВАРЕНИХ ГАННА МИКОЛАЇВНА</x:v>
      </x:c>
      <x:c r="C494" s="14" t="str">
        <x:v>2515106803</x:v>
      </x:c>
      <x:c r="D494" s="14" t="str">
        <x:v>Газопостачання / котельні</x:v>
      </x:c>
      <x:c r="E494" s="14" t="str">
        <x:v>Expansion discovery</x:v>
      </x:c>
      <x:c r="F494" s="14" t="str">
        <x:v>I3</x:v>
      </x:c>
      <x:c r="G494" s="14" t="n">
        <x:v>30</x:v>
      </x:c>
      <x:c r="H494" s="14" t="n">
        <x:v>1</x:v>
      </x:c>
      <x:c r="I494" s="14" t="n">
        <x:v>0</x:v>
      </x:c>
      <x:c r="J494" s="18" t="n">
        <x:v>53694</x:v>
      </x:c>
      <x:c r="K494" s="19" t="n">
        <x:v>46104.57060160879</x:v>
      </x:c>
      <x:c r="L494" s="19" t="n">
        <x:v>46203</x:v>
      </x:c>
      <x:c r="M494" s="15" t="str">
        <x:v>Послуга аварійної заміни вхідного кабелю, монтажу виносної шафи обліку, заміни та підключення кабеля живлення в приміщенні котельні Дубровицького ЗЗСО</x:v>
      </x:c>
      <x:c r="N494" s="15" t="str">
        <x:v>https://prozorro.gov.ua/tender/UA-2026-03-23-007547-a</x:v>
      </x:c>
    </x:row>
    <x:row r="495">
      <x:c r="A495" s="14" t="n">
        <x:v>491</x:v>
      </x:c>
      <x:c r="B495" s="14" t="str">
        <x:v>ПЕТРОВ ДМИТРО ОЛЕКСАНДРОВИЧ</x:v>
      </x:c>
      <x:c r="C495" s="14" t="str">
        <x:v>2464303831</x:v>
      </x:c>
      <x:c r="D495" s="14" t="str">
        <x:v>HVAC / ОВіК</x:v>
      </x:c>
      <x:c r="E495" s="14" t="str">
        <x:v>Pilot now</x:v>
      </x:c>
      <x:c r="F495" s="14" t="str">
        <x:v>I3</x:v>
      </x:c>
      <x:c r="G495" s="14" t="n">
        <x:v>30</x:v>
      </x:c>
      <x:c r="H495" s="14" t="n">
        <x:v>1</x:v>
      </x:c>
      <x:c r="I495" s="14" t="n">
        <x:v>0</x:v>
      </x:c>
      <x:c r="J495" s="18" t="n">
        <x:v>15622.86</x:v>
      </x:c>
      <x:c r="K495" s="19" t="n">
        <x:v>46104.40357520834</x:v>
      </x:c>
      <x:c r="L495" s="19" t="n">
        <x:v>46142</x:v>
      </x:c>
      <x:c r="M495" s="15" t="str">
        <x:v>Послуги з монтажу системи вентиляції</x:v>
      </x:c>
      <x:c r="N495" s="15" t="str">
        <x:v>https://prozorro.gov.ua/tender/UA-2026-03-23-004571-a</x:v>
      </x:c>
    </x:row>
    <x:row r="496">
      <x:c r="A496" s="14" t="n">
        <x:v>492</x:v>
      </x:c>
      <x:c r="B496" s="14" t="str">
        <x:v>ПП "ЕПТ"</x:v>
      </x:c>
      <x:c r="C496" s="14" t="str">
        <x:v>37259687</x:v>
      </x:c>
      <x:c r="D496" s="14" t="str">
        <x:v>HVAC / ОВіК</x:v>
      </x:c>
      <x:c r="E496" s="14" t="str">
        <x:v>Pilot now</x:v>
      </x:c>
      <x:c r="F496" s="14" t="str">
        <x:v>I3</x:v>
      </x:c>
      <x:c r="G496" s="14" t="n">
        <x:v>30</x:v>
      </x:c>
      <x:c r="H496" s="14" t="n">
        <x:v>2</x:v>
      </x:c>
      <x:c r="I496" s="14" t="n">
        <x:v>0</x:v>
      </x:c>
      <x:c r="J496" s="18" t="n">
        <x:v>27000</x:v>
      </x:c>
      <x:c r="K496" s="19" t="n">
        <x:v>46008.39795467593</x:v>
      </x:c>
      <x:c r="L496" s="19" t="n">
        <x:v>46022.916666655095</x:v>
      </x:c>
      <x:c r="M496" s="15" t="str">
        <x:v>Монтаж витяжної системи вентиляції</x:v>
      </x:c>
      <x:c r="N496" s="15" t="str">
        <x:v>https://prozorro.gov.ua/tender/UA-2025-12-17-007470-a</x:v>
      </x:c>
    </x:row>
    <x:row r="497">
      <x:c r="A497" s="14" t="n">
        <x:v>493</x:v>
      </x:c>
      <x:c r="B497" s="14" t="str">
        <x:v>ПРИВАТНЕ ПІДПРИЄМСТВО "ПРОМТЕХВОД-Ч"</x:v>
      </x:c>
      <x:c r="C497" s="14" t="str">
        <x:v>35263361</x:v>
      </x:c>
      <x:c r="D497" s="14" t="str">
        <x:v>ГНБ / безтраншейні роботи</x:v>
      </x:c>
      <x:c r="E497" s="14" t="str">
        <x:v>Expansion discovery</x:v>
      </x:c>
      <x:c r="F497" s="14" t="str">
        <x:v>I3</x:v>
      </x:c>
      <x:c r="G497" s="14" t="n">
        <x:v>30</x:v>
      </x:c>
      <x:c r="H497" s="14" t="n">
        <x:v>2</x:v>
      </x:c>
      <x:c r="I497" s="14" t="n">
        <x:v>0</x:v>
      </x:c>
      <x:c r="J497" s="18" t="n">
        <x:v>8816.4</x:v>
      </x:c>
      <x:c r="K497" s="19" t="n">
        <x:v>45987.3591599537</x:v>
      </x:c>
      <x:c r="L497" s="19" t="n">
        <x:v>46022</x:v>
      </x:c>
      <x:c r="M497" s="15" t="str">
        <x:v>Виконання кошторисної документації об'єкту: 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x:v>
      </x:c>
      <x:c r="N497" s="15" t="str">
        <x:v>https://prozorro.gov.ua/tender/UA-2025-11-26-003686-a</x:v>
      </x:c>
    </x:row>
    <x:row r="498">
      <x:c r="A498" s="14" t="n">
        <x:v>494</x:v>
      </x:c>
      <x:c r="B498" s="14" t="str">
        <x:v>ПРИВАТНЕ ПІДПРИЄМСТВО "ТЕРМО-БУД-СЕРВІС"</x:v>
      </x:c>
      <x:c r="C498" s="14" t="str">
        <x:v>37076562</x:v>
      </x:c>
      <x:c r="D498" s="14" t="str">
        <x:v>HVAC / ОВіК</x:v>
      </x:c>
      <x:c r="E498" s="14" t="str">
        <x:v>Pilot now</x:v>
      </x:c>
      <x:c r="F498" s="14" t="str">
        <x:v>I3</x:v>
      </x:c>
      <x:c r="G498" s="14" t="n">
        <x:v>30</x:v>
      </x:c>
      <x:c r="H498" s="14" t="n">
        <x:v>2</x:v>
      </x:c>
      <x:c r="I498" s="14" t="n">
        <x:v>0</x:v>
      </x:c>
      <x:c r="J498" s="18" t="n">
        <x:v>76536</x:v>
      </x:c>
      <x:c r="K498" s="19" t="n">
        <x:v>46007.66713553241</x:v>
      </x:c>
      <x:c r="L498" s="19" t="n">
        <x:v>46010</x:v>
      </x:c>
      <x:c r="M498" s="15" t="str">
        <x:v>Монтаж системи вентиляції</x:v>
      </x:c>
      <x:c r="N498" s="15" t="str">
        <x:v>https://prozorro.gov.ua/tender/UA-2025-12-16-024067-a</x:v>
      </x:c>
    </x:row>
    <x:row r="499">
      <x:c r="A499" s="14" t="n">
        <x:v>495</x:v>
      </x:c>
      <x:c r="B499" s="14" t="str">
        <x:v>ТОВ "Гармонія сонця"</x:v>
      </x:c>
      <x:c r="C499" s="14" t="str">
        <x:v>45494756</x:v>
      </x:c>
      <x:c r="D499" s="14" t="str">
        <x:v>Резервне живлення</x:v>
      </x:c>
      <x:c r="E499" s="14" t="str">
        <x:v>Expansion discovery</x:v>
      </x:c>
      <x:c r="F499" s="14" t="str">
        <x:v>I3</x:v>
      </x:c>
      <x:c r="G499" s="14" t="n">
        <x:v>30</x:v>
      </x:c>
      <x:c r="H499" s="14" t="n">
        <x:v>2</x:v>
      </x:c>
      <x:c r="I499" s="14" t="n">
        <x:v>0</x:v>
      </x:c>
      <x:c r="J499" s="18" t="n">
        <x:v>60000</x:v>
      </x:c>
      <x:c r="K499" s="19" t="n">
        <x:v>45891.321374467596</x:v>
      </x:c>
      <x:c r="L499" s="19" t="n">
        <x:v>46022.36398148148</x:v>
      </x:c>
      <x:c r="M499" s="15" t="str">
        <x:v>Встановлення комплекту системи безперебійного живлення (встановлення, монтаж та налаштування електричного обладнання Tesla Powerwall2)</x:v>
      </x:c>
      <x:c r="N499" s="15" t="str">
        <x:v>https://prozorro.gov.ua/tender/UA-2025-08-22-002549-a</x:v>
      </x:c>
    </x:row>
    <x:row r="500">
      <x:c r="A500" s="14" t="n">
        <x:v>496</x:v>
      </x:c>
      <x:c r="B500" s="14" t="str">
        <x:v>ТОВ "Технолоджі Мувмент"</x:v>
      </x:c>
      <x:c r="C500" s="14" t="str">
        <x:v>43961513</x:v>
      </x:c>
      <x:c r="D500" s="14" t="str">
        <x:v>Резервне живлення</x:v>
      </x:c>
      <x:c r="E500" s="14" t="str">
        <x:v>Expansion discovery</x:v>
      </x:c>
      <x:c r="F500" s="14" t="str">
        <x:v>I3</x:v>
      </x:c>
      <x:c r="G500" s="14" t="n">
        <x:v>30</x:v>
      </x:c>
      <x:c r="H500" s="14" t="n">
        <x:v>2</x:v>
      </x:c>
      <x:c r="I500" s="14" t="n">
        <x:v>0</x:v>
      </x:c>
      <x:c r="J500" s="18" t="n">
        <x:v>15900</x:v>
      </x:c>
      <x:c r="K500" s="19" t="n">
        <x:v>46014.593210416664</x:v>
      </x:c>
      <x:c r="L500" s="19" t="n">
        <x:v>46022.59162037037</x:v>
      </x:c>
      <x:c r="M500" s="15" t="str">
        <x:v>Монтаж системи безперебійного живлення</x:v>
      </x:c>
      <x:c r="N500" s="15" t="str">
        <x:v>https://prozorro.gov.ua/tender/UA-2025-12-23-018432-a</x:v>
      </x:c>
    </x:row>
    <x:row r="501">
      <x:c r="A501" s="14" t="n">
        <x:v>497</x:v>
      </x:c>
      <x:c r="B501" s="14" t="str">
        <x:v>ТОВ «СЕКУР ІНТЕГРАЦІЯ»</x:v>
      </x:c>
      <x:c r="C501" s="14" t="str">
        <x:v>39328390</x:v>
      </x:c>
      <x:c r="D501" s="14" t="str">
        <x:v>Безпека / СКУД / CCTV</x:v>
      </x:c>
      <x:c r="E501" s="14" t="str">
        <x:v>Expansion discovery</x:v>
      </x:c>
      <x:c r="F501" s="14" t="str">
        <x:v>I3</x:v>
      </x:c>
      <x:c r="G501" s="14" t="n">
        <x:v>30</x:v>
      </x:c>
      <x:c r="H501" s="14" t="n">
        <x:v>2</x:v>
      </x:c>
      <x:c r="I501" s="14" t="n">
        <x:v>0</x:v>
      </x:c>
      <x:c r="J501" s="18" t="n">
        <x:v>30612</x:v>
      </x:c>
      <x:c r="K501" s="19" t="n">
        <x:v>46008.35794201389</x:v>
      </x:c>
      <x:c r="L501" s="19" t="n">
        <x:v>46015</x:v>
      </x:c>
      <x:c r="M501" s="15" t="str">
        <x:v>Послуги з монтажу та пусконалагоджування системи контролю доступу</x:v>
      </x:c>
      <x:c r="N501" s="15" t="str">
        <x:v>https://prozorro.gov.ua/tender/UA-2025-12-17-004604-a</x:v>
      </x:c>
    </x:row>
    <x:row r="502">
      <x:c r="A502" s="14" t="n">
        <x:v>498</x:v>
      </x:c>
      <x:c r="B502" s="14" t="str">
        <x:v>ТОВАРИСТВО З ОБМЕЖЕНОЮ ВІДПОВІДАЛЬНІСТЮ ВИРОБНИЧЕ ПІДПРИЄМСТВО "ЕЛЕКТРОТЕХНІКА"</x:v>
      </x:c>
      <x:c r="C502" s="14" t="str">
        <x:v>14227397</x:v>
      </x:c>
      <x:c r="D502" s="14" t="str">
        <x:v>Електромонтаж</x:v>
      </x:c>
      <x:c r="E502" s="14" t="str">
        <x:v>Pilot now</x:v>
      </x:c>
      <x:c r="F502" s="14" t="str">
        <x:v>I3</x:v>
      </x:c>
      <x:c r="G502" s="14" t="n">
        <x:v>30</x:v>
      </x:c>
      <x:c r="H502" s="14" t="n">
        <x:v>2</x:v>
      </x:c>
      <x:c r="I502" s="14" t="n">
        <x:v>0</x:v>
      </x:c>
      <x:c r="J502" s="18" t="n">
        <x:v>16710</x:v>
      </x:c>
      <x:c r="K502" s="19" t="n">
        <x:v>45922.27730739583</x:v>
      </x:c>
      <x:c r="L502" s="19" t="n">
        <x:v>46022</x:v>
      </x:c>
      <x:c r="M502" s="15" t="str">
        <x:v>Електровимірювальні роботи пов'язані з електробезпекою (вимірювання опору ізоляції проводів та кабелів, повного опору петлі фаза-нуль, перехідних контактів заземлення)</x:v>
      </x:c>
      <x:c r="N502" s="15" t="str">
        <x:v>https://prozorro.gov.ua/tender/UA-2025-09-22-000985-a</x:v>
      </x:c>
    </x:row>
    <x:row r="503">
      <x:c r="A503" s="14" t="n">
        <x:v>499</x:v>
      </x:c>
      <x:c r="B503" s="14" t="str">
        <x:v>Фізична особа-підприємець Ковач Семен Семенович</x:v>
      </x:c>
      <x:c r="C503" s="14" t="str">
        <x:v>3076004037</x:v>
      </x:c>
      <x:c r="D503" s="14" t="str">
        <x:v>Безпека / СКУД / CCTV</x:v>
      </x:c>
      <x:c r="E503" s="14" t="str">
        <x:v>Expansion discovery</x:v>
      </x:c>
      <x:c r="F503" s="14" t="str">
        <x:v>I3</x:v>
      </x:c>
      <x:c r="G503" s="14" t="n">
        <x:v>30</x:v>
      </x:c>
      <x:c r="H503" s="14" t="n">
        <x:v>1</x:v>
      </x:c>
      <x:c r="I503" s="14" t="n">
        <x:v>0</x:v>
      </x:c>
      <x:c r="J503" s="18" t="n">
        <x:v>76600</x:v>
      </x:c>
      <x:c r="K503" s="19" t="n">
        <x:v>46129.26033920139</x:v>
      </x:c>
      <x:c r="L503" s="19" t="n">
        <x:v>46203.26263888889</x:v>
      </x:c>
      <x:c r="M503" s="15" t="str">
        <x:v>Послуги з встановлення системи керування та контролю доступу для воріт за адресою: м. Тернопіль, вул. Галицька, 40Б: монтаж та налаштування автоматики розпашних воріт; монтаж та налаштування система керування та контролю доступу (SafetyEye SE-IPC-2BP47-I10ZA (2.8-12мм);  монтаж та налаштування СКУД  для калітки; прокладання кабеля; прокладання гофрорукава;монтаж електромеханічного замка з використанням  зварювальних  послуг.</x:v>
      </x:c>
      <x:c r="N503" s="15" t="str">
        <x:v>https://prozorro.gov.ua/tender/UA-2026-04-17-000711-a</x:v>
      </x:c>
    </x:row>
    <x:row r="504">
      <x:c r="A504" s="14" t="n">
        <x:v>500</x:v>
      </x:c>
      <x:c r="B504" s="14" t="str">
        <x:v>ФОП Богдан Сергій Іванович</x:v>
      </x:c>
      <x:c r="C504" s="14" t="str">
        <x:v>2726615794</x:v>
      </x:c>
      <x:c r="D504" s="14" t="str">
        <x:v>Мости / інфраструктура</x:v>
      </x:c>
      <x:c r="E504" s="14" t="str">
        <x:v>Expansion discovery</x:v>
      </x:c>
      <x:c r="F504" s="14" t="str">
        <x:v>I3</x:v>
      </x:c>
      <x:c r="G504" s="14" t="n">
        <x:v>30</x:v>
      </x:c>
      <x:c r="H504" s="14" t="n">
        <x:v>1</x:v>
      </x:c>
      <x:c r="I504" s="14" t="n">
        <x:v>0</x:v>
      </x:c>
      <x:c r="J504" s="18" t="n">
        <x:v>14040</x:v>
      </x:c>
      <x:c r="K504" s="19" t="n">
        <x:v>46067.45584920139</x:v>
      </x:c>
      <x:c r="L504" s="19" t="n">
        <x:v>46081.45789351852</x:v>
      </x:c>
      <x:c r="M504" s="15" t="str">
        <x:v>Ремонт моста КАМАЗ</x:v>
      </x:c>
      <x:c r="N504" s="15" t="str">
        <x:v>https://prozorro.gov.ua/tender/UA-2026-02-14-000356-a</x:v>
      </x:c>
    </x:row>
    <x:row r="505">
      <x:c r="A505" s="14" t="n">
        <x:v>501</x:v>
      </x:c>
      <x:c r="B505" s="14" t="str">
        <x:v>ФОП Голомоз Микола Федорович</x:v>
      </x:c>
      <x:c r="C505" s="14" t="str">
        <x:v>2131015451</x:v>
      </x:c>
      <x:c r="D505" s="14" t="str">
        <x:v>Сонячна енергетика</x:v>
      </x:c>
      <x:c r="E505" s="14" t="str">
        <x:v>Expansion discovery</x:v>
      </x:c>
      <x:c r="F505" s="14" t="str">
        <x:v>I3</x:v>
      </x:c>
      <x:c r="G505" s="14" t="n">
        <x:v>30</x:v>
      </x:c>
      <x:c r="H505" s="14" t="n">
        <x:v>1</x:v>
      </x:c>
      <x:c r="I505" s="14" t="n">
        <x:v>0</x:v>
      </x:c>
      <x:c r="J505" s="18" t="n">
        <x:v>10000</x:v>
      </x:c>
      <x:c r="K505" s="19" t="n">
        <x:v>46090.37973890046</x:v>
      </x:c>
      <x:c r="L505" s="19" t="n">
        <x:v>46171</x:v>
      </x:c>
      <x:c r="M505" s="15" t="str">
        <x:v>Технічний нагляд на об'єкті "Монтаж сонячної електростанції з накопичувачами енергії (аккумуляторами)"</x:v>
      </x:c>
      <x:c r="N505" s="15" t="str">
        <x:v>https://prozorro.gov.ua/tender/UA-2026-03-09-003294-a</x:v>
      </x:c>
    </x:row>
    <x:row r="506">
      <x:c r="A506" s="14" t="n">
        <x:v>502</x:v>
      </x:c>
      <x:c r="B506" s="14" t="str">
        <x:v>ТОВ "КЛІМАТ-ЕКСПЕРТ"</x:v>
      </x:c>
      <x:c r="C506" s="14" t="str">
        <x:v>43105056</x:v>
      </x:c>
      <x:c r="D506" s="14" t="str">
        <x:v>Промисловий холод</x:v>
      </x:c>
      <x:c r="E506" s="14" t="str">
        <x:v>Expansion discovery</x:v>
      </x:c>
      <x:c r="F506" s="14" t="str">
        <x:v>I3</x:v>
      </x:c>
      <x:c r="G506" s="14" t="n">
        <x:v>29</x:v>
      </x:c>
      <x:c r="H506" s="14" t="n">
        <x:v>1</x:v>
      </x:c>
      <x:c r="I506" s="14" t="n">
        <x:v>0</x:v>
      </x:c>
      <x:c r="J506" s="18" t="n">
        <x:v>129999</x:v>
      </x:c>
      <x:c r="K506" s="19" t="n">
        <x:v>46000.588347997684</x:v>
      </x:c>
      <x:c r="L506" s="19" t="n">
        <x:v>46020</x:v>
      </x:c>
      <x:c r="M506" s="15" t="str">
        <x:v>Кондиціонери спліт-системи з монтажем (ДК 021:2015 код 42510000-4 Теплообмінники, кондиціонери повітря, холодильне обладнання та фільтрувальні пристрої)</x:v>
      </x:c>
      <x:c r="N506" s="15" t="str">
        <x:v>https://prozorro.gov.ua/tender/UA-2025-11-28-009910-a</x:v>
      </x:c>
    </x:row>
    <x:row r="507">
      <x:c r="A507" s="14" t="n">
        <x:v>503</x:v>
      </x:c>
      <x:c r="B507" s="14" t="str">
        <x:v>ТОВ "Тім Білд"</x:v>
      </x:c>
      <x:c r="C507" s="14" t="str">
        <x:v>41105693</x:v>
      </x:c>
      <x:c r="D507" s="14" t="str">
        <x:v>Технологічні трубопроводи</x:v>
      </x:c>
      <x:c r="E507" s="14" t="str">
        <x:v>Expansion discovery</x:v>
      </x:c>
      <x:c r="F507" s="14" t="str">
        <x:v>I3</x:v>
      </x:c>
      <x:c r="G507" s="14" t="n">
        <x:v>29</x:v>
      </x:c>
      <x:c r="H507" s="14" t="n">
        <x:v>1</x:v>
      </x:c>
      <x:c r="I507" s="14" t="n">
        <x:v>0</x:v>
      </x:c>
      <x:c r="J507" s="18" t="n">
        <x:v>332142</x:v>
      </x:c>
      <x:c r="K507" s="19" t="n">
        <x:v>45814.41394949074</x:v>
      </x:c>
      <x:c r="L507" s="19" t="n">
        <x:v>45991</x:v>
      </x:c>
      <x:c r="M507" s="15" t="str">
        <x:v>Поточний ремонт з облаштування шахт доступу до резервуарів, монтаж ущільнень, монтаж технологічних трубопроводів подачі та зливу палива, виготовлення та монтаж вентиляції, проведення дефектоскопії та градуювання</x:v>
      </x:c>
      <x:c r="N507" s="15" t="str">
        <x:v>https://prozorro.gov.ua/tender/UA-2025-06-06-006281-a</x:v>
      </x:c>
    </x:row>
    <x:row r="508">
      <x:c r="A508" s="14" t="n">
        <x:v>504</x:v>
      </x:c>
      <x:c r="B508" s="14" t="str">
        <x:v>ТОВАРИСТВО З ОБМЕЖЕНОЮ ВІДПОВІДАЛЬНІСТЮ "ВІНАКВАБУД"</x:v>
      </x:c>
      <x:c r="C508" s="14" t="str">
        <x:v>43076612</x:v>
      </x:c>
      <x:c r="D508" s="14" t="str">
        <x:v>ГНБ / безтраншейні роботи</x:v>
      </x:c>
      <x:c r="E508" s="14" t="str">
        <x:v>Expansion discovery</x:v>
      </x:c>
      <x:c r="F508" s="14" t="str">
        <x:v>I3</x:v>
      </x:c>
      <x:c r="G508" s="14" t="n">
        <x:v>29</x:v>
      </x:c>
      <x:c r="H508" s="14" t="n">
        <x:v>1</x:v>
      </x:c>
      <x:c r="I508" s="14" t="n">
        <x:v>0</x:v>
      </x:c>
      <x:c r="J508" s="18" t="n">
        <x:v>398441.92</x:v>
      </x:c>
      <x:c r="K508" s="19" t="n">
        <x:v>45771.539392847226</x:v>
      </x:c>
      <x:c r="L508" s="19" t="n">
        <x:v>46022</x:v>
      </x:c>
      <x:c r="M508" s="15" t="str">
        <x:v>Влаштування футляру методом горизонтально направленого буріння по вул. Р. Скалецького, в рамках проекту "Реконструкція системи теплозабезпечення мікрорайонів по вул. Пирогова, вул. Матроса Кішки, по вул.Князів Коріатовичів" в м. Вінниця."</x:v>
      </x:c>
      <x:c r="N508" s="15" t="str">
        <x:v>https://prozorro.gov.ua/tender/UA-2025-04-24-010542-a</x:v>
      </x:c>
    </x:row>
    <x:row r="509">
      <x:c r="A509" s="14" t="n">
        <x:v>505</x:v>
      </x:c>
      <x:c r="B509" s="14" t="str">
        <x:v>Товариство з обмеженою відповідальністю "Елітар"</x:v>
      </x:c>
      <x:c r="C509" s="14" t="str">
        <x:v>32549968</x:v>
      </x:c>
      <x:c r="D509" s="14" t="str">
        <x:v>ГНБ / безтраншейні роботи</x:v>
      </x:c>
      <x:c r="E509" s="14" t="str">
        <x:v>Expansion discovery</x:v>
      </x:c>
      <x:c r="F509" s="14" t="str">
        <x:v>I3</x:v>
      </x:c>
      <x:c r="G509" s="14" t="n">
        <x:v>29</x:v>
      </x:c>
      <x:c r="H509" s="14" t="n">
        <x:v>1</x:v>
      </x:c>
      <x:c r="I509" s="14" t="n">
        <x:v>0</x:v>
      </x:c>
      <x:c r="J509" s="18" t="n">
        <x:v>168129.6</x:v>
      </x:c>
      <x:c r="K509" s="19" t="n">
        <x:v>45681.37303905092</x:v>
      </x:c>
      <x:c r="L509" s="19" t="n">
        <x:v>45708</x:v>
      </x:c>
      <x:c r="M509" s="15" t="str">
        <x:v>Роботи з прокладання водопровідної мережі Д-200 мм методом горизонтально-направленого буріння через частину дороги.</x:v>
      </x:c>
      <x:c r="N509" s="15" t="str">
        <x:v>https://prozorro.gov.ua/tender/UA-2025-01-24-004278-a</x:v>
      </x:c>
    </x:row>
    <x:row r="510">
      <x:c r="A510" s="14" t="n">
        <x:v>506</x:v>
      </x:c>
      <x:c r="B510" s="14" t="str">
        <x:v>ТОВАРИСТВО З ОБМЕЖЕНОЮ ВІДПОВІДАЛЬНІСТЮ "СТТ-АЛЬФА"</x:v>
      </x:c>
      <x:c r="C510" s="14" t="str">
        <x:v>37013937</x:v>
      </x:c>
      <x:c r="D510" s="14" t="str">
        <x:v>ВОЛЗ / телеком</x:v>
      </x:c>
      <x:c r="E510" s="14" t="str">
        <x:v>Expansion discovery</x:v>
      </x:c>
      <x:c r="F510" s="14" t="str">
        <x:v>I3</x:v>
      </x:c>
      <x:c r="G510" s="14" t="n">
        <x:v>29</x:v>
      </x:c>
      <x:c r="H510" s="14" t="n">
        <x:v>1</x:v>
      </x:c>
      <x:c r="I510" s="14" t="n">
        <x:v>0</x:v>
      </x:c>
      <x:c r="J510" s="18" t="n">
        <x:v>240000</x:v>
      </x:c>
      <x:c r="K510" s="19" t="n">
        <x:v>45679.27607966435</x:v>
      </x:c>
      <x:c r="L510" s="19" t="n">
        <x:v>45991</x:v>
      </x:c>
      <x:c r="M510" s="15" t="str">
        <x:v>Роботи  по будівництву волоконно-оптичної ліній зв’язку для ПрАТ «Закарпаттяобленерго»: «ВОЛЗ Ужгородська філія – Укртелеком»</x:v>
      </x:c>
      <x:c r="N510" s="15" t="str">
        <x:v>https://prozorro.gov.ua/tender/UA-2025-01-01-001875-a</x:v>
      </x:c>
    </x:row>
    <x:row r="511">
      <x:c r="A511" s="14" t="n">
        <x:v>507</x:v>
      </x:c>
      <x:c r="B511" s="14" t="str">
        <x:v>ВАЩИШИН ВОЛОДИМИР МИХАЙЛОВИЧ</x:v>
      </x:c>
      <x:c r="C511" s="14" t="str">
        <x:v>2254112355</x:v>
      </x:c>
      <x:c r="D511" s="14" t="str">
        <x:v>ГНБ / безтраншейні роботи</x:v>
      </x:c>
      <x:c r="E511" s="14" t="str">
        <x:v>Expansion discovery</x:v>
      </x:c>
      <x:c r="F511" s="14" t="str">
        <x:v>I3</x:v>
      </x:c>
      <x:c r="G511" s="14" t="n">
        <x:v>27</x:v>
      </x:c>
      <x:c r="H511" s="14" t="n">
        <x:v>2</x:v>
      </x:c>
      <x:c r="I511" s="14" t="n">
        <x:v>0</x:v>
      </x:c>
      <x:c r="J511" s="18" t="n">
        <x:v>11601.05</x:v>
      </x:c>
      <x:c r="K511" s="19" t="n">
        <x:v>45987.4106021412</x:v>
      </x:c>
      <x:c r="L511" s="19" t="n">
        <x:v>46022</x:v>
      </x:c>
      <x:c r="M511" s="15" t="str">
        <x:v>Технічний нагляд за виконанням робіт при будівництві об'єкта: 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x:v>
      </x:c>
      <x:c r="N511" s="15" t="str">
        <x:v>https://prozorro.gov.ua/tender/UA-2025-11-26-006748-a</x:v>
      </x:c>
    </x:row>
    <x:row r="512">
      <x:c r="A512" s="14" t="n">
        <x:v>508</x:v>
      </x:c>
      <x:c r="B512" s="14" t="str">
        <x:v>ІЩУК ІГОР ІВАНОВИЧ</x:v>
      </x:c>
      <x:c r="C512" s="14" t="str">
        <x:v>2598101832</x:v>
      </x:c>
      <x:c r="D512" s="14" t="str">
        <x:v>HVAC / ОВіК</x:v>
      </x:c>
      <x:c r="E512" s="14" t="str">
        <x:v>Pilot now</x:v>
      </x:c>
      <x:c r="F512" s="14" t="str">
        <x:v>I3</x:v>
      </x:c>
      <x:c r="G512" s="14" t="n">
        <x:v>27</x:v>
      </x:c>
      <x:c r="H512" s="14" t="n">
        <x:v>2</x:v>
      </x:c>
      <x:c r="I512" s="14" t="n">
        <x:v>0</x:v>
      </x:c>
      <x:c r="J512" s="18" t="n">
        <x:v>20450</x:v>
      </x:c>
      <x:c r="K512" s="19" t="n">
        <x:v>46009.55050619213</x:v>
      </x:c>
      <x:c r="L512" s="19" t="n">
        <x:v>46022.916666655095</x:v>
      </x:c>
      <x:c r="M512" s="15" t="str">
        <x:v>Послуги з монтажу системи опалення за адресою: м.Тернопіль, вул.Р.Купчинського,14</x:v>
      </x:c>
      <x:c r="N512" s="15" t="str">
        <x:v>https://prozorro.gov.ua/tender/UA-2025-12-18-017182-a</x:v>
      </x:c>
    </x:row>
    <x:row r="513">
      <x:c r="A513" s="14" t="n">
        <x:v>509</x:v>
      </x:c>
      <x:c r="B513" s="14" t="str">
        <x:v>ОЛЕКСІЄНКО ВОЛОДИМИР ВАЛЕНТИНОВИЧ</x:v>
      </x:c>
      <x:c r="C513" s="14" t="str">
        <x:v>2455604611</x:v>
      </x:c>
      <x:c r="D513" s="14" t="str">
        <x:v>Електромонтаж</x:v>
      </x:c>
      <x:c r="E513" s="14" t="str">
        <x:v>Pilot now</x:v>
      </x:c>
      <x:c r="F513" s="14" t="str">
        <x:v>I3</x:v>
      </x:c>
      <x:c r="G513" s="14" t="n">
        <x:v>27</x:v>
      </x:c>
      <x:c r="H513" s="14" t="n">
        <x:v>2</x:v>
      </x:c>
      <x:c r="I513" s="14" t="n">
        <x:v>0</x:v>
      </x:c>
      <x:c r="J513" s="18" t="n">
        <x:v>16000</x:v>
      </x:c>
      <x:c r="K513" s="19" t="n">
        <x:v>45982.397251319446</x:v>
      </x:c>
      <x:c r="L513" s="19" t="n">
        <x:v>46022</x:v>
      </x:c>
      <x:c r="M513" s="15" t="str">
        <x:v>Електровимірювальні послуги з вимірювання заземлення, петлі "фаза-нуль" та ізоляції електромагістралей в приміщеннях Омельницький культурно-спортивний комплекс "Дивограй" с. Омельник вул. Центральна 67, Рокитненський сільський будинок культури (с. П'ятихатки), вул. Центральна, 1; Демидівський сільський клуб с. Демидівка, вул. Тараса Шевченка, 3; Запсільський сільський клуб с. Запсілля, вул. Центральна,100.</x:v>
      </x:c>
      <x:c r="N513" s="15" t="str">
        <x:v>https://prozorro.gov.ua/tender/UA-2025-11-21-005492-a</x:v>
      </x:c>
    </x:row>
    <x:row r="514">
      <x:c r="A514" s="14" t="n">
        <x:v>510</x:v>
      </x:c>
      <x:c r="B514" s="14" t="str">
        <x:v>ПОГИБА АНДРІЙ ВОЛОДИМИРОВИЧ</x:v>
      </x:c>
      <x:c r="C514" s="14" t="str">
        <x:v>2874505737</x:v>
      </x:c>
      <x:c r="D514" s="14" t="str">
        <x:v>Газопостачання / котельні</x:v>
      </x:c>
      <x:c r="E514" s="14" t="str">
        <x:v>Expansion discovery</x:v>
      </x:c>
      <x:c r="F514" s="14" t="str">
        <x:v>I3</x:v>
      </x:c>
      <x:c r="G514" s="14" t="n">
        <x:v>26</x:v>
      </x:c>
      <x:c r="H514" s="14" t="n">
        <x:v>1</x:v>
      </x:c>
      <x:c r="I514" s="14" t="n">
        <x:v>0</x:v>
      </x:c>
      <x:c r="J514" s="18" t="n">
        <x:v>169987.72</x:v>
      </x:c>
      <x:c r="K514" s="19" t="n">
        <x:v>45985.33302763889</x:v>
      </x:c>
      <x:c r="L514" s="19" t="n">
        <x:v>46022</x:v>
      </x:c>
      <x:c r="M514" s="15" t="str">
        <x:v>Послуги по демонтажу та монтажу системи димоходу котельні</x:v>
      </x:c>
      <x:c r="N514" s="15" t="str">
        <x:v>https://prozorro.gov.ua/tender/UA-2025-11-24-002038-a</x:v>
      </x:c>
    </x:row>
    <x:row r="515">
      <x:c r="A515" s="14" t="n">
        <x:v>511</x:v>
      </x:c>
      <x:c r="B515" s="14" t="str">
        <x:v>АТ "Тернопільобленерго"Підволочиський РЕМ</x:v>
      </x:c>
      <x:c r="C515" s="14" t="str">
        <x:v>21165171</x:v>
      </x:c>
      <x:c r="D515" s="14" t="str">
        <x:v>Електромонтаж</x:v>
      </x:c>
      <x:c r="E515" s="14" t="str">
        <x:v>Pilot now</x:v>
      </x:c>
      <x:c r="F515" s="14" t="str">
        <x:v>I3</x:v>
      </x:c>
      <x:c r="G515" s="14" t="n">
        <x:v>25</x:v>
      </x:c>
      <x:c r="H515" s="14" t="n">
        <x:v>1</x:v>
      </x:c>
      <x:c r="I515" s="14" t="n">
        <x:v>0</x:v>
      </x:c>
      <x:c r="J515" s="18" t="n">
        <x:v>36729.24</x:v>
      </x:c>
      <x:c r="K515" s="19" t="n">
        <x:v>46001.49003201389</x:v>
      </x:c>
      <x:c r="L515" s="19" t="n">
        <x:v>46022.490578703706</x:v>
      </x:c>
      <x:c r="M515" s="15" t="str">
        <x:v>Послуги з монтажу електричних мереж у приміщенні за адресою: Тернопільська обл., Тернопільський р-н., с. Підволочиськ, вул. Залізнична 1</x:v>
      </x:c>
      <x:c r="N515" s="15" t="str">
        <x:v>https://prozorro.gov.ua/tender/UA-2025-12-10-011455-a</x:v>
      </x:c>
    </x:row>
    <x:row r="516">
      <x:c r="A516" s="14" t="n">
        <x:v>512</x:v>
      </x:c>
      <x:c r="B516" s="14" t="str">
        <x:v>КОМУНАЛЬНИЙ ЗАКЛАД "РЕГІОНАЛЬНИЙ ІНФОРМАЦІЙНО - КОМП'ЮТЕРНИЙ ЦЕНТР" РІВНЕНСЬКОЇ ОБЛАСНОЇ РАДИ</x:v>
      </x:c>
      <x:c r="C516" s="14" t="str">
        <x:v>25797844</x:v>
      </x:c>
      <x:c r="D516" s="14" t="str">
        <x:v>Електромонтаж</x:v>
      </x:c>
      <x:c r="E516" s="14" t="str">
        <x:v>Pilot now</x:v>
      </x:c>
      <x:c r="F516" s="14" t="str">
        <x:v>I3</x:v>
      </x:c>
      <x:c r="G516" s="14" t="n">
        <x:v>25</x:v>
      </x:c>
      <x:c r="H516" s="14" t="n">
        <x:v>1</x:v>
      </x:c>
      <x:c r="I516" s="14" t="n">
        <x:v>0</x:v>
      </x:c>
      <x:c r="J516" s="18" t="n">
        <x:v>60000</x:v>
      </x:c>
      <x:c r="K516" s="19" t="n">
        <x:v>46010.39300108796</x:v>
      </x:c>
      <x:c r="L516" s="19" t="n">
        <x:v>46022.39304398148</x:v>
      </x:c>
      <x:c r="M516" s="15" t="str">
        <x:v>Послуги з монтажу та налаштування електричного обладнання для побудови бездротової  Wi-Fi мережі за адресою: м. Рівне, вулиця Словацького, 10</x:v>
      </x:c>
      <x:c r="N516" s="15" t="str">
        <x:v>https://prozorro.gov.ua/tender/UA-2025-12-19-007239-a</x:v>
      </x:c>
    </x:row>
    <x:row r="517">
      <x:c r="A517" s="14" t="n">
        <x:v>513</x:v>
      </x:c>
      <x:c r="B517" s="14" t="str">
        <x:v>ПП "Профіт - ресурс"</x:v>
      </x:c>
      <x:c r="C517" s="14" t="str">
        <x:v>32021016</x:v>
      </x:c>
      <x:c r="D517" s="14" t="str">
        <x:v>Електромонтаж</x:v>
      </x:c>
      <x:c r="E517" s="14" t="str">
        <x:v>Pilot now</x:v>
      </x:c>
      <x:c r="F517" s="14" t="str">
        <x:v>I3</x:v>
      </x:c>
      <x:c r="G517" s="14" t="n">
        <x:v>25</x:v>
      </x:c>
      <x:c r="H517" s="14" t="n">
        <x:v>1</x:v>
      </x:c>
      <x:c r="I517" s="14" t="n">
        <x:v>0</x:v>
      </x:c>
      <x:c r="J517" s="18" t="n">
        <x:v>46000</x:v>
      </x:c>
      <x:c r="K517" s="19" t="n">
        <x:v>45993.54686398148</x:v>
      </x:c>
      <x:c r="L517" s="19" t="n">
        <x:v>46022.916666655095</x:v>
      </x:c>
      <x:c r="M517" s="15" t="str">
        <x:v>Послуги з улаштування (монтаж) електричних мереж (ДК 021:2015: 45310000-3 - Електромонтажні роботи).</x:v>
      </x:c>
      <x:c r="N517" s="15" t="str">
        <x:v>https://prozorro.gov.ua/tender/UA-2025-12-02-013511-a</x:v>
      </x:c>
    </x:row>
    <x:row r="518">
      <x:c r="A518" s="14" t="n">
        <x:v>514</x:v>
      </x:c>
      <x:c r="B518" s="14" t="str">
        <x:v>ПРИВАТНЕ ПІДПРИЄМСТВО "ЕНЕРГІЯ"</x:v>
      </x:c>
      <x:c r="C518" s="14" t="str">
        <x:v>30849893</x:v>
      </x:c>
      <x:c r="D518" s="14" t="str">
        <x:v>Електромонтаж</x:v>
      </x:c>
      <x:c r="E518" s="14" t="str">
        <x:v>Pilot now</x:v>
      </x:c>
      <x:c r="F518" s="14" t="str">
        <x:v>I3</x:v>
      </x:c>
      <x:c r="G518" s="14" t="n">
        <x:v>25</x:v>
      </x:c>
      <x:c r="H518" s="14" t="n">
        <x:v>1</x:v>
      </x:c>
      <x:c r="I518" s="14" t="n">
        <x:v>0</x:v>
      </x:c>
      <x:c r="J518" s="18" t="n">
        <x:v>7960.8</x:v>
      </x:c>
      <x:c r="K518" s="19" t="n">
        <x:v>45854.474600891204</x:v>
      </x:c>
      <x:c r="L518" s="19" t="n">
        <x:v>45901</x:v>
      </x:c>
      <x:c r="M518" s="15" t="str">
        <x:v>електровимірювальні роботи - заміри опорів ізоляції, контактів заземлення (код згідно Єдиного закупівельного словника ДК 021: 2015): 71630000-3 Послуги з технічного огляду та випробовувань ( заміри опору ізоляції, контактів заземлення , громозахисту у приміщенях їдальні , ПРУ Нетішинського ліцею №4  Нетішинської міської ради Шепетівського р-ну Хмельницької обл. за адресою: 30100, Хмельницька область, м.Нетішин, вул. Енергетиків, 3  ) </x:v>
      </x:c>
      <x:c r="N518" s="15" t="str">
        <x:v>https://prozorro.gov.ua/tender/UA-2025-07-16-006359-a</x:v>
      </x:c>
    </x:row>
    <x:row r="519">
      <x:c r="A519" s="14" t="n">
        <x:v>515</x:v>
      </x:c>
      <x:c r="B519" s="14" t="str">
        <x:v>ПРИВАТНЕ ПІДПРИЄМСТВО "ПРОФДЕЗІНФЕКЦІЯ КОНТАКТ"</x:v>
      </x:c>
      <x:c r="C519" s="14" t="str">
        <x:v>39516090</x:v>
      </x:c>
      <x:c r="D519" s="14" t="str">
        <x:v>Внутрішні сантехнічні системи</x:v>
      </x:c>
      <x:c r="E519" s="14" t="str">
        <x:v>Pilot now</x:v>
      </x:c>
      <x:c r="F519" s="14" t="str">
        <x:v>I3</x:v>
      </x:c>
      <x:c r="G519" s="14" t="n">
        <x:v>25</x:v>
      </x:c>
      <x:c r="H519" s="14" t="n">
        <x:v>1</x:v>
      </x:c>
      <x:c r="I519" s="14" t="n">
        <x:v>0</x:v>
      </x:c>
      <x:c r="J519" s="18" t="n">
        <x:v>63000</x:v>
      </x:c>
      <x:c r="K519" s="19" t="n">
        <x:v>45859.34798907407</x:v>
      </x:c>
      <x:c r="L519" s="19" t="n">
        <x:v>46022</x:v>
      </x:c>
      <x:c r="M519" s="15" t="str">
        <x:v>Послуги з утримання в належному стані внутрішніх мереж водопостачання та водовідведення (демонтаж унітазів зі змивними бачками --4 комплекти, установлення унітазів з безпосередньо приєднаним бачком - 4 комплекти та повязані з цим заміна труб ХВП, ГВП та каналізації в санвузлах на 1 та 2 поверсі адміністративної будівлі, прочищення внутрішньої каналізаційної мережі, заміна труб столяків води, заміна стояка каналізації)</x:v>
      </x:c>
      <x:c r="N519" s="15" t="str">
        <x:v>https://prozorro.gov.ua/tender/UA-2025-07-21-001538-a</x:v>
      </x:c>
    </x:row>
    <x:row r="520">
      <x:c r="A520" s="14" t="n">
        <x:v>516</x:v>
      </x:c>
      <x:c r="B520" s="14" t="str">
        <x:v>ТОВ " ХОЛОД-МАРКЕТ"</x:v>
      </x:c>
      <x:c r="C520" s="14" t="str">
        <x:v>35064513</x:v>
      </x:c>
      <x:c r="D520" s="14" t="str">
        <x:v>Промисловий холод</x:v>
      </x:c>
      <x:c r="E520" s="14" t="str">
        <x:v>Expansion discovery</x:v>
      </x:c>
      <x:c r="F520" s="14" t="str">
        <x:v>I3</x:v>
      </x:c>
      <x:c r="G520" s="14" t="n">
        <x:v>25</x:v>
      </x:c>
      <x:c r="H520" s="14" t="n">
        <x:v>1</x:v>
      </x:c>
      <x:c r="I520" s="14" t="n">
        <x:v>0</x:v>
      </x:c>
      <x:c r="J520" s="18" t="n">
        <x:v>96000</x:v>
      </x:c>
      <x:c r="K520" s="19" t="n">
        <x:v>45875.55539864583</x:v>
      </x:c>
      <x:c r="L520" s="19" t="n">
        <x:v>46022.59888888889</x:v>
      </x:c>
      <x:c r="M520" s="15" t="str">
        <x:v>Послуги з монтажу/демонтажу холодильного обладнання</x:v>
      </x:c>
      <x:c r="N520" s="15" t="str">
        <x:v>https://prozorro.gov.ua/tender/UA-2025-08-06-010195-a</x:v>
      </x:c>
    </x:row>
    <x:row r="521">
      <x:c r="A521" s="14" t="n">
        <x:v>517</x:v>
      </x:c>
      <x:c r="B521" s="14" t="str">
        <x:v>ТОВ "Екопайпсистемс"</x:v>
      </x:c>
      <x:c r="C521" s="14" t="str">
        <x:v>44981347</x:v>
      </x:c>
      <x:c r="D521" s="14" t="str">
        <x:v>ГНБ / безтраншейні роботи</x:v>
      </x:c>
      <x:c r="E521" s="14" t="str">
        <x:v>Expansion discovery</x:v>
      </x:c>
      <x:c r="F521" s="14" t="str">
        <x:v>I3</x:v>
      </x:c>
      <x:c r="G521" s="14" t="n">
        <x:v>25</x:v>
      </x:c>
      <x:c r="H521" s="14" t="n">
        <x:v>1</x:v>
      </x:c>
      <x:c r="I521" s="14" t="n">
        <x:v>0</x:v>
      </x:c>
      <x:c r="J521" s="18" t="n">
        <x:v>43200</x:v>
      </x:c>
      <x:c r="K521" s="19" t="n">
        <x:v>45819.56320146991</x:v>
      </x:c>
      <x:c r="L521" s="19" t="n">
        <x:v>45869</x:v>
      </x:c>
      <x:c r="M521" s="15" t="str">
        <x:v>Послуги з горизонтально направленого буріння</x:v>
      </x:c>
      <x:c r="N521" s="15" t="str">
        <x:v>https://prozorro.gov.ua/tender/UA-2025-06-11-012030-a</x:v>
      </x:c>
    </x:row>
    <x:row r="522">
      <x:c r="A522" s="14" t="n">
        <x:v>518</x:v>
      </x:c>
      <x:c r="B522" s="14" t="str">
        <x:v>ТОВ "Компанія Техноклімат"</x:v>
      </x:c>
      <x:c r="C522" s="14" t="str">
        <x:v>36941776</x:v>
      </x:c>
      <x:c r="D522" s="14" t="str">
        <x:v>HVAC / ОВіК</x:v>
      </x:c>
      <x:c r="E522" s="14" t="str">
        <x:v>Pilot now</x:v>
      </x:c>
      <x:c r="F522" s="14" t="str">
        <x:v>I3</x:v>
      </x:c>
      <x:c r="G522" s="14" t="n">
        <x:v>25</x:v>
      </x:c>
      <x:c r="H522" s="14" t="n">
        <x:v>1</x:v>
      </x:c>
      <x:c r="I522" s="14" t="n">
        <x:v>0</x:v>
      </x:c>
      <x:c r="J522" s="18" t="n">
        <x:v>41620.98</x:v>
      </x:c>
      <x:c r="K522" s="19" t="n">
        <x:v>45993.56170215278</x:v>
      </x:c>
      <x:c r="L522" s="19" t="n">
        <x:v>46017</x:v>
      </x:c>
      <x:c r="M522" s="15" t="str">
        <x:v>Монтаж системи вентиляції</x:v>
      </x:c>
      <x:c r="N522" s="15" t="str">
        <x:v>https://prozorro.gov.ua/tender/UA-2025-12-02-014509-a</x:v>
      </x:c>
    </x:row>
    <x:row r="523">
      <x:c r="A523" s="14" t="n">
        <x:v>519</x:v>
      </x:c>
      <x:c r="B523" s="14" t="str">
        <x:v>ТОВ "УКРБУДТЕХНАГЛЯД-ЧЕРНІГІВ"</x:v>
      </x:c>
      <x:c r="C523" s="14" t="str">
        <x:v>37632903</x:v>
      </x:c>
      <x:c r="D523" s="14" t="str">
        <x:v>Внутрішні сантехнічні системи</x:v>
      </x:c>
      <x:c r="E523" s="14" t="str">
        <x:v>Pilot now</x:v>
      </x:c>
      <x:c r="F523" s="14" t="str">
        <x:v>I3</x:v>
      </x:c>
      <x:c r="G523" s="14" t="n">
        <x:v>25</x:v>
      </x:c>
      <x:c r="H523" s="14" t="n">
        <x:v>1</x:v>
      </x:c>
      <x:c r="I523" s="14" t="n">
        <x:v>0</x:v>
      </x:c>
      <x:c r="J523" s="18" t="n">
        <x:v>19900</x:v>
      </x:c>
      <x:c r="K523" s="19" t="n">
        <x:v>45994.558611863424</x:v>
      </x:c>
      <x:c r="L523" s="19" t="n">
        <x:v>46022.559849537036</x:v>
      </x:c>
      <x:c r="M523" s="15" t="str">
        <x:v>Послуги з демонтажу сантехнічних приладів та трубопроводів водопостачання і каналізації душових кімнат в найпростішому укритті (ДК 021:2015  	 45330000-9 - Водопровідні та санітарно-технічні роботи)</x:v>
      </x:c>
      <x:c r="N523" s="15" t="str">
        <x:v>https://prozorro.gov.ua/tender/UA-2025-12-03-015536-a</x:v>
      </x:c>
    </x:row>
    <x:row r="524">
      <x:c r="A524" s="14" t="n">
        <x:v>520</x:v>
      </x:c>
      <x:c r="B524" s="14" t="str">
        <x:v>ТОВ ФОРМАТОР_ЕНЕРГО"</x:v>
      </x:c>
      <x:c r="C524" s="14" t="str">
        <x:v>41991944</x:v>
      </x:c>
      <x:c r="D524" s="14" t="str">
        <x:v>Електромонтаж</x:v>
      </x:c>
      <x:c r="E524" s="14" t="str">
        <x:v>Pilot now</x:v>
      </x:c>
      <x:c r="F524" s="14" t="str">
        <x:v>I3</x:v>
      </x:c>
      <x:c r="G524" s="14" t="n">
        <x:v>25</x:v>
      </x:c>
      <x:c r="H524" s="14" t="n">
        <x:v>1</x:v>
      </x:c>
      <x:c r="I524" s="14" t="n">
        <x:v>0</x:v>
      </x:c>
      <x:c r="J524" s="18" t="n">
        <x:v>36110</x:v>
      </x:c>
      <x:c r="K524" s="19" t="n">
        <x:v>45772.36460800926</x:v>
      </x:c>
      <x:c r="L524" s="19" t="n">
        <x:v>46022.916666655095</x:v>
      </x:c>
      <x:c r="M524" s="15" t="str">
        <x:v>Послуги по електровимірювальним роботам та ремонту контуру заземлення</x:v>
      </x:c>
      <x:c r="N524" s="15" t="str">
        <x:v>https://prozorro.gov.ua/tender/UA-2025-04-25-004627-a</x:v>
      </x:c>
    </x:row>
    <x:row r="525">
      <x:c r="A525" s="14" t="n">
        <x:v>521</x:v>
      </x:c>
      <x:c r="B525" s="14" t="str">
        <x:v>ТОВАРИСТВО З ОБМЕЖЕНОЮ ВІДПОВІДАЛЬНІСТЮ "АЙР ТЕХНОЛОДЖІ СИСТЕМС КЛІМАТ"</x:v>
      </x:c>
      <x:c r="C525" s="14" t="str">
        <x:v>44678370</x:v>
      </x:c>
      <x:c r="D525" s="14" t="str">
        <x:v>HVAC / ОВіК</x:v>
      </x:c>
      <x:c r="E525" s="14" t="str">
        <x:v>Pilot now</x:v>
      </x:c>
      <x:c r="F525" s="14" t="str">
        <x:v>I3</x:v>
      </x:c>
      <x:c r="G525" s="14" t="n">
        <x:v>25</x:v>
      </x:c>
      <x:c r="H525" s="14" t="n">
        <x:v>1</x:v>
      </x:c>
      <x:c r="I525" s="14" t="n">
        <x:v>0</x:v>
      </x:c>
      <x:c r="J525" s="18" t="n">
        <x:v>62286.3</x:v>
      </x:c>
      <x:c r="K525" s="19" t="n">
        <x:v>45992.40095383102</x:v>
      </x:c>
      <x:c r="L525" s="19" t="n">
        <x:v>46022</x:v>
      </x:c>
      <x:c r="M525" s="15" t="str">
        <x:v>Виконання робіт з монтажу системи вентиляції</x:v>
      </x:c>
      <x:c r="N525" s="15" t="str">
        <x:v>https://prozorro.gov.ua/tender/UA-2025-12-01-005105-a</x:v>
      </x:c>
    </x:row>
    <x:row r="526">
      <x:c r="A526" s="14" t="n">
        <x:v>522</x:v>
      </x:c>
      <x:c r="B526" s="14" t="str">
        <x:v>ТОВАРИСТВО З ОБМЕЖЕНОЮ ВІДПОВІДАЛЬНІСТЮ "ВИРОБНИЧО-СЕРВІСНА КОМПАНІЯ МЕДТЕХОКСІГЕН"</x:v>
      </x:c>
      <x:c r="C526" s="14" t="str">
        <x:v>44470933</x:v>
      </x:c>
      <x:c r="D526" s="14" t="str">
        <x:v>Медичні гази</x:v>
      </x:c>
      <x:c r="E526" s="14" t="str">
        <x:v>Expansion discovery</x:v>
      </x:c>
      <x:c r="F526" s="14" t="str">
        <x:v>I3</x:v>
      </x:c>
      <x:c r="G526" s="14" t="n">
        <x:v>25</x:v>
      </x:c>
      <x:c r="H526" s="14" t="n">
        <x:v>1</x:v>
      </x:c>
      <x:c r="I526" s="14" t="n">
        <x:v>0</x:v>
      </x:c>
      <x:c r="J526" s="18" t="n">
        <x:v>66290.16</x:v>
      </x:c>
      <x:c r="K526" s="19" t="n">
        <x:v>45964.505085324075</x:v>
      </x:c>
      <x:c r="L526" s="19" t="n">
        <x:v>45975</x:v>
      </x:c>
      <x:c r="M526" s="15" t="str">
        <x:v>Монтаж системи постачання медичних газів, облаштування додаткових кисневих точок на 1 поверсі головного корпусу (приймально-діагностичного відділення)</x:v>
      </x:c>
      <x:c r="N526" s="15" t="str">
        <x:v>https://prozorro.gov.ua/tender/UA-2025-11-03-008134-a</x:v>
      </x:c>
    </x:row>
    <x:row r="527">
      <x:c r="A527" s="14" t="n">
        <x:v>523</x:v>
      </x:c>
      <x:c r="B527" s="14" t="str">
        <x:v>ТОВАРИСТВО З ОБМЕЖЕНОЮ ВІДПОВІДАЛЬНІСТЮ "ВІНБУДСТАНДАРТ"</x:v>
      </x:c>
      <x:c r="C527" s="14" t="str">
        <x:v>45583746</x:v>
      </x:c>
      <x:c r="D527" s="14" t="str">
        <x:v>ГНБ / безтраншейні роботи</x:v>
      </x:c>
      <x:c r="E527" s="14" t="str">
        <x:v>Expansion discovery</x:v>
      </x:c>
      <x:c r="F527" s="14" t="str">
        <x:v>I3</x:v>
      </x:c>
      <x:c r="G527" s="14" t="n">
        <x:v>25</x:v>
      </x:c>
      <x:c r="H527" s="14" t="n">
        <x:v>1</x:v>
      </x:c>
      <x:c r="I527" s="14" t="n">
        <x:v>0</x:v>
      </x:c>
      <x:c r="J527" s="18" t="n">
        <x:v>4766.5</x:v>
      </x:c>
      <x:c r="K527" s="19" t="n">
        <x:v>45789.587581203705</x:v>
      </x:c>
      <x:c r="L527" s="19" t="n">
        <x:v>46022</x:v>
      </x:c>
      <x:c r="M527" s="15" t="str">
        <x:v>Здійснення технічного нагляду за виконанням будівельних робіт на будівництві об'єкта: "Влаштування футляру методом горизонтально направленого буріння по вул. Р. Скалецького, в рамках проекту "Реконструкція системи теплозабезпечення мікрорайонів по вул. Пирогова, по вул. Матроса Кішки, по вул. Князів Коріатовичів" в м. Вінниця.</x:v>
      </x:c>
      <x:c r="N527" s="15" t="str">
        <x:v>https://prozorro.gov.ua/tender/UA-2025-05-12-013357-a</x:v>
      </x:c>
    </x:row>
    <x:row r="528">
      <x:c r="A528" s="14" t="n">
        <x:v>524</x:v>
      </x:c>
      <x:c r="B528" s="14" t="str">
        <x:v>ТОВАРИСТВО З ОБМЕЖЕНОЮ ВІДПОВІДАЛЬНІСТЮ "Е-ВИМІРЮВАННЯ"</x:v>
      </x:c>
      <x:c r="C528" s="14" t="str">
        <x:v>39092565</x:v>
      </x:c>
      <x:c r="D528" s="14" t="str">
        <x:v>Електромонтаж</x:v>
      </x:c>
      <x:c r="E528" s="14" t="str">
        <x:v>Pilot now</x:v>
      </x:c>
      <x:c r="F528" s="14" t="str">
        <x:v>I3</x:v>
      </x:c>
      <x:c r="G528" s="14" t="n">
        <x:v>25</x:v>
      </x:c>
      <x:c r="H528" s="14" t="n">
        <x:v>1</x:v>
      </x:c>
      <x:c r="I528" s="14" t="n">
        <x:v>0</x:v>
      </x:c>
      <x:c r="J528" s="18" t="n">
        <x:v>16010</x:v>
      </x:c>
      <x:c r="K528" s="19" t="n">
        <x:v>45910.830912708334</x:v>
      </x:c>
      <x:c r="L528" s="19" t="n">
        <x:v>46022</x:v>
      </x:c>
      <x:c r="M528" s="15" t="str">
        <x:v>Комплекс електровимірювальних робіт: Вимірювання опору заземлюючих пристроїв в електроустановках; системах грозозахисту; перевірка перехідного опору ланцюга між заземлювачем і заземлюючим магістралями і устаткуванням; вимірювання струму однофазного короткого замикання петлі "фаза-нуль" та повного опору петлі "фаза-нуль" в межах струму та обладнанні до 1000 В з глухо заземленою нейтраллю; вимірювання опору ізоляції в електроустановках, електрообладнанні та електромережах до 1000 В; виміри параметрів ПЗВ з видачею технічної документації, виготовлення паспорта контуру заземлення. </x:v>
      </x:c>
      <x:c r="N528" s="15" t="str">
        <x:v>https://prozorro.gov.ua/tender/UA-2025-09-10-014597-a</x:v>
      </x:c>
    </x:row>
    <x:row r="529">
      <x:c r="A529" s="14" t="n">
        <x:v>525</x:v>
      </x:c>
      <x:c r="B529" s="14" t="str">
        <x:v>ТОВАРИСТВО З ОБМЕЖЕНОЮ ВІДПОВІДАЛЬНІСТЮ "ЄВРОКОМФОРТ-ІФ"</x:v>
      </x:c>
      <x:c r="C529" s="14" t="str">
        <x:v>37409865</x:v>
      </x:c>
      <x:c r="D529" s="14" t="str">
        <x:v>HVAC / ОВіК</x:v>
      </x:c>
      <x:c r="E529" s="14" t="str">
        <x:v>Pilot now</x:v>
      </x:c>
      <x:c r="F529" s="14" t="str">
        <x:v>I3</x:v>
      </x:c>
      <x:c r="G529" s="14" t="n">
        <x:v>25</x:v>
      </x:c>
      <x:c r="H529" s="14" t="n">
        <x:v>1</x:v>
      </x:c>
      <x:c r="I529" s="14" t="n">
        <x:v>0</x:v>
      </x:c>
      <x:c r="J529" s="18" t="n">
        <x:v>45000</x:v>
      </x:c>
      <x:c r="K529" s="19" t="n">
        <x:v>46009.456794791666</x:v>
      </x:c>
      <x:c r="L529" s="19" t="n">
        <x:v>46022.916666655095</x:v>
      </x:c>
      <x:c r="M529" s="15" t="str">
        <x:v>Послуги з монтажу системи вентиляції в Росільнянському ліцеї.</x:v>
      </x:c>
      <x:c r="N529" s="15" t="str">
        <x:v>https://prozorro.gov.ua/tender/UA-2025-12-18-011206-a</x:v>
      </x:c>
    </x:row>
    <x:row r="530">
      <x:c r="A530" s="14" t="n">
        <x:v>526</x:v>
      </x:c>
      <x:c r="B530" s="14" t="str">
        <x:v>ТОВАРИСТВО З ОБМЕЖЕНОЮ ВІДПОВІДАЛЬНІСТЮ "ЄВРОМЕРЕЖА"</x:v>
      </x:c>
      <x:c r="C530" s="14" t="str">
        <x:v>45074837</x:v>
      </x:c>
      <x:c r="D530" s="14" t="str">
        <x:v>Електромонтаж</x:v>
      </x:c>
      <x:c r="E530" s="14" t="str">
        <x:v>Pilot now</x:v>
      </x:c>
      <x:c r="F530" s="14" t="str">
        <x:v>I3</x:v>
      </x:c>
      <x:c r="G530" s="14" t="n">
        <x:v>25</x:v>
      </x:c>
      <x:c r="H530" s="14" t="n">
        <x:v>1</x:v>
      </x:c>
      <x:c r="I530" s="14" t="n">
        <x:v>0</x:v>
      </x:c>
      <x:c r="J530" s="18" t="n">
        <x:v>40725</x:v>
      </x:c>
      <x:c r="K530" s="19" t="n">
        <x:v>45996.344294814815</x:v>
      </x:c>
      <x:c r="L530" s="19" t="n">
        <x:v>46009</x:v>
      </x:c>
      <x:c r="M530" s="15" t="str">
        <x:v>Послуги з проведення перевірки опору заземлення, стану ізоляції, повного опору петлі фаза-нуль, випробування електроінструменту, складання акту прихованої проводки за підвісною стелею будівлі НКЦПФР м. Київ, вул. Кнізів Острозьких, 8, корпус 30</x:v>
      </x:c>
      <x:c r="N530" s="15" t="str">
        <x:v>https://prozorro.gov.ua/tender/UA-2025-12-05-003275-a</x:v>
      </x:c>
    </x:row>
    <x:row r="531">
      <x:c r="A531" s="14" t="n">
        <x:v>527</x:v>
      </x:c>
      <x:c r="B531" s="14" t="str">
        <x:v>ТОВАРИСТВО З ОБМЕЖЕНОЮ ВІДПОВІДАЛЬНІСТЮ "ІНВЕСТИЦІЙНО-БУДІВЕЛЬНА ФІРМА "ЄВРОБУДСЕРВІС"</x:v>
      </x:c>
      <x:c r="C531" s="14" t="str">
        <x:v>34744813</x:v>
      </x:c>
      <x:c r="D531" s="14" t="str">
        <x:v>Електромонтаж</x:v>
      </x:c>
      <x:c r="E531" s="14" t="str">
        <x:v>Pilot now</x:v>
      </x:c>
      <x:c r="F531" s="14" t="str">
        <x:v>I3</x:v>
      </x:c>
      <x:c r="G531" s="14" t="n">
        <x:v>25</x:v>
      </x:c>
      <x:c r="H531" s="14" t="n">
        <x:v>1</x:v>
      </x:c>
      <x:c r="I531" s="14" t="n">
        <x:v>0</x:v>
      </x:c>
      <x:c r="J531" s="18" t="n">
        <x:v>64144.65</x:v>
      </x:c>
      <x:c r="K531" s="19" t="n">
        <x:v>45950.46692756945</x:v>
      </x:c>
      <x:c r="L531" s="19" t="n">
        <x:v>45991</x:v>
      </x:c>
      <x:c r="M531" s="15" t="str">
        <x:v>Послуги з демонтажу та монтажу шаф керування вуличним освітленням (без під"єднання до електричних мереж) у м. Трускавець</x:v>
      </x:c>
      <x:c r="N531" s="15" t="str">
        <x:v>https://prozorro.gov.ua/tender/UA-2025-10-20-008856-a</x:v>
      </x:c>
    </x:row>
    <x:row r="532">
      <x:c r="A532" s="14" t="n">
        <x:v>528</x:v>
      </x:c>
      <x:c r="B532" s="14" t="str">
        <x:v>Товариство з обмеженою відповідальністю "Інженерно-виробнича фірма "РІВАС"</x:v>
      </x:c>
      <x:c r="C532" s="14" t="str">
        <x:v>21227104</x:v>
      </x:c>
      <x:c r="D532" s="14" t="str">
        <x:v>ВОЛЗ / телеком</x:v>
      </x:c>
      <x:c r="E532" s="14" t="str">
        <x:v>Expansion discovery</x:v>
      </x:c>
      <x:c r="F532" s="14" t="str">
        <x:v>I3</x:v>
      </x:c>
      <x:c r="G532" s="14" t="n">
        <x:v>25</x:v>
      </x:c>
      <x:c r="H532" s="14" t="n">
        <x:v>1</x:v>
      </x:c>
      <x:c r="I532" s="14" t="n">
        <x:v>0</x:v>
      </x:c>
      <x:c r="J532" s="18" t="n">
        <x:v>82902.16</x:v>
      </x:c>
      <x:c r="K532" s="19" t="n">
        <x:v>45692.53341179398</x:v>
      </x:c>
      <x:c r="L532" s="19" t="n">
        <x:v>45747</x:v>
      </x:c>
      <x:c r="M532" s="15" t="str">
        <x:v>Роботи з нового будівництва сегменту ВОЛЗ від пров. Донбасівський, 17 до вул. Новий Побут, 12</x:v>
      </x:c>
      <x:c r="N532" s="15" t="str">
        <x:v>https://prozorro.gov.ua/tender/UA-2025-02-04-011367-a</x:v>
      </x:c>
    </x:row>
    <x:row r="533">
      <x:c r="A533" s="14" t="n">
        <x:v>529</x:v>
      </x:c>
      <x:c r="B533" s="14" t="str">
        <x:v>ТОВАРИСТВО З ОБМЕЖЕНОЮ ВІДПОВІДАЛЬНІСТЮ "МЕДГАЗ"</x:v>
      </x:c>
      <x:c r="C533" s="14" t="str">
        <x:v>40519037</x:v>
      </x:c>
      <x:c r="D533" s="14" t="str">
        <x:v>Медичні гази</x:v>
      </x:c>
      <x:c r="E533" s="14" t="str">
        <x:v>Expansion discovery</x:v>
      </x:c>
      <x:c r="F533" s="14" t="str">
        <x:v>I3</x:v>
      </x:c>
      <x:c r="G533" s="14" t="n">
        <x:v>25</x:v>
      </x:c>
      <x:c r="H533" s="14" t="n">
        <x:v>1</x:v>
      </x:c>
      <x:c r="I533" s="14" t="n">
        <x:v>0</x:v>
      </x:c>
      <x:c r="J533" s="18" t="n">
        <x:v>22008</x:v>
      </x:c>
      <x:c r="K533" s="19" t="n">
        <x:v>45896.545817893515</x:v>
      </x:c>
      <x:c r="L533" s="19" t="n">
        <x:v>46022</x:v>
      </x:c>
      <x:c r="M533" s="15" t="str">
        <x:v>Послуги зі встановлення медичного обладнання (послуги з монтажу обладнання  системи лікувальних газів ОКНП "Чернівецький обласний клінічний кардіологічний центр", а саме: монтаж Розетки корпусної газової кисневої - DIN - припаювальної у кількості 10 штук</x:v>
      </x:c>
      <x:c r="N533" s="15" t="str">
        <x:v>https://prozorro.gov.ua/tender/UA-2025-08-27-009000-a</x:v>
      </x:c>
    </x:row>
    <x:row r="534">
      <x:c r="A534" s="14" t="n">
        <x:v>530</x:v>
      </x:c>
      <x:c r="B534" s="14" t="str">
        <x:v>ТОВАРИСТВО З ОБМЕЖЕНОЮ ВІДПОВІДАЛЬНІСТЮ "ПРОДТОВАРИ-Т"</x:v>
      </x:c>
      <x:c r="C534" s="14" t="str">
        <x:v>34402940</x:v>
      </x:c>
      <x:c r="D534" s="14" t="str">
        <x:v>Електромонтаж</x:v>
      </x:c>
      <x:c r="E534" s="14" t="str">
        <x:v>Pilot now</x:v>
      </x:c>
      <x:c r="F534" s="14" t="str">
        <x:v>I3</x:v>
      </x:c>
      <x:c r="G534" s="14" t="n">
        <x:v>25</x:v>
      </x:c>
      <x:c r="H534" s="14" t="n">
        <x:v>1</x:v>
      </x:c>
      <x:c r="I534" s="14" t="n">
        <x:v>0</x:v>
      </x:c>
      <x:c r="J534" s="18" t="n">
        <x:v>18500</x:v>
      </x:c>
      <x:c r="K534" s="19" t="n">
        <x:v>45842.36780934028</x:v>
      </x:c>
      <x:c r="L534" s="19" t="n">
        <x:v>46022</x:v>
      </x:c>
      <x:c r="M534" s="15" t="str">
        <x:v>Електровимірювальні роботи</x:v>
      </x:c>
      <x:c r="N534" s="15" t="str">
        <x:v>https://prozorro.gov.ua/tender/UA-2025-07-04-004123-a</x:v>
      </x:c>
    </x:row>
    <x:row r="535">
      <x:c r="A535" s="14" t="n">
        <x:v>531</x:v>
      </x:c>
      <x:c r="B535" s="14" t="str">
        <x:v>Управління поліції охорони в Івано-Франківській області</x:v>
      </x:c>
      <x:c r="C535" s="14" t="str">
        <x:v>40108892</x:v>
      </x:c>
      <x:c r="D535" s="14" t="str">
        <x:v>Резервне живлення</x:v>
      </x:c>
      <x:c r="E535" s="14" t="str">
        <x:v>Expansion discovery</x:v>
      </x:c>
      <x:c r="F535" s="14" t="str">
        <x:v>I3</x:v>
      </x:c>
      <x:c r="G535" s="14" t="n">
        <x:v>25</x:v>
      </x:c>
      <x:c r="H535" s="14" t="n">
        <x:v>1</x:v>
      </x:c>
      <x:c r="I535" s="14" t="n">
        <x:v>0</x:v>
      </x:c>
      <x:c r="J535" s="18" t="n">
        <x:v>5054.37</x:v>
      </x:c>
      <x:c r="K535" s="19" t="n">
        <x:v>46008.61897293982</x:v>
      </x:c>
      <x:c r="L535" s="19" t="n">
        <x:v>46022.61561342593</x:v>
      </x:c>
      <x:c r="M535" s="15" t="str">
        <x:v>послуги монтажу блоку безперебійного живлення з акумулятором для системи охоронної сигналізації</x:v>
      </x:c>
      <x:c r="N535" s="15" t="str">
        <x:v>https://prozorro.gov.ua/tender/UA-2025-12-17-021884-a</x:v>
      </x:c>
    </x:row>
    <x:row r="536">
      <x:c r="A536" s="14" t="n">
        <x:v>532</x:v>
      </x:c>
      <x:c r="B536" s="14" t="str">
        <x:v>ДАНИЛЬЧЕНКО ЮЛІЙ ЕДУАРДОВИЧ</x:v>
      </x:c>
      <x:c r="C536" s="14" t="str">
        <x:v>3122511676</x:v>
      </x:c>
      <x:c r="D536" s="14" t="str">
        <x:v>HVAC / ОВіК</x:v>
      </x:c>
      <x:c r="E536" s="14" t="str">
        <x:v>Pilot now</x:v>
      </x:c>
      <x:c r="F536" s="14" t="str">
        <x:v>I3</x:v>
      </x:c>
      <x:c r="G536" s="14" t="n">
        <x:v>22</x:v>
      </x:c>
      <x:c r="H536" s="14" t="n">
        <x:v>1</x:v>
      </x:c>
      <x:c r="I536" s="14" t="n">
        <x:v>0</x:v>
      </x:c>
      <x:c r="J536" s="18" t="n">
        <x:v>98656.8</x:v>
      </x:c>
      <x:c r="K536" s="19" t="n">
        <x:v>46013.4062894213</x:v>
      </x:c>
      <x:c r="L536" s="19" t="n">
        <x:v>46017</x:v>
      </x:c>
      <x:c r="M536" s="15" t="str">
        <x:v>Послуги з монтажу твердотопливного котла та під'єднання до існуючої системи опалення</x:v>
      </x:c>
      <x:c r="N536" s="15" t="str">
        <x:v>https://prozorro.gov.ua/tender/UA-2025-12-22-007149-a</x:v>
      </x:c>
    </x:row>
    <x:row r="537">
      <x:c r="A537" s="14" t="n">
        <x:v>533</x:v>
      </x:c>
      <x:c r="B537" s="14" t="str">
        <x:v>ІЛІКА ВАСИЛЬ АНАТОЛІЙОВИЧ</x:v>
      </x:c>
      <x:c r="C537" s="14" t="str">
        <x:v>3325109871</x:v>
      </x:c>
      <x:c r="D537" s="14" t="str">
        <x:v>Резервне живлення</x:v>
      </x:c>
      <x:c r="E537" s="14" t="str">
        <x:v>Expansion discovery</x:v>
      </x:c>
      <x:c r="F537" s="14" t="str">
        <x:v>I3</x:v>
      </x:c>
      <x:c r="G537" s="14" t="n">
        <x:v>22</x:v>
      </x:c>
      <x:c r="H537" s="14" t="n">
        <x:v>1</x:v>
      </x:c>
      <x:c r="I537" s="14" t="n">
        <x:v>0</x:v>
      </x:c>
      <x:c r="J537" s="18" t="n">
        <x:v>31000</x:v>
      </x:c>
      <x:c r="K537" s="19" t="n">
        <x:v>45750.721517337966</x:v>
      </x:c>
      <x:c r="L537" s="19" t="n">
        <x:v>46022</x:v>
      </x:c>
      <x:c r="M537" s="15" t="str">
        <x:v>Послуги з монтажу системи безперебійного живлення</x:v>
      </x:c>
      <x:c r="N537" s="15" t="str">
        <x:v>https://prozorro.gov.ua/tender/UA-2025-04-03-014446-a</x:v>
      </x:c>
    </x:row>
    <x:row r="538">
      <x:c r="A538" s="14" t="n">
        <x:v>534</x:v>
      </x:c>
      <x:c r="B538" s="14" t="str">
        <x:v>КИРПА СЕРГІЙ БОРИСОВИЧ</x:v>
      </x:c>
      <x:c r="C538" s="14" t="str">
        <x:v>2764511934</x:v>
      </x:c>
      <x:c r="D538" s="14" t="str">
        <x:v>Промисловий холод</x:v>
      </x:c>
      <x:c r="E538" s="14" t="str">
        <x:v>Expansion discovery</x:v>
      </x:c>
      <x:c r="F538" s="14" t="str">
        <x:v>I3</x:v>
      </x:c>
      <x:c r="G538" s="14" t="n">
        <x:v>22</x:v>
      </x:c>
      <x:c r="H538" s="14" t="n">
        <x:v>1</x:v>
      </x:c>
      <x:c r="I538" s="14" t="n">
        <x:v>0</x:v>
      </x:c>
      <x:c r="J538" s="18" t="n">
        <x:v>84796</x:v>
      </x:c>
      <x:c r="K538" s="19" t="n">
        <x:v>45989.583615</x:v>
      </x:c>
      <x:c r="L538" s="19" t="n">
        <x:v>45996</x:v>
      </x:c>
      <x:c r="M538" s="15" t="str">
        <x:v>Кондиціонери із комплектом для монтажу ДК 021:2015:42510000-4 Теплообмінники, кондиціонери повітря, холодильне обладнання та фільтрувальні пристрої</x:v>
      </x:c>
      <x:c r="N538" s="15" t="str">
        <x:v>https://prozorro.gov.ua/tender/UA-2025-11-28-013574-a</x:v>
      </x:c>
    </x:row>
    <x:row r="539">
      <x:c r="A539" s="14" t="n">
        <x:v>535</x:v>
      </x:c>
      <x:c r="B539" s="14" t="str">
        <x:v>МИХАЙЛЮК МАРІЯ ІВАНІВНА</x:v>
      </x:c>
      <x:c r="C539" s="14" t="str">
        <x:v>3612006961</x:v>
      </x:c>
      <x:c r="D539" s="14" t="str">
        <x:v>Електромонтаж</x:v>
      </x:c>
      <x:c r="E539" s="14" t="str">
        <x:v>Pilot now</x:v>
      </x:c>
      <x:c r="F539" s="14" t="str">
        <x:v>I3</x:v>
      </x:c>
      <x:c r="G539" s="14" t="n">
        <x:v>22</x:v>
      </x:c>
      <x:c r="H539" s="14" t="n">
        <x:v>1</x:v>
      </x:c>
      <x:c r="I539" s="14" t="n">
        <x:v>0</x:v>
      </x:c>
      <x:c r="J539" s="18" t="n">
        <x:v>30400</x:v>
      </x:c>
      <x:c r="K539" s="19" t="n">
        <x:v>46002.42301488426</x:v>
      </x:c>
      <x:c r="L539" s="19" t="n">
        <x:v>46022</x:v>
      </x:c>
      <x:c r="M539" s="15" t="str">
        <x:v>послуги з монтажу та налаштування електричної мережі</x:v>
      </x:c>
      <x:c r="N539" s="15" t="str">
        <x:v>https://prozorro.gov.ua/tender/UA-2025-12-11-008571-a</x:v>
      </x:c>
    </x:row>
    <x:row r="540">
      <x:c r="A540" s="14" t="n">
        <x:v>536</x:v>
      </x:c>
      <x:c r="B540" s="14" t="str">
        <x:v>ПЕТРУК МИКОЛА ВОЛОДИМИРОВИЧ</x:v>
      </x:c>
      <x:c r="C540" s="14" t="str">
        <x:v>1862822250</x:v>
      </x:c>
      <x:c r="D540" s="14" t="str">
        <x:v>Електромонтаж</x:v>
      </x:c>
      <x:c r="E540" s="14" t="str">
        <x:v>Pilot now</x:v>
      </x:c>
      <x:c r="F540" s="14" t="str">
        <x:v>I3</x:v>
      </x:c>
      <x:c r="G540" s="14" t="n">
        <x:v>22</x:v>
      </x:c>
      <x:c r="H540" s="14" t="n">
        <x:v>1</x:v>
      </x:c>
      <x:c r="I540" s="14" t="n">
        <x:v>0</x:v>
      </x:c>
      <x:c r="J540" s="18" t="n">
        <x:v>33100</x:v>
      </x:c>
      <x:c r="K540" s="19" t="n">
        <x:v>46013.441212349535</x:v>
      </x:c>
      <x:c r="L540" s="19" t="n">
        <x:v>46022</x:v>
      </x:c>
      <x:c r="M540" s="15" t="str">
        <x:v>допоміжні роботи до послуг з розробки технічних умов підключення до телекомунікаційних мереж, а саме: послуги з монтажу та налаштування електричної мережі резервного каналу живлення </x:v>
      </x:c>
      <x:c r="N540" s="15" t="str">
        <x:v>https://prozorro.gov.ua/tender/UA-2025-12-22-009110-a</x:v>
      </x:c>
    </x:row>
    <x:row r="541">
      <x:c r="A541" s="14" t="n">
        <x:v>537</x:v>
      </x:c>
      <x:c r="B541" s="14" t="str">
        <x:v>Сердюк Олексій Григорович</x:v>
      </x:c>
      <x:c r="C541" s="14" t="str">
        <x:v>2963012655</x:v>
      </x:c>
      <x:c r="D541" s="14" t="str">
        <x:v>Електромонтаж</x:v>
      </x:c>
      <x:c r="E541" s="14" t="str">
        <x:v>Pilot now</x:v>
      </x:c>
      <x:c r="F541" s="14" t="str">
        <x:v>I3</x:v>
      </x:c>
      <x:c r="G541" s="14" t="n">
        <x:v>22</x:v>
      </x:c>
      <x:c r="H541" s="14" t="n">
        <x:v>1</x:v>
      </x:c>
      <x:c r="I541" s="14" t="n">
        <x:v>0</x:v>
      </x:c>
      <x:c r="J541" s="18" t="n">
        <x:v>5000.4</x:v>
      </x:c>
      <x:c r="K541" s="19" t="n">
        <x:v>45938.455317962966</x:v>
      </x:c>
      <x:c r="L541" s="19" t="n">
        <x:v>46022</x:v>
      </x:c>
      <x:c r="M541" s="15" t="str">
        <x:v>Послуги технічного обслуговування електричного устаткування будівель (перевірка системи заземлення, електровимірювальні роботи та виготовлення технічної документації)</x:v>
      </x:c>
      <x:c r="N541" s="15" t="str">
        <x:v>https://prozorro.gov.ua/tender/UA-2025-10-08-008132-a</x:v>
      </x:c>
    </x:row>
    <x:row r="542">
      <x:c r="A542" s="14" t="n">
        <x:v>538</x:v>
      </x:c>
      <x:c r="B542" s="14" t="str">
        <x:v>Тимків Володимир Ярославович</x:v>
      </x:c>
      <x:c r="C542" s="14" t="str">
        <x:v>3060706854</x:v>
      </x:c>
      <x:c r="D542" s="14" t="str">
        <x:v>HVAC / ОВіК</x:v>
      </x:c>
      <x:c r="E542" s="14" t="str">
        <x:v>Pilot now</x:v>
      </x:c>
      <x:c r="F542" s="14" t="str">
        <x:v>I3</x:v>
      </x:c>
      <x:c r="G542" s="14" t="n">
        <x:v>22</x:v>
      </x:c>
      <x:c r="H542" s="14" t="n">
        <x:v>1</x:v>
      </x:c>
      <x:c r="I542" s="14" t="n">
        <x:v>0</x:v>
      </x:c>
      <x:c r="J542" s="18" t="n">
        <x:v>10570</x:v>
      </x:c>
      <x:c r="K542" s="19" t="n">
        <x:v>46009.506276712964</x:v>
      </x:c>
      <x:c r="L542" s="19" t="n">
        <x:v>46022</x:v>
      </x:c>
      <x:c r="M542" s="15" t="str">
        <x:v>Монтаж системи вентиляції</x:v>
      </x:c>
      <x:c r="N542" s="15" t="str">
        <x:v>https://prozorro.gov.ua/tender/UA-2025-12-18-013725-a</x:v>
      </x:c>
    </x:row>
    <x:row r="543">
      <x:c r="A543" s="14" t="n">
        <x:v>539</x:v>
      </x:c>
      <x:c r="B543" s="14" t="str">
        <x:v>Фізична особа-підприємець БЄЛОНОГОВ ГЛІБ ВІКТОРОВИЧ</x:v>
      </x:c>
      <x:c r="C543" s="14" t="str">
        <x:v>2771206338</x:v>
      </x:c>
      <x:c r="D543" s="14" t="str">
        <x:v>Електромонтаж</x:v>
      </x:c>
      <x:c r="E543" s="14" t="str">
        <x:v>Pilot now</x:v>
      </x:c>
      <x:c r="F543" s="14" t="str">
        <x:v>I3</x:v>
      </x:c>
      <x:c r="G543" s="14" t="n">
        <x:v>22</x:v>
      </x:c>
      <x:c r="H543" s="14" t="n">
        <x:v>1</x:v>
      </x:c>
      <x:c r="I543" s="14" t="n">
        <x:v>0</x:v>
      </x:c>
      <x:c r="J543" s="18" t="n">
        <x:v>20650</x:v>
      </x:c>
      <x:c r="K543" s="19" t="n">
        <x:v>46009.32575747685</x:v>
      </x:c>
      <x:c r="L543" s="19" t="n">
        <x:v>46013</x:v>
      </x:c>
      <x:c r="M543" s="15" t="str">
        <x:v>Послуги з монтажу та налаштування електричного обладнання та електричної мережі, підключення генератора</x:v>
      </x:c>
      <x:c r="N543" s="15" t="str">
        <x:v>https://prozorro.gov.ua/tender/UA-2025-12-18-002656-a</x:v>
      </x:c>
    </x:row>
    <x:row r="544">
      <x:c r="A544" s="14" t="n">
        <x:v>540</x:v>
      </x:c>
      <x:c r="B544" s="14" t="str">
        <x:v>Фізична особа-підприємець Кисельов Олександр Сергійович</x:v>
      </x:c>
      <x:c r="C544" s="14" t="str">
        <x:v>3473503555</x:v>
      </x:c>
      <x:c r="D544" s="14" t="str">
        <x:v>Резервне живлення</x:v>
      </x:c>
      <x:c r="E544" s="14" t="str">
        <x:v>Expansion discovery</x:v>
      </x:c>
      <x:c r="F544" s="14" t="str">
        <x:v>I3</x:v>
      </x:c>
      <x:c r="G544" s="14" t="n">
        <x:v>22</x:v>
      </x:c>
      <x:c r="H544" s="14" t="n">
        <x:v>1</x:v>
      </x:c>
      <x:c r="I544" s="14" t="n">
        <x:v>0</x:v>
      </x:c>
      <x:c r="J544" s="18" t="n">
        <x:v>51000</x:v>
      </x:c>
      <x:c r="K544" s="19" t="n">
        <x:v>46002.561358831015</x:v>
      </x:c>
      <x:c r="L544" s="19" t="n">
        <x:v>46000</x:v>
      </x:c>
      <x:c r="M544" s="15" t="str">
        <x:v>Послуги з монтажу та налаштування системи безперебійного живлення на об"єкті замовника за адресою: м.Київ, вул. Митрополита Шептицького,24 (згідно коду ДК 021:2015: 51110000-6: Послуги зі встановлення електричного обладнання)</x:v>
      </x:c>
      <x:c r="N544" s="15" t="str">
        <x:v>https://prozorro.gov.ua/tender/UA-2025-12-11-016854-a</x:v>
      </x:c>
    </x:row>
    <x:row r="545">
      <x:c r="A545" s="14" t="n">
        <x:v>541</x:v>
      </x:c>
      <x:c r="B545" s="14" t="str">
        <x:v>ФО-П РЕГІДА ГЕННАДІЙ ВІТАЛІЙОВИЧ</x:v>
      </x:c>
      <x:c r="C545" s="14" t="str">
        <x:v>2191532230</x:v>
      </x:c>
      <x:c r="D545" s="14" t="str">
        <x:v>ВОЛЗ / телеком</x:v>
      </x:c>
      <x:c r="E545" s="14" t="str">
        <x:v>Expansion discovery</x:v>
      </x:c>
      <x:c r="F545" s="14" t="str">
        <x:v>I3</x:v>
      </x:c>
      <x:c r="G545" s="14" t="n">
        <x:v>22</x:v>
      </x:c>
      <x:c r="H545" s="14" t="n">
        <x:v>1</x:v>
      </x:c>
      <x:c r="I545" s="14" t="n">
        <x:v>0</x:v>
      </x:c>
      <x:c r="J545" s="18" t="n">
        <x:v>97030</x:v>
      </x:c>
      <x:c r="K545" s="19" t="n">
        <x:v>45821.2460830787</x:v>
      </x:c>
      <x:c r="L545" s="19" t="n">
        <x:v>46022</x:v>
      </x:c>
      <x:c r="M545" s="15" t="str">
        <x:v>Послуги з технічного нагляду за будівництвом об'єкту: "Нове будівництво КЛ10 кВ та ВОЛЗ від КТП-399 до РП-23 по вул. Львівске шосе, вул. Тернопільська в м. Хмельницькому (Інвестиційна програма 2025 року - п.І.3.2)"</x:v>
      </x:c>
      <x:c r="N545" s="15" t="str">
        <x:v>https://prozorro.gov.ua/tender/UA-2025-06-13-000441-a</x:v>
      </x:c>
    </x:row>
    <x:row r="546">
      <x:c r="A546" s="14" t="n">
        <x:v>542</x:v>
      </x:c>
      <x:c r="B546" s="14" t="str">
        <x:v>ФОП Білак М. М.</x:v>
      </x:c>
      <x:c r="C546" s="14" t="str">
        <x:v>3356200378</x:v>
      </x:c>
      <x:c r="D546" s="14" t="str">
        <x:v>Електромонтаж</x:v>
      </x:c>
      <x:c r="E546" s="14" t="str">
        <x:v>Pilot now</x:v>
      </x:c>
      <x:c r="F546" s="14" t="str">
        <x:v>I3</x:v>
      </x:c>
      <x:c r="G546" s="14" t="n">
        <x:v>22</x:v>
      </x:c>
      <x:c r="H546" s="14" t="n">
        <x:v>1</x:v>
      </x:c>
      <x:c r="I546" s="14" t="n">
        <x:v>0</x:v>
      </x:c>
      <x:c r="J546" s="18" t="n">
        <x:v>24865</x:v>
      </x:c>
      <x:c r="K546" s="19" t="n">
        <x:v>45846.47080446759</x:v>
      </x:c>
      <x:c r="L546" s="19" t="n">
        <x:v>46022.514560185184</x:v>
      </x:c>
      <x:c r="M546" s="15" t="str">
        <x:v>Послуги з монтажу заземлення спільно з електровимірювальними та випробувальними роботами на об'єкті - їдальня Дубрівського ЗЗСО І-ІІІ ступенів Іршавської міської ради за адресою: Хустський район, с. Дубрівка, 210</x:v>
      </x:c>
      <x:c r="N546" s="15" t="str">
        <x:v>https://prozorro.gov.ua/tender/UA-2025-07-08-006713-a</x:v>
      </x:c>
    </x:row>
    <x:row r="547">
      <x:c r="A547" s="14" t="n">
        <x:v>543</x:v>
      </x:c>
      <x:c r="B547" s="14" t="str">
        <x:v>ФОП Кривов'яз Олександр Михайлович</x:v>
      </x:c>
      <x:c r="C547" s="14" t="str">
        <x:v>2312507773</x:v>
      </x:c>
      <x:c r="D547" s="14" t="str">
        <x:v>Електромонтаж</x:v>
      </x:c>
      <x:c r="E547" s="14" t="str">
        <x:v>Pilot now</x:v>
      </x:c>
      <x:c r="F547" s="14" t="str">
        <x:v>I3</x:v>
      </x:c>
      <x:c r="G547" s="14" t="n">
        <x:v>22</x:v>
      </x:c>
      <x:c r="H547" s="14" t="n">
        <x:v>1</x:v>
      </x:c>
      <x:c r="I547" s="14" t="n">
        <x:v>0</x:v>
      </x:c>
      <x:c r="J547" s="18" t="n">
        <x:v>2400</x:v>
      </x:c>
      <x:c r="K547" s="19" t="n">
        <x:v>45933.31513700231</x:v>
      </x:c>
      <x:c r="L547" s="19" t="n">
        <x:v>46022.916666655095</x:v>
      </x:c>
      <x:c r="M547" s="15" t="str">
        <x:v>Проведення електровимірювальних робіт (вимір опору ізоляції, опору перехідних контактів, заземлення, вимір повного опору петлі "фаза-нуль") на об'єкті: приміщення котельні КЗ "Ржищівська публічна біблоітека" за адресою: м. Ржищів, Київська область, вул. Соборна,8</x:v>
      </x:c>
      <x:c r="N547" s="15" t="str">
        <x:v>https://prozorro.gov.ua/tender/UA-2025-10-03-002607-a</x:v>
      </x:c>
    </x:row>
    <x:row r="548">
      <x:c r="A548" s="14" t="n">
        <x:v>544</x:v>
      </x:c>
      <x:c r="B548" s="14" t="str">
        <x:v>ФОП Майданець Катерина Олександрівна</x:v>
      </x:c>
      <x:c r="C548" s="14" t="str">
        <x:v>3321004687</x:v>
      </x:c>
      <x:c r="D548" s="14" t="str">
        <x:v>Безпека / СКУД / CCTV</x:v>
      </x:c>
      <x:c r="E548" s="14" t="str">
        <x:v>Expansion discovery</x:v>
      </x:c>
      <x:c r="F548" s="14" t="str">
        <x:v>I3</x:v>
      </x:c>
      <x:c r="G548" s="14" t="n">
        <x:v>22</x:v>
      </x:c>
      <x:c r="H548" s="14" t="n">
        <x:v>1</x:v>
      </x:c>
      <x:c r="I548" s="14" t="n">
        <x:v>0</x:v>
      </x:c>
      <x:c r="J548" s="18" t="n">
        <x:v>29302</x:v>
      </x:c>
      <x:c r="K548" s="19" t="n">
        <x:v>46008.550614733795</x:v>
      </x:c>
      <x:c r="L548" s="19" t="n">
        <x:v>46022.54587962963</x:v>
      </x:c>
      <x:c r="M548" s="15" t="str">
        <x:v>послуги з монтажу та налаштування системи контролю доступу</x:v>
      </x:c>
      <x:c r="N548" s="15" t="str">
        <x:v>https://prozorro.gov.ua/tender/UA-2025-12-17-016354-a</x:v>
      </x:c>
    </x:row>
    <x:row r="549">
      <x:c r="A549" s="14" t="n">
        <x:v>545</x:v>
      </x:c>
      <x:c r="B549" s="14" t="str">
        <x:v>ФОП Меркушева Анна Олександрівна</x:v>
      </x:c>
      <x:c r="C549" s="14" t="str">
        <x:v>3417005720</x:v>
      </x:c>
      <x:c r="D549" s="14" t="str">
        <x:v>HVAC / ОВіК</x:v>
      </x:c>
      <x:c r="E549" s="14" t="str">
        <x:v>Pilot now</x:v>
      </x:c>
      <x:c r="F549" s="14" t="str">
        <x:v>I3</x:v>
      </x:c>
      <x:c r="G549" s="14" t="n">
        <x:v>22</x:v>
      </x:c>
      <x:c r="H549" s="14" t="n">
        <x:v>1</x:v>
      </x:c>
      <x:c r="I549" s="14" t="n">
        <x:v>0</x:v>
      </x:c>
      <x:c r="J549" s="18" t="n">
        <x:v>22130</x:v>
      </x:c>
      <x:c r="K549" s="19" t="n">
        <x:v>45958.52176607639</x:v>
      </x:c>
      <x:c r="L549" s="19" t="n">
        <x:v>46022.916666655095</x:v>
      </x:c>
      <x:c r="M549" s="15" t="str">
        <x:v>Закупівля послуг з монтажу системи опалення</x:v>
      </x:c>
      <x:c r="N549" s="15" t="str">
        <x:v>https://prozorro.gov.ua/tender/UA-2025-10-28-010075-a</x:v>
      </x:c>
    </x:row>
    <x:row r="550">
      <x:c r="A550" s="14" t="n">
        <x:v>546</x:v>
      </x:c>
      <x:c r="B550" s="14" t="str">
        <x:v>ФОП Напаснюк Інна Валеріївна</x:v>
      </x:c>
      <x:c r="C550" s="14" t="str">
        <x:v>2855817427</x:v>
      </x:c>
      <x:c r="D550" s="14" t="str">
        <x:v>Резервне живлення</x:v>
      </x:c>
      <x:c r="E550" s="14" t="str">
        <x:v>Expansion discovery</x:v>
      </x:c>
      <x:c r="F550" s="14" t="str">
        <x:v>I3</x:v>
      </x:c>
      <x:c r="G550" s="14" t="n">
        <x:v>22</x:v>
      </x:c>
      <x:c r="H550" s="14" t="n">
        <x:v>1</x:v>
      </x:c>
      <x:c r="I550" s="14" t="n">
        <x:v>0</x:v>
      </x:c>
      <x:c r="J550" s="18" t="n">
        <x:v>8900</x:v>
      </x:c>
      <x:c r="K550" s="19" t="n">
        <x:v>46009.690366967596</x:v>
      </x:c>
      <x:c r="L550" s="19" t="n">
        <x:v>46021.69065972222</x:v>
      </x:c>
      <x:c r="M550" s="15" t="str">
        <x:v>Послуги з ремонту, монтажу та вдосконалення системи відеоспостереження, технічного обслуговування мережі internet та впровадження безперебійного живлення точки доступу мережі internet</x:v>
      </x:c>
      <x:c r="N550" s="15" t="str">
        <x:v>https://prozorro.gov.ua/tender/UA-2025-12-18-024456-a</x:v>
      </x:c>
    </x:row>
    <x:row r="551">
      <x:c r="A551" s="14" t="n">
        <x:v>547</x:v>
      </x:c>
      <x:c r="B551" s="14" t="str">
        <x:v>ФОП Сидорівський В.М.</x:v>
      </x:c>
      <x:c r="C551" s="14" t="str">
        <x:v>2534309035</x:v>
      </x:c>
      <x:c r="D551" s="14" t="str">
        <x:v>Сонячна енергетика</x:v>
      </x:c>
      <x:c r="E551" s="14" t="str">
        <x:v>Expansion discovery</x:v>
      </x:c>
      <x:c r="F551" s="14" t="str">
        <x:v>I3</x:v>
      </x:c>
      <x:c r="G551" s="14" t="n">
        <x:v>22</x:v>
      </x:c>
      <x:c r="H551" s="14" t="n">
        <x:v>1</x:v>
      </x:c>
      <x:c r="I551" s="14" t="n">
        <x:v>0</x:v>
      </x:c>
      <x:c r="J551" s="18" t="n">
        <x:v>95000</x:v>
      </x:c>
      <x:c r="K551" s="19" t="n">
        <x:v>46008.60146755787</x:v>
      </x:c>
      <x:c r="L551" s="19" t="n">
        <x:v>46022.60365740741</x:v>
      </x:c>
      <x:c r="M551" s="15" t="str">
        <x:v>монтаж сонячної електростанції</x:v>
      </x:c>
      <x:c r="N551" s="15" t="str">
        <x:v>https://prozorro.gov.ua/tender/UA-2025-12-17-021013-a</x:v>
      </x:c>
    </x:row>
    <x:row r="552">
      <x:c r="A552" s="14" t="n">
        <x:v>548</x:v>
      </x:c>
      <x:c r="B552" s="14" t="str">
        <x:v>ФОП ЦЬОХ ГАЛИНА СТАНІСЛАВІВНА</x:v>
      </x:c>
      <x:c r="C552" s="14" t="str">
        <x:v>2602706188</x:v>
      </x:c>
      <x:c r="D552" s="14" t="str">
        <x:v>Електромонтаж</x:v>
      </x:c>
      <x:c r="E552" s="14" t="str">
        <x:v>Pilot now</x:v>
      </x:c>
      <x:c r="F552" s="14" t="str">
        <x:v>I3</x:v>
      </x:c>
      <x:c r="G552" s="14" t="n">
        <x:v>22</x:v>
      </x:c>
      <x:c r="H552" s="14" t="n">
        <x:v>1</x:v>
      </x:c>
      <x:c r="I552" s="14" t="n">
        <x:v>0</x:v>
      </x:c>
      <x:c r="J552" s="18" t="n">
        <x:v>55000</x:v>
      </x:c>
      <x:c r="K552" s="19" t="n">
        <x:v>45924.55775303241</x:v>
      </x:c>
      <x:c r="L552" s="19" t="n">
        <x:v>45940</x:v>
      </x:c>
      <x:c r="M552" s="15" t="str">
        <x:v>Послуги по виконанню електровимірювальних робіт, проведенню перевірки системи заземлення та виготовлення технічної документації</x:v>
      </x:c>
      <x:c r="N552" s="15" t="str">
        <x:v>https://prozorro.gov.ua/tender/UA-2025-09-16-013936-a</x:v>
      </x:c>
    </x:row>
    <x:row r="553">
      <x:c r="A553" s="14" t="n">
        <x:v>549</x:v>
      </x:c>
      <x:c r="B553" s="14" t="str">
        <x:v>ШИМЧУК СЕРГІЙ ЄВСТАФІЙОВИЧ</x:v>
      </x:c>
      <x:c r="C553" s="14" t="str">
        <x:v>2389802056</x:v>
      </x:c>
      <x:c r="D553" s="14" t="str">
        <x:v>HVAC / ОВіК</x:v>
      </x:c>
      <x:c r="E553" s="14" t="str">
        <x:v>Pilot now</x:v>
      </x:c>
      <x:c r="F553" s="14" t="str">
        <x:v>I3</x:v>
      </x:c>
      <x:c r="G553" s="14" t="n">
        <x:v>22</x:v>
      </x:c>
      <x:c r="H553" s="14" t="n">
        <x:v>1</x:v>
      </x:c>
      <x:c r="I553" s="14" t="n">
        <x:v>0</x:v>
      </x:c>
      <x:c r="J553" s="18" t="n">
        <x:v>18100</x:v>
      </x:c>
      <x:c r="K553" s="19" t="n">
        <x:v>46013.436637280094</x:v>
      </x:c>
      <x:c r="L553" s="19" t="n">
        <x:v>46017</x:v>
      </x:c>
      <x:c r="M553" s="15" t="str">
        <x:v>Послуги по монтажу системи опалення та кондиціонування</x:v>
      </x:c>
      <x:c r="N553" s="15" t="str">
        <x:v>https://prozorro.gov.ua/tender/UA-2025-12-22-008729-a</x:v>
      </x:c>
    </x:row>
  </x:sheetData>
  <x:mergeCells>
    <x:mergeCell ref="A1:N1"/>
    <x:mergeCell ref="A2:N2"/>
    <x:mergeCell ref="A3:N3"/>
  </x:mergeCells>
  <x:conditionalFormatting sqref="F5:F553">
    <x:cfRule type="containsText" dxfId="7" priority="1" operator="containsText" text="I1"/>
    <x:cfRule type="containsText" dxfId="8" priority="2" operator="containsText" text="I2"/>
  </x:conditionalFormatting>
  <x:conditionalFormatting sqref="G5:G553">
    <x:cfRule type="colorScale" priority="3">
      <x:colorScale>
        <x:cfvo type="min"/>
        <x:cfvo type="percentile" val="50"/>
        <x:cfvo type="max"/>
        <x:color rgb="FFF3F4F6"/>
        <x:color rgb="FFFFF4D6"/>
        <x:color rgb="FFE9F7ED"/>
      </x:colorScale>
    </x:cfRule>
  </x:conditionalFormatting>
  <x:pageMargins left="0.7" right="0.7" top="0.75" bottom="0.75" header="0.3" footer="0.3"/>
  <x:tableParts count="1">
    <x:tablePart xmlns:r="http://schemas.openxmlformats.org/officeDocument/2006/relationships" r:id="R2a7bd9042bee4f24"/>
  </x:tableParts>
</x:worksheet>
</file>

<file path=xl/worksheets/sheet4.xml><?xml version="1.0" encoding="utf-8"?>
<x:worksheet xmlns:x="http://schemas.openxmlformats.org/spreadsheetml/2006/main">
  <x:sheetFormatPr defaultRowHeight="15"/>
  <x:cols>
    <x:col min="1" max="1" width="30" hidden="0" customWidth="1"/>
    <x:col min="2" max="2" width="10" hidden="0" customWidth="1"/>
    <x:col min="3" max="3" width="12" hidden="0" customWidth="1"/>
    <x:col min="4" max="4" width="10" hidden="0" customWidth="1"/>
    <x:col min="5" max="5" width="10" hidden="0" customWidth="1"/>
    <x:col min="6" max="6" width="12" hidden="0" customWidth="1"/>
    <x:col min="7" max="7" width="24" hidden="0" customWidth="1"/>
    <x:col min="8" max="8" width="38" hidden="0" customWidth="1"/>
    <x:col min="9" max="9" width="38" hidden="0" customWidth="1"/>
    <x:col min="10" max="10" width="38" hidden="0" customWidth="1"/>
  </x:cols>
  <x:sheetData>
    <x:row r="1" ht="34" customHeight="1">
      <x:c r="A1" s="3" t="str">
        <x:v>Карта 60 сегментних міток</x:v>
      </x:c>
      <x:c r="B1" s="3"/>
      <x:c r="C1" s="3"/>
      <x:c r="D1" s="3"/>
      <x:c r="E1" s="3"/>
      <x:c r="F1" s="3"/>
      <x:c r="G1" s="3"/>
      <x:c r="H1" s="3"/>
      <x:c r="I1" s="3"/>
      <x:c r="J1" s="3"/>
    </x:row>
    <x:row r="2" ht="22" customHeight="1">
      <x:c r="A2" s="5" t="str">
        <x:v>Розширено за межі санітарно-технічних та електромонтажних робіт; споріднені назви збережені як у джерелах для подальшої нормалізації</x:v>
      </x:c>
      <x:c r="B2" s="5"/>
      <x:c r="C2" s="5"/>
      <x:c r="D2" s="5"/>
      <x:c r="E2" s="5"/>
      <x:c r="F2" s="5"/>
      <x:c r="G2" s="5"/>
      <x:c r="H2" s="5"/>
      <x:c r="I2" s="5"/>
      <x:c r="J2" s="5"/>
    </x:row>
    <x:row r="4">
      <x:c r="A4" s="11" t="str">
        <x:v>Вертикаль</x:v>
      </x:c>
      <x:c r="B4" s="11" t="str">
        <x:v>Компаній</x:v>
      </x:c>
      <x:c r="C4" s="11" t="str">
        <x:v>Покриття зараз</x:v>
      </x:c>
      <x:c r="D4" s="11" t="str">
        <x:v>Workflow fit</x:v>
      </x:c>
      <x:c r="E4" s="11" t="str">
        <x:v>Прихованість</x:v>
      </x:c>
      <x:c r="F4" s="11" t="str">
        <x:v>Документація</x:v>
      </x:c>
      <x:c r="G4" s="11" t="str">
        <x:v>Маршрут</x:v>
      </x:c>
      <x:c r="H4" s="11" t="str">
        <x:v>Що закривається</x:v>
      </x:c>
      <x:c r="I4" s="11" t="str">
        <x:v>Перший артефакт</x:v>
      </x:c>
      <x:c r="J4" s="11" t="str">
        <x:v>Початковий CTA</x:v>
      </x:c>
    </x:row>
    <x:row r="5" ht="42" customHeight="1">
      <x:c r="A5" s="56" t="str">
        <x:v>Басейни, водні комплекси та SPA</x:v>
      </x:c>
      <x:c r="B5" s="54" t="n">
        <x:v>3</x:v>
      </x:c>
      <x:c r="C5" s="54" t="n">
        <x:v>3</x:v>
      </x:c>
      <x:c r="D5" s="54" t="n">
        <x:v>5</x:v>
      </x:c>
      <x:c r="E5" s="54" t="n">
        <x:v>5</x:v>
      </x:c>
      <x:c r="F5" s="54" t="n">
        <x:v>5</x:v>
      </x:c>
      <x:c r="G5" s="15" t="str">
        <x:v>Expansion discovery</x:v>
      </x:c>
      <x:c r="H5" s="15" t="str">
        <x:v>Закладні, труби, гідроізоляція</x:v>
      </x:c>
      <x:c r="I5" s="15" t="str">
        <x:v>Фото закладних + гідротест</x:v>
      </x:c>
      <x:c r="J5" s="15" t="str">
        <x:v>Покажіть пакет до оздоблення чаші</x:v>
      </x:c>
    </x:row>
    <x:row r="6" ht="42" customHeight="1">
      <x:c r="A6" s="56" t="str">
        <x:v>Безпека / СКУД / CCTV</x:v>
      </x:c>
      <x:c r="B6" s="54" t="n">
        <x:v>80</x:v>
      </x:c>
      <x:c r="C6" s="54" t="n">
        <x:v>1</x:v>
      </x:c>
      <x:c r="D6" s="54" t="n">
        <x:v>5</x:v>
      </x:c>
      <x:c r="E6" s="54" t="n">
        <x:v>4</x:v>
      </x:c>
      <x:c r="F6" s="54" t="n">
        <x:v>5</x:v>
      </x:c>
      <x:c r="G6" s="15" t="str">
        <x:v>Expansion discovery</x:v>
      </x:c>
      <x:c r="H6" s="15" t="str">
        <x:v>Траси, адресація, налаштування</x:v>
      </x:c>
      <x:c r="I6" s="15" t="str">
        <x:v>Виконавча схема + acceptance-test</x:v>
      </x:c>
      <x:c r="J6" s="15" t="str">
        <x:v>Покажіть пакет здачі одного об'єкта</x:v>
      </x:c>
    </x:row>
    <x:row r="7" ht="42" customHeight="1">
      <x:c r="A7" s="56" t="str">
        <x:v>Безпека + пожежні + слаботочка</x:v>
      </x:c>
      <x:c r="B7" s="54" t="n">
        <x:v>1</x:v>
      </x:c>
      <x:c r="C7" s="54" t="n">
        <x:v>4</x:v>
      </x:c>
      <x:c r="D7" s="54" t="n">
        <x:v>5</x:v>
      </x:c>
      <x:c r="E7" s="54" t="n">
        <x:v>4</x:v>
      </x:c>
      <x:c r="F7" s="54" t="n">
        <x:v>4</x:v>
      </x:c>
      <x:c r="G7" s="15" t="str">
        <x:v>Expansion discovery</x:v>
      </x:c>
      <x:c r="H7" s="15" t="str">
        <x:v>Фото, акти, протоколи та виконавча документація до закриття або ПНР</x:v>
      </x:c>
      <x:c r="I7" s="15" t="str">
        <x:v>Один анонімізований пакет приймання з поточного проєкту</x:v>
      </x:c>
      <x:c r="J7" s="15" t="str">
        <x:v>Покажіть один пакет: перевіримо fit і запропонуємо вузький безкоштовний пілот</x:v>
      </x:c>
    </x:row>
    <x:row r="8" ht="42" customHeight="1">
      <x:c r="A8" s="56" t="str">
        <x:v>Вентильовані фасади та скління</x:v>
      </x:c>
      <x:c r="B8" s="54" t="n">
        <x:v>5</x:v>
      </x:c>
      <x:c r="C8" s="54" t="n">
        <x:v>0</x:v>
      </x:c>
      <x:c r="D8" s="54" t="n">
        <x:v>5</x:v>
      </x:c>
      <x:c r="E8" s="54" t="n">
        <x:v>5</x:v>
      </x:c>
      <x:c r="F8" s="54" t="n">
        <x:v>4</x:v>
      </x:c>
      <x:c r="G8" s="15" t="str">
        <x:v>Expansion discovery</x:v>
      </x:c>
      <x:c r="H8" s="15" t="str">
        <x:v>Анкери, утеплення, мембрани, відсічки</x:v>
      </x:c>
      <x:c r="I8" s="15" t="str">
        <x:v>Фото кронштейнів / утеплення</x:v>
      </x:c>
      <x:c r="J8" s="15" t="str">
        <x:v>Як технагляд приймає до облицювання?</x:v>
      </x:c>
    </x:row>
    <x:row r="9" ht="42" customHeight="1">
      <x:c r="A9" s="56" t="str">
        <x:v>Внутрішні сантехнічні системи</x:v>
      </x:c>
      <x:c r="B9" s="54" t="n">
        <x:v>4</x:v>
      </x:c>
      <x:c r="C9" s="54" t="n">
        <x:v>5</x:v>
      </x:c>
      <x:c r="D9" s="54" t="n">
        <x:v>5</x:v>
      </x:c>
      <x:c r="E9" s="54" t="n">
        <x:v>5</x:v>
      </x:c>
      <x:c r="F9" s="54" t="n">
        <x:v>5</x:v>
      </x:c>
      <x:c r="G9" s="15" t="str">
        <x:v>Pilot now</x:v>
      </x:c>
      <x:c r="H9" s="15" t="str">
        <x:v>Фото, акти, протоколи та виконавча документація до закриття або ПНР</x:v>
      </x:c>
      <x:c r="I9" s="15" t="str">
        <x:v>Один анонімізований пакет приймання з поточного проєкту</x:v>
      </x:c>
      <x:c r="J9" s="15" t="str">
        <x:v>Покажіть один пакет: перевіримо fit і запропонуємо вузький безкоштовний пілот</x:v>
      </x:c>
    </x:row>
    <x:row r="10" ht="42" customHeight="1">
      <x:c r="A10" s="56" t="str">
        <x:v>Внутрішній HVAC</x:v>
      </x:c>
      <x:c r="B10" s="54" t="n">
        <x:v>3</x:v>
      </x:c>
      <x:c r="C10" s="54" t="n">
        <x:v>4</x:v>
      </x:c>
      <x:c r="D10" s="54" t="n">
        <x:v>5</x:v>
      </x:c>
      <x:c r="E10" s="54" t="n">
        <x:v>4</x:v>
      </x:c>
      <x:c r="F10" s="54" t="n">
        <x:v>4</x:v>
      </x:c>
      <x:c r="G10" s="15" t="str">
        <x:v>Pilot now</x:v>
      </x:c>
      <x:c r="H10" s="15" t="str">
        <x:v>Фото, акти, протоколи та виконавча документація до закриття або ПНР</x:v>
      </x:c>
      <x:c r="I10" s="15" t="str">
        <x:v>Один анонімізований пакет приймання з поточного проєкту</x:v>
      </x:c>
      <x:c r="J10" s="15" t="str">
        <x:v>Покажіть один пакет: перевіримо fit і запропонуємо вузький безкоштовний пілот</x:v>
      </x:c>
    </x:row>
    <x:row r="11" ht="42" customHeight="1">
      <x:c r="A11" s="56" t="str">
        <x:v>Внутрішня сантехніка</x:v>
      </x:c>
      <x:c r="B11" s="54" t="n">
        <x:v>1</x:v>
      </x:c>
      <x:c r="C11" s="54" t="n">
        <x:v>0</x:v>
      </x:c>
      <x:c r="D11" s="54" t="n">
        <x:v>0</x:v>
      </x:c>
      <x:c r="E11" s="54" t="n">
        <x:v>0</x:v>
      </x:c>
      <x:c r="F11" s="54" t="n">
        <x:v>0</x:v>
      </x:c>
      <x:c r="G11" s="15" t="str">
        <x:v>Expansion discovery</x:v>
      </x:c>
      <x:c r="H11" s="15" t="str">
        <x:v>Фото, акти, протоколи та виконавча документація до закриття або ПНР</x:v>
      </x:c>
      <x:c r="I11" s="15" t="str">
        <x:v>Один анонімізований пакет приймання з поточного проєкту</x:v>
      </x:c>
      <x:c r="J11" s="15" t="str">
        <x:v>Покажіть один пакет: перевіримо fit і запропонуємо вузький безкоштовний пілот</x:v>
      </x:c>
    </x:row>
    <x:row r="12" ht="42" customHeight="1">
      <x:c r="A12" s="56" t="str">
        <x:v>Внутрішня сантехніка + HVAC</x:v>
      </x:c>
      <x:c r="B12" s="54" t="n">
        <x:v>5</x:v>
      </x:c>
      <x:c r="C12" s="54" t="n">
        <x:v>5</x:v>
      </x:c>
      <x:c r="D12" s="54" t="n">
        <x:v>5</x:v>
      </x:c>
      <x:c r="E12" s="54" t="n">
        <x:v>4</x:v>
      </x:c>
      <x:c r="F12" s="54" t="n">
        <x:v>4</x:v>
      </x:c>
      <x:c r="G12" s="15" t="str">
        <x:v>Pilot now</x:v>
      </x:c>
      <x:c r="H12" s="15" t="str">
        <x:v>Фото, акти, протоколи та виконавча документація до закриття або ПНР</x:v>
      </x:c>
      <x:c r="I12" s="15" t="str">
        <x:v>Один анонімізований пакет приймання з поточного проєкту</x:v>
      </x:c>
      <x:c r="J12" s="15" t="str">
        <x:v>Покажіть один пакет: перевіримо fit і запропонуємо вузький безкоштовний пілот</x:v>
      </x:c>
    </x:row>
    <x:row r="13" ht="42" customHeight="1">
      <x:c r="A13" s="56" t="str">
        <x:v>Водоочищення / очисні споруди</x:v>
      </x:c>
      <x:c r="B13" s="54" t="n">
        <x:v>37</x:v>
      </x:c>
      <x:c r="C13" s="54" t="n">
        <x:v>1</x:v>
      </x:c>
      <x:c r="D13" s="54" t="n">
        <x:v>5</x:v>
      </x:c>
      <x:c r="E13" s="54" t="n">
        <x:v>4</x:v>
      </x:c>
      <x:c r="F13" s="54" t="n">
        <x:v>5</x:v>
      </x:c>
      <x:c r="G13" s="15" t="str">
        <x:v>Expansion discovery</x:v>
      </x:c>
      <x:c r="H13" s="15" t="str">
        <x:v>Фото, акти, протоколи та виконавча документація до закриття або ПНР</x:v>
      </x:c>
      <x:c r="I13" s="15" t="str">
        <x:v>Один анонімізований пакет приймання з поточного проєкту</x:v>
      </x:c>
      <x:c r="J13" s="15" t="str">
        <x:v>Покажіть один пакет: перевіримо fit і запропонуємо вузький безкоштовний пілот</x:v>
      </x:c>
    </x:row>
    <x:row r="14" ht="42" customHeight="1">
      <x:c r="A14" s="56" t="str">
        <x:v>Водоочищення та очисні споруди</x:v>
      </x:c>
      <x:c r="B14" s="54" t="n">
        <x:v>9</x:v>
      </x:c>
      <x:c r="C14" s="54" t="n">
        <x:v>1</x:v>
      </x:c>
      <x:c r="D14" s="54" t="n">
        <x:v>5</x:v>
      </x:c>
      <x:c r="E14" s="54" t="n">
        <x:v>5</x:v>
      </x:c>
      <x:c r="F14" s="54" t="n">
        <x:v>5</x:v>
      </x:c>
      <x:c r="G14" s="15" t="str">
        <x:v>Expansion discovery</x:v>
      </x:c>
      <x:c r="H14" s="15" t="str">
        <x:v>Трубопроводи, резервуари, мембрани, ПНР</x:v>
      </x:c>
      <x:c r="I14" s="15" t="str">
        <x:v>Акти + гідротести + ПНР</x:v>
      </x:c>
      <x:c r="J14" s="15" t="str">
        <x:v>Розберімо один пакет здачі споруди</x:v>
      </x:c>
    </x:row>
    <x:row r="15" ht="42" customHeight="1">
      <x:c r="A15" s="56" t="str">
        <x:v>ВОЛЗ / телеком</x:v>
      </x:c>
      <x:c r="B15" s="54" t="n">
        <x:v>6</x:v>
      </x:c>
      <x:c r="C15" s="54" t="n">
        <x:v>1</x:v>
      </x:c>
      <x:c r="D15" s="54" t="n">
        <x:v>5</x:v>
      </x:c>
      <x:c r="E15" s="54" t="n">
        <x:v>4</x:v>
      </x:c>
      <x:c r="F15" s="54" t="n">
        <x:v>5</x:v>
      </x:c>
      <x:c r="G15" s="15" t="str">
        <x:v>Expansion discovery</x:v>
      </x:c>
      <x:c r="H15" s="15" t="str">
        <x:v>Фото, акти, протоколи та виконавча документація до закриття або ПНР</x:v>
      </x:c>
      <x:c r="I15" s="15" t="str">
        <x:v>Один анонімізований пакет приймання з поточного проєкту</x:v>
      </x:c>
      <x:c r="J15" s="15" t="str">
        <x:v>Покажіть один пакет: перевіримо fit і запропонуємо вузький безкоштовний пілот</x:v>
      </x:c>
    </x:row>
    <x:row r="16" ht="42" customHeight="1">
      <x:c r="A16" s="56" t="str">
        <x:v>ВОЛЗ / телеком-мережі</x:v>
      </x:c>
      <x:c r="B16" s="54" t="n">
        <x:v>8</x:v>
      </x:c>
      <x:c r="C16" s="54" t="n">
        <x:v>1</x:v>
      </x:c>
      <x:c r="D16" s="54" t="n">
        <x:v>5</x:v>
      </x:c>
      <x:c r="E16" s="54" t="n">
        <x:v>5</x:v>
      </x:c>
      <x:c r="F16" s="54" t="n">
        <x:v>5</x:v>
      </x:c>
      <x:c r="G16" s="15" t="str">
        <x:v>Expansion discovery</x:v>
      </x:c>
      <x:c r="H16" s="15" t="str">
        <x:v>Траси, муфти, зварювання волокон</x:v>
      </x:c>
      <x:c r="I16" s="15" t="str">
        <x:v>Рефлектограми + виконавча схема</x:v>
      </x:c>
      <x:c r="J16" s="15" t="str">
        <x:v>Покажіть пакет здачі однієї ділянки</x:v>
      </x:c>
    </x:row>
    <x:row r="17" ht="42" customHeight="1">
      <x:c r="A17" s="56" t="str">
        <x:v>Газопостачання / котельні</x:v>
      </x:c>
      <x:c r="B17" s="54" t="n">
        <x:v>37</x:v>
      </x:c>
      <x:c r="C17" s="54" t="n">
        <x:v>1</x:v>
      </x:c>
      <x:c r="D17" s="54" t="n">
        <x:v>5</x:v>
      </x:c>
      <x:c r="E17" s="54" t="n">
        <x:v>4</x:v>
      </x:c>
      <x:c r="F17" s="54" t="n">
        <x:v>5</x:v>
      </x:c>
      <x:c r="G17" s="15" t="str">
        <x:v>Expansion discovery</x:v>
      </x:c>
      <x:c r="H17" s="15" t="str">
        <x:v>Зварні стики, автоматика, випробування</x:v>
      </x:c>
      <x:c r="I17" s="15" t="str">
        <x:v>Журнал стиків + ПНР</x:v>
      </x:c>
      <x:c r="J17" s="15" t="str">
        <x:v>Розберімо пакет введення котельні</x:v>
      </x:c>
    </x:row>
    <x:row r="18" ht="42" customHeight="1">
      <x:c r="A18" s="56" t="str">
        <x:v>Генпідряд / MEP fit-out</x:v>
      </x:c>
      <x:c r="B18" s="54" t="n">
        <x:v>1</x:v>
      </x:c>
      <x:c r="C18" s="54" t="n">
        <x:v>5</x:v>
      </x:c>
      <x:c r="D18" s="54" t="n">
        <x:v>5</x:v>
      </x:c>
      <x:c r="E18" s="54" t="n">
        <x:v>4</x:v>
      </x:c>
      <x:c r="F18" s="54" t="n">
        <x:v>5</x:v>
      </x:c>
      <x:c r="G18" s="15" t="str">
        <x:v>Pilot now</x:v>
      </x:c>
      <x:c r="H18" s="15" t="str">
        <x:v>Фото, акти, протоколи та виконавча документація до закриття або ПНР</x:v>
      </x:c>
      <x:c r="I18" s="15" t="str">
        <x:v>Один анонімізований пакет приймання з поточного проєкту</x:v>
      </x:c>
      <x:c r="J18" s="15" t="str">
        <x:v>Покажіть один пакет: перевіримо fit і запропонуємо вузький безкоштовний пілот</x:v>
      </x:c>
    </x:row>
    <x:row r="19" ht="42" customHeight="1">
      <x:c r="A19" s="56" t="str">
        <x:v>ГНБ / безтраншейні мережі</x:v>
      </x:c>
      <x:c r="B19" s="54" t="n">
        <x:v>5</x:v>
      </x:c>
      <x:c r="C19" s="54" t="n">
        <x:v>1</x:v>
      </x:c>
      <x:c r="D19" s="54" t="n">
        <x:v>5</x:v>
      </x:c>
      <x:c r="E19" s="54" t="n">
        <x:v>5</x:v>
      </x:c>
      <x:c r="F19" s="54" t="n">
        <x:v>5</x:v>
      </x:c>
      <x:c r="G19" s="15" t="str">
        <x:v>Expansion discovery</x:v>
      </x:c>
      <x:c r="H19" s="15" t="str">
        <x:v>Пілотна свердловина, розширення, протягування</x:v>
      </x:c>
      <x:c r="I19" s="15" t="str">
        <x:v>Журнал буріння + геоприв'язка</x:v>
      </x:c>
      <x:c r="J19" s="15" t="str">
        <x:v>Покажіть пакет здачі одного переходу</x:v>
      </x:c>
    </x:row>
    <x:row r="20" ht="42" customHeight="1">
      <x:c r="A20" s="56" t="str">
        <x:v>ГНБ / безтраншейні роботи</x:v>
      </x:c>
      <x:c r="B20" s="54" t="n">
        <x:v>27</x:v>
      </x:c>
      <x:c r="C20" s="54" t="n">
        <x:v>1</x:v>
      </x:c>
      <x:c r="D20" s="54" t="n">
        <x:v>5</x:v>
      </x:c>
      <x:c r="E20" s="54" t="n">
        <x:v>4</x:v>
      </x:c>
      <x:c r="F20" s="54" t="n">
        <x:v>5</x:v>
      </x:c>
      <x:c r="G20" s="15" t="str">
        <x:v>Expansion discovery</x:v>
      </x:c>
      <x:c r="H20" s="15" t="str">
        <x:v>Фото, акти, протоколи та виконавча документація до закриття або ПНР</x:v>
      </x:c>
      <x:c r="I20" s="15" t="str">
        <x:v>Один анонімізований пакет приймання з поточного проєкту</x:v>
      </x:c>
      <x:c r="J20" s="15" t="str">
        <x:v>Покажіть один пакет: перевіримо fit і запропонуємо вузький безкоштовний пілот</x:v>
      </x:c>
    </x:row>
    <x:row r="21" ht="42" customHeight="1">
      <x:c r="A21" s="56" t="str">
        <x:v>Дорожні роботи та благоустрій</x:v>
      </x:c>
      <x:c r="B21" s="54" t="n">
        <x:v>1</x:v>
      </x:c>
      <x:c r="C21" s="54" t="n">
        <x:v>0</x:v>
      </x:c>
      <x:c r="D21" s="54" t="n">
        <x:v>5</x:v>
      </x:c>
      <x:c r="E21" s="54" t="n">
        <x:v>5</x:v>
      </x:c>
      <x:c r="F21" s="54" t="n">
        <x:v>5</x:v>
      </x:c>
      <x:c r="G21" s="15" t="str">
        <x:v>Expansion discovery</x:v>
      </x:c>
      <x:c r="H21" s="15" t="str">
        <x:v>Основа, шари, ущільнення</x:v>
      </x:c>
      <x:c r="I21" s="15" t="str">
        <x:v>Лабораторний протокол + фото</x:v>
      </x:c>
      <x:c r="J21" s="15" t="str">
        <x:v>Як здається шар до наступного?</x:v>
      </x:c>
    </x:row>
    <x:row r="22" ht="42" customHeight="1">
      <x:c r="A22" s="56" t="str">
        <x:v>Електрика + слаботочка</x:v>
      </x:c>
      <x:c r="B22" s="54" t="n">
        <x:v>2</x:v>
      </x:c>
      <x:c r="C22" s="54" t="n">
        <x:v>5</x:v>
      </x:c>
      <x:c r="D22" s="54" t="n">
        <x:v>5</x:v>
      </x:c>
      <x:c r="E22" s="54" t="n">
        <x:v>5</x:v>
      </x:c>
      <x:c r="F22" s="54" t="n">
        <x:v>4</x:v>
      </x:c>
      <x:c r="G22" s="15" t="str">
        <x:v>Pilot now</x:v>
      </x:c>
      <x:c r="H22" s="15" t="str">
        <x:v>Фото, акти, протоколи та виконавча документація до закриття або ПНР</x:v>
      </x:c>
      <x:c r="I22" s="15" t="str">
        <x:v>Один анонімізований пакет приймання з поточного проєкту</x:v>
      </x:c>
      <x:c r="J22" s="15" t="str">
        <x:v>Покажіть один пакет: перевіримо fit і запропонуємо вузький безкоштовний пілот</x:v>
      </x:c>
    </x:row>
    <x:row r="23" ht="42" customHeight="1">
      <x:c r="A23" s="56" t="str">
        <x:v>Електромонтаж</x:v>
      </x:c>
      <x:c r="B23" s="54" t="n">
        <x:v>117</x:v>
      </x:c>
      <x:c r="C23" s="54" t="n">
        <x:v>5</x:v>
      </x:c>
      <x:c r="D23" s="54" t="n">
        <x:v>5</x:v>
      </x:c>
      <x:c r="E23" s="54" t="n">
        <x:v>5</x:v>
      </x:c>
      <x:c r="F23" s="54" t="n">
        <x:v>5</x:v>
      </x:c>
      <x:c r="G23" s="15" t="str">
        <x:v>Pilot now</x:v>
      </x:c>
      <x:c r="H23" s="15" t="str">
        <x:v>Фото, акти, протоколи та виконавча документація до закриття або ПНР</x:v>
      </x:c>
      <x:c r="I23" s="15" t="str">
        <x:v>Один анонімізований пакет приймання з поточного проєкту</x:v>
      </x:c>
      <x:c r="J23" s="15" t="str">
        <x:v>Покажіть один пакет: перевіримо fit і запропонуємо вузький безкоштовний пілот</x:v>
      </x:c>
    </x:row>
    <x:row r="24" ht="42" customHeight="1">
      <x:c r="A24" s="56" t="str">
        <x:v>Зовнішні мережі</x:v>
      </x:c>
      <x:c r="B24" s="54" t="n">
        <x:v>28</x:v>
      </x:c>
      <x:c r="C24" s="54" t="n">
        <x:v>1</x:v>
      </x:c>
      <x:c r="D24" s="54" t="n">
        <x:v>5</x:v>
      </x:c>
      <x:c r="E24" s="54" t="n">
        <x:v>4</x:v>
      </x:c>
      <x:c r="F24" s="54" t="n">
        <x:v>5</x:v>
      </x:c>
      <x:c r="G24" s="15" t="str">
        <x:v>Expansion discovery</x:v>
      </x:c>
      <x:c r="H24" s="15" t="str">
        <x:v>Фото, акти, протоколи та виконавча документація до закриття або ПНР</x:v>
      </x:c>
      <x:c r="I24" s="15" t="str">
        <x:v>Один анонімізований пакет приймання з поточного проєкту</x:v>
      </x:c>
      <x:c r="J24" s="15" t="str">
        <x:v>Покажіть один пакет: перевіримо fit і запропонуємо вузький безкоштовний пілот</x:v>
      </x:c>
    </x:row>
    <x:row r="25" ht="42" customHeight="1">
      <x:c r="A25" s="56" t="str">
        <x:v>Зовнішні мережі + електрика</x:v>
      </x:c>
      <x:c r="B25" s="54" t="n">
        <x:v>1</x:v>
      </x:c>
      <x:c r="C25" s="54" t="n">
        <x:v>4</x:v>
      </x:c>
      <x:c r="D25" s="54" t="n">
        <x:v>5</x:v>
      </x:c>
      <x:c r="E25" s="54" t="n">
        <x:v>5</x:v>
      </x:c>
      <x:c r="F25" s="54" t="n">
        <x:v>4</x:v>
      </x:c>
      <x:c r="G25" s="15" t="str">
        <x:v>Pilot now</x:v>
      </x:c>
      <x:c r="H25" s="15" t="str">
        <x:v>Фото, акти, протоколи та виконавча документація до закриття або ПНР</x:v>
      </x:c>
      <x:c r="I25" s="15" t="str">
        <x:v>Один анонімізований пакет приймання з поточного проєкту</x:v>
      </x:c>
      <x:c r="J25" s="15" t="str">
        <x:v>Покажіть один пакет: перевіримо fit і запропонуємо вузький безкоштовний пілот</x:v>
      </x:c>
    </x:row>
    <x:row r="26" ht="42" customHeight="1">
      <x:c r="A26" s="56" t="str">
        <x:v>Ліфти, ескалатори та підйомники</x:v>
      </x:c>
      <x:c r="B26" s="54" t="n">
        <x:v>5</x:v>
      </x:c>
      <x:c r="C26" s="54" t="n">
        <x:v>1</x:v>
      </x:c>
      <x:c r="D26" s="54" t="n">
        <x:v>4</x:v>
      </x:c>
      <x:c r="E26" s="54" t="n">
        <x:v>4</x:v>
      </x:c>
      <x:c r="F26" s="54" t="n">
        <x:v>5</x:v>
      </x:c>
      <x:c r="G26" s="15" t="str">
        <x:v>Expansion discovery</x:v>
      </x:c>
      <x:c r="H26" s="15" t="str">
        <x:v>Закладні, напрямні, електрика</x:v>
      </x:c>
      <x:c r="I26" s="15" t="str">
        <x:v>Акти монтажу + випробування</x:v>
      </x:c>
      <x:c r="J26" s="15" t="str">
        <x:v>Де губиться доказ до реєстрації?</x:v>
      </x:c>
    </x:row>
    <x:row r="27" ht="42" customHeight="1">
      <x:c r="A27" s="56" t="str">
        <x:v>Медичні гази</x:v>
      </x:c>
      <x:c r="B27" s="54" t="n">
        <x:v>10</x:v>
      </x:c>
      <x:c r="C27" s="54" t="n">
        <x:v>1</x:v>
      </x:c>
      <x:c r="D27" s="54" t="n">
        <x:v>5</x:v>
      </x:c>
      <x:c r="E27" s="54" t="n">
        <x:v>5</x:v>
      </x:c>
      <x:c r="F27" s="54" t="n">
        <x:v>5</x:v>
      </x:c>
      <x:c r="G27" s="15" t="str">
        <x:v>Expansion discovery</x:v>
      </x:c>
      <x:c r="H27" s="15" t="str">
        <x:v>Пайка, чистота, маркування, валідація</x:v>
      </x:c>
      <x:c r="I27" s="15" t="str">
        <x:v>Протокол чистоти + випробування</x:v>
      </x:c>
      <x:c r="J27" s="15" t="str">
        <x:v>Покажіть один validation-пакет</x:v>
      </x:c>
    </x:row>
    <x:row r="28" ht="42" customHeight="1">
      <x:c r="A28" s="56" t="str">
        <x:v>Металоконструкції та промисловий монтаж</x:v>
      </x:c>
      <x:c r="B28" s="54" t="n">
        <x:v>7</x:v>
      </x:c>
      <x:c r="C28" s="54" t="n">
        <x:v>1</x:v>
      </x:c>
      <x:c r="D28" s="54" t="n">
        <x:v>4</x:v>
      </x:c>
      <x:c r="E28" s="54" t="n">
        <x:v>3</x:v>
      </x:c>
      <x:c r="F28" s="54" t="n">
        <x:v>5</x:v>
      </x:c>
      <x:c r="G28" s="15" t="str">
        <x:v>Expansion discovery</x:v>
      </x:c>
      <x:c r="H28" s="15" t="str">
        <x:v>Зварні/болтові вузли, покриття</x:v>
      </x:c>
      <x:c r="I28" s="15" t="str">
        <x:v>Журнал зварювання + акти</x:v>
      </x:c>
      <x:c r="J28" s="15" t="str">
        <x:v>Який пакет повертає технагляд?</x:v>
      </x:c>
    </x:row>
    <x:row r="29" ht="42" customHeight="1">
      <x:c r="A29" s="56" t="str">
        <x:v>Мости / інфраструктура</x:v>
      </x:c>
      <x:c r="B29" s="54" t="n">
        <x:v>32</x:v>
      </x:c>
      <x:c r="C29" s="54" t="n">
        <x:v>1</x:v>
      </x:c>
      <x:c r="D29" s="54" t="n">
        <x:v>5</x:v>
      </x:c>
      <x:c r="E29" s="54" t="n">
        <x:v>4</x:v>
      </x:c>
      <x:c r="F29" s="54" t="n">
        <x:v>5</x:v>
      </x:c>
      <x:c r="G29" s="15" t="str">
        <x:v>Expansion discovery</x:v>
      </x:c>
      <x:c r="H29" s="15" t="str">
        <x:v>Фото, акти, протоколи та виконавча документація до закриття або ПНР</x:v>
      </x:c>
      <x:c r="I29" s="15" t="str">
        <x:v>Один анонімізований пакет приймання з поточного проєкту</x:v>
      </x:c>
      <x:c r="J29" s="15" t="str">
        <x:v>Покажіть один пакет: перевіримо fit і запропонуємо вузький безкоштовний пілот</x:v>
      </x:c>
    </x:row>
    <x:row r="30" ht="42" customHeight="1">
      <x:c r="A30" s="56" t="str">
        <x:v>Мости та інфраструктура</x:v>
      </x:c>
      <x:c r="B30" s="54" t="n">
        <x:v>8</x:v>
      </x:c>
      <x:c r="C30" s="54" t="n">
        <x:v>1</x:v>
      </x:c>
      <x:c r="D30" s="54" t="n">
        <x:v>5</x:v>
      </x:c>
      <x:c r="E30" s="54" t="n">
        <x:v>5</x:v>
      </x:c>
      <x:c r="F30" s="54" t="n">
        <x:v>5</x:v>
      </x:c>
      <x:c r="G30" s="15" t="str">
        <x:v>Expansion discovery</x:v>
      </x:c>
      <x:c r="H30" s="15" t="str">
        <x:v>Армування, бетон, гідроізоляція, лабораторія</x:v>
      </x:c>
      <x:c r="I30" s="15" t="str">
        <x:v>Акт прихованих + лабораторний протокол</x:v>
      </x:c>
      <x:c r="J30" s="15" t="str">
        <x:v>Покажіть пакет одного конструктиву</x:v>
      </x:c>
    </x:row>
    <x:row r="31" ht="42" customHeight="1">
      <x:c r="A31" s="56" t="str">
        <x:v>Насосні станції</x:v>
      </x:c>
      <x:c r="B31" s="54" t="n">
        <x:v>32</x:v>
      </x:c>
      <x:c r="C31" s="54" t="n">
        <x:v>1</x:v>
      </x:c>
      <x:c r="D31" s="54" t="n">
        <x:v>5</x:v>
      </x:c>
      <x:c r="E31" s="54" t="n">
        <x:v>4</x:v>
      </x:c>
      <x:c r="F31" s="54" t="n">
        <x:v>5</x:v>
      </x:c>
      <x:c r="G31" s="15" t="str">
        <x:v>Expansion discovery</x:v>
      </x:c>
      <x:c r="H31" s="15" t="str">
        <x:v>Фото, акти, протоколи та виконавча документація до закриття або ПНР</x:v>
      </x:c>
      <x:c r="I31" s="15" t="str">
        <x:v>Один анонімізований пакет приймання з поточного проєкту</x:v>
      </x:c>
      <x:c r="J31" s="15" t="str">
        <x:v>Покажіть один пакет: перевіримо fit і запропонуємо вузький безкоштовний пілот</x:v>
      </x:c>
    </x:row>
    <x:row r="32" ht="42" customHeight="1">
      <x:c r="A32" s="56" t="str">
        <x:v>Палі, фундаменти та підсилення</x:v>
      </x:c>
      <x:c r="B32" s="54" t="n">
        <x:v>7</x:v>
      </x:c>
      <x:c r="C32" s="54" t="n">
        <x:v>0</x:v>
      </x:c>
      <x:c r="D32" s="54" t="n">
        <x:v>5</x:v>
      </x:c>
      <x:c r="E32" s="54" t="n">
        <x:v>5</x:v>
      </x:c>
      <x:c r="F32" s="54" t="n">
        <x:v>5</x:v>
      </x:c>
      <x:c r="G32" s="15" t="str">
        <x:v>Expansion discovery</x:v>
      </x:c>
      <x:c r="H32" s="15" t="str">
        <x:v>Армування, глибина, бетонування</x:v>
      </x:c>
      <x:c r="I32" s="15" t="str">
        <x:v>Журнал паль / випробування</x:v>
      </x:c>
      <x:c r="J32" s="15" t="str">
        <x:v>Де збирається доказ по кожній палі?</x:v>
      </x:c>
    </x:row>
    <x:row r="33" ht="42" customHeight="1">
      <x:c r="A33" s="56" t="str">
        <x:v>Пасивний вогнезахист</x:v>
      </x:c>
      <x:c r="B33" s="54" t="n">
        <x:v>5</x:v>
      </x:c>
      <x:c r="C33" s="54" t="n">
        <x:v>1</x:v>
      </x:c>
      <x:c r="D33" s="54" t="n">
        <x:v>5</x:v>
      </x:c>
      <x:c r="E33" s="54" t="n">
        <x:v>5</x:v>
      </x:c>
      <x:c r="F33" s="54" t="n">
        <x:v>5</x:v>
      </x:c>
      <x:c r="G33" s="15" t="str">
        <x:v>Expansion discovery</x:v>
      </x:c>
      <x:c r="H33" s="15" t="str">
        <x:v>Товщина, проходки, підготовка</x:v>
      </x:c>
      <x:c r="I33" s="15" t="str">
        <x:v>Акт обробки + заміри</x:v>
      </x:c>
      <x:c r="J33" s="15" t="str">
        <x:v>Покажіть пакет перед закриттям</x:v>
      </x:c>
    </x:row>
    <x:row r="34" ht="42" customHeight="1">
      <x:c r="A34" s="56" t="str">
        <x:v>Підсилення та ремонт бетону</x:v>
      </x:c>
      <x:c r="B34" s="54" t="n">
        <x:v>6</x:v>
      </x:c>
      <x:c r="C34" s="54" t="n">
        <x:v>1</x:v>
      </x:c>
      <x:c r="D34" s="54" t="n">
        <x:v>5</x:v>
      </x:c>
      <x:c r="E34" s="54" t="n">
        <x:v>5</x:v>
      </x:c>
      <x:c r="F34" s="54" t="n">
        <x:v>5</x:v>
      </x:c>
      <x:c r="G34" s="15" t="str">
        <x:v>Expansion discovery</x:v>
      </x:c>
      <x:c r="H34" s="15" t="str">
        <x:v>Підготовка, ін'єкції, армування, торкрет</x:v>
      </x:c>
      <x:c r="I34" s="15" t="str">
        <x:v>Фото етапів + акт + контроль міцності</x:v>
      </x:c>
      <x:c r="J34" s="15" t="str">
        <x:v>Покажіть пакет до захисного шару</x:v>
      </x:c>
    </x:row>
    <x:row r="35" ht="42" customHeight="1">
      <x:c r="A35" s="56" t="str">
        <x:v>Пожежна безпека + охорона</x:v>
      </x:c>
      <x:c r="B35" s="54" t="n">
        <x:v>2</x:v>
      </x:c>
      <x:c r="C35" s="54" t="n">
        <x:v>4</x:v>
      </x:c>
      <x:c r="D35" s="54" t="n">
        <x:v>5</x:v>
      </x:c>
      <x:c r="E35" s="54" t="n">
        <x:v>4</x:v>
      </x:c>
      <x:c r="F35" s="54" t="n">
        <x:v>5</x:v>
      </x:c>
      <x:c r="G35" s="15" t="str">
        <x:v>Expansion discovery</x:v>
      </x:c>
      <x:c r="H35" s="15" t="str">
        <x:v>Фото, акти, протоколи та виконавча документація до закриття або ПНР</x:v>
      </x:c>
      <x:c r="I35" s="15" t="str">
        <x:v>Один анонімізований пакет приймання з поточного проєкту</x:v>
      </x:c>
      <x:c r="J35" s="15" t="str">
        <x:v>Покажіть один пакет: перевіримо fit і запропонуємо вузький безкоштовний пілот</x:v>
      </x:c>
    </x:row>
    <x:row r="36" ht="42" customHeight="1">
      <x:c r="A36" s="56" t="str">
        <x:v>Пожежні системи</x:v>
      </x:c>
      <x:c r="B36" s="54" t="n">
        <x:v>6</x:v>
      </x:c>
      <x:c r="C36" s="54" t="n">
        <x:v>4</x:v>
      </x:c>
      <x:c r="D36" s="54" t="n">
        <x:v>5</x:v>
      </x:c>
      <x:c r="E36" s="54" t="n">
        <x:v>4</x:v>
      </x:c>
      <x:c r="F36" s="54" t="n">
        <x:v>5</x:v>
      </x:c>
      <x:c r="G36" s="15" t="str">
        <x:v>Expansion discovery</x:v>
      </x:c>
      <x:c r="H36" s="15" t="str">
        <x:v>Фото, акти, протоколи та виконавча документація до закриття або ПНР</x:v>
      </x:c>
      <x:c r="I36" s="15" t="str">
        <x:v>Один анонімізований пакет приймання з поточного проєкту</x:v>
      </x:c>
      <x:c r="J36" s="15" t="str">
        <x:v>Покажіть один пакет: перевіримо fit і запропонуємо вузький безкоштовний пілот</x:v>
      </x:c>
    </x:row>
    <x:row r="37" ht="42" customHeight="1">
      <x:c r="A37" s="56" t="str">
        <x:v>Пожежні системи + HVAC</x:v>
      </x:c>
      <x:c r="B37" s="54" t="n">
        <x:v>1</x:v>
      </x:c>
      <x:c r="C37" s="54" t="n">
        <x:v>4</x:v>
      </x:c>
      <x:c r="D37" s="54" t="n">
        <x:v>5</x:v>
      </x:c>
      <x:c r="E37" s="54" t="n">
        <x:v>4</x:v>
      </x:c>
      <x:c r="F37" s="54" t="n">
        <x:v>5</x:v>
      </x:c>
      <x:c r="G37" s="15" t="str">
        <x:v>Expansion discovery</x:v>
      </x:c>
      <x:c r="H37" s="15" t="str">
        <x:v>Фото, акти, протоколи та виконавча документація до закриття або ПНР</x:v>
      </x:c>
      <x:c r="I37" s="15" t="str">
        <x:v>Один анонімізований пакет приймання з поточного проєкту</x:v>
      </x:c>
      <x:c r="J37" s="15" t="str">
        <x:v>Покажіть один пакет: перевіримо fit і запропонуємо вузький безкоштовний пілот</x:v>
      </x:c>
    </x:row>
    <x:row r="38" ht="42" customHeight="1">
      <x:c r="A38" s="56" t="str">
        <x:v>Пожежні системи + HVAC + електрика</x:v>
      </x:c>
      <x:c r="B38" s="54" t="n">
        <x:v>1</x:v>
      </x:c>
      <x:c r="C38" s="54" t="n">
        <x:v>4</x:v>
      </x:c>
      <x:c r="D38" s="54" t="n">
        <x:v>5</x:v>
      </x:c>
      <x:c r="E38" s="54" t="n">
        <x:v>4</x:v>
      </x:c>
      <x:c r="F38" s="54" t="n">
        <x:v>5</x:v>
      </x:c>
      <x:c r="G38" s="15" t="str">
        <x:v>Expansion discovery</x:v>
      </x:c>
      <x:c r="H38" s="15" t="str">
        <x:v>Фото, акти, протоколи та виконавча документація до закриття або ПНР</x:v>
      </x:c>
      <x:c r="I38" s="15" t="str">
        <x:v>Один анонімізований пакет приймання з поточного проєкту</x:v>
      </x:c>
      <x:c r="J38" s="15" t="str">
        <x:v>Покажіть один пакет: перевіримо fit і запропонуємо вузький безкоштовний пілот</x:v>
      </x:c>
    </x:row>
    <x:row r="39" ht="42" customHeight="1">
      <x:c r="A39" s="56" t="str">
        <x:v>Пожежогасіння</x:v>
      </x:c>
      <x:c r="B39" s="54" t="n">
        <x:v>38</x:v>
      </x:c>
      <x:c r="C39" s="54" t="n">
        <x:v>1</x:v>
      </x:c>
      <x:c r="D39" s="54" t="n">
        <x:v>5</x:v>
      </x:c>
      <x:c r="E39" s="54" t="n">
        <x:v>4</x:v>
      </x:c>
      <x:c r="F39" s="54" t="n">
        <x:v>5</x:v>
      </x:c>
      <x:c r="G39" s="15" t="str">
        <x:v>Expansion discovery</x:v>
      </x:c>
      <x:c r="H39" s="15" t="str">
        <x:v>Труби, проходки, адресація, випробування</x:v>
      </x:c>
      <x:c r="I39" s="15" t="str">
        <x:v>Акти + протоколи випробувань</x:v>
      </x:c>
      <x:c r="J39" s="15" t="str">
        <x:v>Покажіть пакет до введення</x:v>
      </x:c>
    </x:row>
    <x:row r="40" ht="42" customHeight="1">
      <x:c r="A40" s="56" t="str">
        <x:v>Покрівлі та гідроізоляція</x:v>
      </x:c>
      <x:c r="B40" s="54" t="n">
        <x:v>11</x:v>
      </x:c>
      <x:c r="C40" s="54" t="n">
        <x:v>0</x:v>
      </x:c>
      <x:c r="D40" s="54" t="n">
        <x:v>5</x:v>
      </x:c>
      <x:c r="E40" s="54" t="n">
        <x:v>5</x:v>
      </x:c>
      <x:c r="F40" s="54" t="n">
        <x:v>4</x:v>
      </x:c>
      <x:c r="G40" s="15" t="str">
        <x:v>Expansion discovery</x:v>
      </x:c>
      <x:c r="H40" s="15" t="str">
        <x:v>Покрівельний пиріг, шви, примикання</x:v>
      </x:c>
      <x:c r="I40" s="15" t="str">
        <x:v>Фото вузлів + акт прихованих робіт</x:v>
      </x:c>
      <x:c r="J40" s="15" t="str">
        <x:v>Покажіть 1 типовий пакет до гарантії</x:v>
      </x:c>
    </x:row>
    <x:row r="41" ht="42" customHeight="1">
      <x:c r="A41" s="56" t="str">
        <x:v>Промислова автоматизація / SCADA</x:v>
      </x:c>
      <x:c r="B41" s="54" t="n">
        <x:v>8</x:v>
      </x:c>
      <x:c r="C41" s="54" t="n">
        <x:v>1</x:v>
      </x:c>
      <x:c r="D41" s="54" t="n">
        <x:v>5</x:v>
      </x:c>
      <x:c r="E41" s="54" t="n">
        <x:v>4</x:v>
      </x:c>
      <x:c r="F41" s="54" t="n">
        <x:v>5</x:v>
      </x:c>
      <x:c r="G41" s="15" t="str">
        <x:v>Expansion discovery</x:v>
      </x:c>
      <x:c r="H41" s="15" t="str">
        <x:v>Шафи, кабелі, loop-check, FAT/SAT</x:v>
      </x:c>
      <x:c r="I41" s="15" t="str">
        <x:v>Loop-check + протокол ПНР</x:v>
      </x:c>
      <x:c r="J41" s="15" t="str">
        <x:v>Покажіть handoff монтаж → ПНР</x:v>
      </x:c>
    </x:row>
    <x:row r="42" ht="42" customHeight="1">
      <x:c r="A42" s="56" t="str">
        <x:v>Промислова електрика</x:v>
      </x:c>
      <x:c r="B42" s="54" t="n">
        <x:v>5</x:v>
      </x:c>
      <x:c r="C42" s="54" t="n">
        <x:v>5</x:v>
      </x:c>
      <x:c r="D42" s="54" t="n">
        <x:v>5</x:v>
      </x:c>
      <x:c r="E42" s="54" t="n">
        <x:v>5</x:v>
      </x:c>
      <x:c r="F42" s="54" t="n">
        <x:v>4</x:v>
      </x:c>
      <x:c r="G42" s="15" t="str">
        <x:v>Pilot now</x:v>
      </x:c>
      <x:c r="H42" s="15" t="str">
        <x:v>Фото, акти, протоколи та виконавча документація до закриття або ПНР</x:v>
      </x:c>
      <x:c r="I42" s="15" t="str">
        <x:v>Один анонімізований пакет приймання з поточного проєкту</x:v>
      </x:c>
      <x:c r="J42" s="15" t="str">
        <x:v>Покажіть один пакет: перевіримо fit і запропонуємо вузький безкоштовний пілот</x:v>
      </x:c>
    </x:row>
    <x:row r="43" ht="42" customHeight="1">
      <x:c r="A43" s="56" t="str">
        <x:v>Промислова електрика + пожежні системи</x:v>
      </x:c>
      <x:c r="B43" s="54" t="n">
        <x:v>1</x:v>
      </x:c>
      <x:c r="C43" s="54" t="n">
        <x:v>5</x:v>
      </x:c>
      <x:c r="D43" s="54" t="n">
        <x:v>5</x:v>
      </x:c>
      <x:c r="E43" s="54" t="n">
        <x:v>5</x:v>
      </x:c>
      <x:c r="F43" s="54" t="n">
        <x:v>5</x:v>
      </x:c>
      <x:c r="G43" s="15" t="str">
        <x:v>Pilot now</x:v>
      </x:c>
      <x:c r="H43" s="15" t="str">
        <x:v>Фото, акти, протоколи та виконавча документація до закриття або ПНР</x:v>
      </x:c>
      <x:c r="I43" s="15" t="str">
        <x:v>Один анонімізований пакет приймання з поточного проєкту</x:v>
      </x:c>
      <x:c r="J43" s="15" t="str">
        <x:v>Покажіть один пакет: перевіримо fit і запропонуємо вузький безкоштовний пілот</x:v>
      </x:c>
    </x:row>
    <x:row r="44" ht="42" customHeight="1">
      <x:c r="A44" s="56" t="str">
        <x:v>Промислова електрика + СЕС</x:v>
      </x:c>
      <x:c r="B44" s="54" t="n">
        <x:v>1</x:v>
      </x:c>
      <x:c r="C44" s="54" t="n">
        <x:v>5</x:v>
      </x:c>
      <x:c r="D44" s="54" t="n">
        <x:v>5</x:v>
      </x:c>
      <x:c r="E44" s="54" t="n">
        <x:v>5</x:v>
      </x:c>
      <x:c r="F44" s="54" t="n">
        <x:v>4</x:v>
      </x:c>
      <x:c r="G44" s="15" t="str">
        <x:v>Pilot now</x:v>
      </x:c>
      <x:c r="H44" s="15" t="str">
        <x:v>Фото, акти, протоколи та виконавча документація до закриття або ПНР</x:v>
      </x:c>
      <x:c r="I44" s="15" t="str">
        <x:v>Один анонімізований пакет приймання з поточного проєкту</x:v>
      </x:c>
      <x:c r="J44" s="15" t="str">
        <x:v>Покажіть один пакет: перевіримо fit і запропонуємо вузький безкоштовний пілот</x:v>
      </x:c>
    </x:row>
    <x:row r="45" ht="42" customHeight="1">
      <x:c r="A45" s="56" t="str">
        <x:v>Промислова теплоізоляція</x:v>
      </x:c>
      <x:c r="B45" s="54" t="n">
        <x:v>3</x:v>
      </x:c>
      <x:c r="C45" s="54" t="n">
        <x:v>1</x:v>
      </x:c>
      <x:c r="D45" s="54" t="n">
        <x:v>5</x:v>
      </x:c>
      <x:c r="E45" s="54" t="n">
        <x:v>5</x:v>
      </x:c>
      <x:c r="F45" s="54" t="n">
        <x:v>4</x:v>
      </x:c>
      <x:c r="G45" s="15" t="str">
        <x:v>Expansion discovery</x:v>
      </x:c>
      <x:c r="H45" s="15" t="str">
        <x:v>Труби й ізоляція під кожухом</x:v>
      </x:c>
      <x:c r="I45" s="15" t="str">
        <x:v>Фото поверхні, товщини, швів</x:v>
      </x:c>
      <x:c r="J45" s="15" t="str">
        <x:v>Як доводите шар до монтажу кожуха?</x:v>
      </x:c>
    </x:row>
    <x:row r="46" ht="42" customHeight="1">
      <x:c r="A46" s="56" t="str">
        <x:v>Промислове холодопостачання</x:v>
      </x:c>
      <x:c r="B46" s="54" t="n">
        <x:v>3</x:v>
      </x:c>
      <x:c r="C46" s="54" t="n">
        <x:v>4</x:v>
      </x:c>
      <x:c r="D46" s="54" t="n">
        <x:v>5</x:v>
      </x:c>
      <x:c r="E46" s="54" t="n">
        <x:v>4</x:v>
      </x:c>
      <x:c r="F46" s="54" t="n">
        <x:v>5</x:v>
      </x:c>
      <x:c r="G46" s="15" t="str">
        <x:v>Pilot now</x:v>
      </x:c>
      <x:c r="H46" s="15" t="str">
        <x:v>Фото, акти, протоколи та виконавча документація до закриття або ПНР</x:v>
      </x:c>
      <x:c r="I46" s="15" t="str">
        <x:v>Один анонімізований пакет приймання з поточного проєкту</x:v>
      </x:c>
      <x:c r="J46" s="15" t="str">
        <x:v>Покажіть один пакет: перевіримо fit і запропонуємо вузький безкоштовний пілот</x:v>
      </x:c>
    </x:row>
    <x:row r="47" ht="42" customHeight="1">
      <x:c r="A47" s="56" t="str">
        <x:v>Промисловий холод</x:v>
      </x:c>
      <x:c r="B47" s="54" t="n">
        <x:v>28</x:v>
      </x:c>
      <x:c r="C47" s="54" t="n">
        <x:v>1</x:v>
      </x:c>
      <x:c r="D47" s="54" t="n">
        <x:v>5</x:v>
      </x:c>
      <x:c r="E47" s="54" t="n">
        <x:v>4</x:v>
      </x:c>
      <x:c r="F47" s="54" t="n">
        <x:v>5</x:v>
      </x:c>
      <x:c r="G47" s="15" t="str">
        <x:v>Expansion discovery</x:v>
      </x:c>
      <x:c r="H47" s="15" t="str">
        <x:v>Трубопроводи, ізоляція, вакуумування, ПНР</x:v>
      </x:c>
      <x:c r="I47" s="15" t="str">
        <x:v>Протоколи герметичності + ПНР</x:v>
      </x:c>
      <x:c r="J47" s="15" t="str">
        <x:v>Покажіть пакет запуску однієї системи</x:v>
      </x:c>
    </x:row>
    <x:row r="48" ht="42" customHeight="1">
      <x:c r="A48" s="56" t="str">
        <x:v>Промисловий HVAC / MEP</x:v>
      </x:c>
      <x:c r="B48" s="54" t="n">
        <x:v>1</x:v>
      </x:c>
      <x:c r="C48" s="54" t="n">
        <x:v>4</x:v>
      </x:c>
      <x:c r="D48" s="54" t="n">
        <x:v>5</x:v>
      </x:c>
      <x:c r="E48" s="54" t="n">
        <x:v>4</x:v>
      </x:c>
      <x:c r="F48" s="54" t="n">
        <x:v>5</x:v>
      </x:c>
      <x:c r="G48" s="15" t="str">
        <x:v>Pilot now</x:v>
      </x:c>
      <x:c r="H48" s="15" t="str">
        <x:v>Фото, акти, протоколи та виконавча документація до закриття або ПНР</x:v>
      </x:c>
      <x:c r="I48" s="15" t="str">
        <x:v>Один анонімізований пакет приймання з поточного проєкту</x:v>
      </x:c>
      <x:c r="J48" s="15" t="str">
        <x:v>Покажіть один пакет: перевіримо fit і запропонуємо вузький безкоштовний пілот</x:v>
      </x:c>
    </x:row>
    <x:row r="49" ht="42" customHeight="1">
      <x:c r="A49" s="56" t="str">
        <x:v>Промисловий MEP</x:v>
      </x:c>
      <x:c r="B49" s="54" t="n">
        <x:v>2</x:v>
      </x:c>
      <x:c r="C49" s="54" t="n">
        <x:v>5</x:v>
      </x:c>
      <x:c r="D49" s="54" t="n">
        <x:v>5</x:v>
      </x:c>
      <x:c r="E49" s="54" t="n">
        <x:v>5</x:v>
      </x:c>
      <x:c r="F49" s="54" t="n">
        <x:v>5</x:v>
      </x:c>
      <x:c r="G49" s="15" t="str">
        <x:v>Pilot now</x:v>
      </x:c>
      <x:c r="H49" s="15" t="str">
        <x:v>Фото, акти, протоколи та виконавча документація до закриття або ПНР</x:v>
      </x:c>
      <x:c r="I49" s="15" t="str">
        <x:v>Один анонімізований пакет приймання з поточного проєкту</x:v>
      </x:c>
      <x:c r="J49" s="15" t="str">
        <x:v>Покажіть один пакет: перевіримо fit і запропонуємо вузький безкоштовний пілот</x:v>
      </x:c>
    </x:row>
    <x:row r="50" ht="42" customHeight="1">
      <x:c r="A50" s="56" t="str">
        <x:v>Промислові підлоги та бетон</x:v>
      </x:c>
      <x:c r="B50" s="54" t="n">
        <x:v>5</x:v>
      </x:c>
      <x:c r="C50" s="54" t="n">
        <x:v>0</x:v>
      </x:c>
      <x:c r="D50" s="54" t="n">
        <x:v>5</x:v>
      </x:c>
      <x:c r="E50" s="54" t="n">
        <x:v>4</x:v>
      </x:c>
      <x:c r="F50" s="54" t="n">
        <x:v>4</x:v>
      </x:c>
      <x:c r="G50" s="15" t="str">
        <x:v>Expansion discovery</x:v>
      </x:c>
      <x:c r="H50" s="15" t="str">
        <x:v>Основа, армування, шви, вологість</x:v>
      </x:c>
      <x:c r="I50" s="15" t="str">
        <x:v>Карта заливки + протоколи основи</x:v>
      </x:c>
      <x:c r="J50" s="15" t="str">
        <x:v>Покажіть 1 карту контролю перед заливкою</x:v>
      </x:c>
    </x:row>
    <x:row r="51" ht="42" customHeight="1">
      <x:c r="A51" s="56" t="str">
        <x:v>Резервне живлення</x:v>
      </x:c>
      <x:c r="B51" s="54" t="n">
        <x:v>26</x:v>
      </x:c>
      <x:c r="C51" s="54" t="n">
        <x:v>1</x:v>
      </x:c>
      <x:c r="D51" s="54" t="n">
        <x:v>5</x:v>
      </x:c>
      <x:c r="E51" s="54" t="n">
        <x:v>4</x:v>
      </x:c>
      <x:c r="F51" s="54" t="n">
        <x:v>5</x:v>
      </x:c>
      <x:c r="G51" s="15" t="str">
        <x:v>Expansion discovery</x:v>
      </x:c>
      <x:c r="H51" s="15" t="str">
        <x:v>АВР, кабелі, заземлення, тест навантаження</x:v>
      </x:c>
      <x:c r="I51" s="15" t="str">
        <x:v>Протокол АВР / ДБЖ</x:v>
      </x:c>
      <x:c r="J51" s="15" t="str">
        <x:v>Розберімо один тест під навантаженням</x:v>
      </x:c>
    </x:row>
    <x:row r="52" ht="42" customHeight="1">
      <x:c r="A52" s="56" t="str">
        <x:v>Ремонт і підсилення бетону</x:v>
      </x:c>
      <x:c r="B52" s="54" t="n">
        <x:v>2</x:v>
      </x:c>
      <x:c r="C52" s="54" t="n">
        <x:v>1</x:v>
      </x:c>
      <x:c r="D52" s="54" t="n">
        <x:v>5</x:v>
      </x:c>
      <x:c r="E52" s="54" t="n">
        <x:v>4</x:v>
      </x:c>
      <x:c r="F52" s="54" t="n">
        <x:v>5</x:v>
      </x:c>
      <x:c r="G52" s="15" t="str">
        <x:v>Expansion discovery</x:v>
      </x:c>
      <x:c r="H52" s="15" t="str">
        <x:v>Фото, акти, протоколи та виконавча документація до закриття або ПНР</x:v>
      </x:c>
      <x:c r="I52" s="15" t="str">
        <x:v>Один анонімізований пакет приймання з поточного проєкту</x:v>
      </x:c>
      <x:c r="J52" s="15" t="str">
        <x:v>Покажіть один пакет: перевіримо fit і запропонуємо вузький безкоштовний пілот</x:v>
      </x:c>
    </x:row>
    <x:row r="53" ht="42" customHeight="1">
      <x:c r="A53" s="56" t="str">
        <x:v>Сервіс / експлуатація</x:v>
      </x:c>
      <x:c r="B53" s="54" t="n">
        <x:v>2</x:v>
      </x:c>
      <x:c r="C53" s="54" t="n">
        <x:v>0</x:v>
      </x:c>
      <x:c r="D53" s="54" t="n">
        <x:v>0</x:v>
      </x:c>
      <x:c r="E53" s="54" t="n">
        <x:v>0</x:v>
      </x:c>
      <x:c r="F53" s="54" t="n">
        <x:v>0</x:v>
      </x:c>
      <x:c r="G53" s="15" t="str">
        <x:v>Expansion discovery</x:v>
      </x:c>
      <x:c r="H53" s="15" t="str">
        <x:v>Фото, акти, протоколи та виконавча документація до закриття або ПНР</x:v>
      </x:c>
      <x:c r="I53" s="15" t="str">
        <x:v>Один анонімізований пакет приймання з поточного проєкту</x:v>
      </x:c>
      <x:c r="J53" s="15" t="str">
        <x:v>Покажіть один пакет: перевіримо fit і запропонуємо вузький безкоштовний пілот</x:v>
      </x:c>
    </x:row>
    <x:row r="54" ht="42" customHeight="1">
      <x:c r="A54" s="56" t="str">
        <x:v>СЕС + електрика</x:v>
      </x:c>
      <x:c r="B54" s="54" t="n">
        <x:v>4</x:v>
      </x:c>
      <x:c r="C54" s="54" t="n">
        <x:v>5</x:v>
      </x:c>
      <x:c r="D54" s="54" t="n">
        <x:v>5</x:v>
      </x:c>
      <x:c r="E54" s="54" t="n">
        <x:v>5</x:v>
      </x:c>
      <x:c r="F54" s="54" t="n">
        <x:v>4</x:v>
      </x:c>
      <x:c r="G54" s="15" t="str">
        <x:v>Pilot now</x:v>
      </x:c>
      <x:c r="H54" s="15" t="str">
        <x:v>Фото, акти, протоколи та виконавча документація до закриття або ПНР</x:v>
      </x:c>
      <x:c r="I54" s="15" t="str">
        <x:v>Один анонімізований пакет приймання з поточного проєкту</x:v>
      </x:c>
      <x:c r="J54" s="15" t="str">
        <x:v>Покажіть один пакет: перевіримо fit і запропонуємо вузький безкоштовний пілот</x:v>
      </x:c>
    </x:row>
    <x:row r="55" ht="42" customHeight="1">
      <x:c r="A55" s="56" t="str">
        <x:v>СКС, BMS та слаботочна інтеграція</x:v>
      </x:c>
      <x:c r="B55" s="54" t="n">
        <x:v>9</x:v>
      </x:c>
      <x:c r="C55" s="54" t="n">
        <x:v>3</x:v>
      </x:c>
      <x:c r="D55" s="54" t="n">
        <x:v>5</x:v>
      </x:c>
      <x:c r="E55" s="54" t="n">
        <x:v>5</x:v>
      </x:c>
      <x:c r="F55" s="54" t="n">
        <x:v>5</x:v>
      </x:c>
      <x:c r="G55" s="15" t="str">
        <x:v>Expansion discovery</x:v>
      </x:c>
      <x:c r="H55" s="15" t="str">
        <x:v>Траси, маркування, порт-тести</x:v>
      </x:c>
      <x:c r="I55" s="15" t="str">
        <x:v>Протокол Fluke / ПНР</x:v>
      </x:c>
      <x:c r="J55" s="15" t="str">
        <x:v>Покажіть пакет здачі одного поверху</x:v>
      </x:c>
    </x:row>
    <x:row r="56" ht="42" customHeight="1">
      <x:c r="A56" s="56" t="str">
        <x:v>Слаботочні системи</x:v>
      </x:c>
      <x:c r="B56" s="54" t="n">
        <x:v>14</x:v>
      </x:c>
      <x:c r="C56" s="54" t="n">
        <x:v>2</x:v>
      </x:c>
      <x:c r="D56" s="54" t="n">
        <x:v>3</x:v>
      </x:c>
      <x:c r="E56" s="54" t="n">
        <x:v>2</x:v>
      </x:c>
      <x:c r="F56" s="54" t="n">
        <x:v>2</x:v>
      </x:c>
      <x:c r="G56" s="15" t="str">
        <x:v>Expansion discovery</x:v>
      </x:c>
      <x:c r="H56" s="15" t="str">
        <x:v>Фото, акти, протоколи та виконавча документація до закриття або ПНР</x:v>
      </x:c>
      <x:c r="I56" s="15" t="str">
        <x:v>Один анонімізований пакет приймання з поточного проєкту</x:v>
      </x:c>
      <x:c r="J56" s="15" t="str">
        <x:v>Покажіть один пакет: перевіримо fit і запропонуємо вузький безкоштовний пілот</x:v>
      </x:c>
    </x:row>
    <x:row r="57" ht="42" customHeight="1">
      <x:c r="A57" s="56" t="str">
        <x:v>Сонячна енергетика</x:v>
      </x:c>
      <x:c r="B57" s="54" t="n">
        <x:v>33</x:v>
      </x:c>
      <x:c r="C57" s="54" t="n">
        <x:v>1</x:v>
      </x:c>
      <x:c r="D57" s="54" t="n">
        <x:v>4</x:v>
      </x:c>
      <x:c r="E57" s="54" t="n">
        <x:v>3</x:v>
      </x:c>
      <x:c r="F57" s="54" t="n">
        <x:v>4</x:v>
      </x:c>
      <x:c r="G57" s="15" t="str">
        <x:v>Expansion discovery</x:v>
      </x:c>
      <x:c r="H57" s="15" t="str">
        <x:v>Фото, акти, протоколи та виконавча документація до закриття або ПНР</x:v>
      </x:c>
      <x:c r="I57" s="15" t="str">
        <x:v>Один анонімізований пакет приймання з поточного проєкту</x:v>
      </x:c>
      <x:c r="J57" s="15" t="str">
        <x:v>Покажіть один пакет: перевіримо fit і запропонуємо вузький безкоштовний пілот</x:v>
      </x:c>
    </x:row>
    <x:row r="58" ht="42" customHeight="1">
      <x:c r="A58" s="56" t="str">
        <x:v>Стиснене повітря / компресорні</x:v>
      </x:c>
      <x:c r="B58" s="54" t="n">
        <x:v>8</x:v>
      </x:c>
      <x:c r="C58" s="54" t="n">
        <x:v>1</x:v>
      </x:c>
      <x:c r="D58" s="54" t="n">
        <x:v>5</x:v>
      </x:c>
      <x:c r="E58" s="54" t="n">
        <x:v>5</x:v>
      </x:c>
      <x:c r="F58" s="54" t="n">
        <x:v>4</x:v>
      </x:c>
      <x:c r="G58" s="15" t="str">
        <x:v>Expansion discovery</x:v>
      </x:c>
      <x:c r="H58" s="15" t="str">
        <x:v>Пневмомережі, дренаж, фільтрація</x:v>
      </x:c>
      <x:c r="I58" s="15" t="str">
        <x:v>Герметичність + ПНР</x:v>
      </x:c>
      <x:c r="J58" s="15" t="str">
        <x:v>Покажіть пакет запуску компресорної</x:v>
      </x:c>
    </x:row>
    <x:row r="59" ht="42" customHeight="1">
      <x:c r="A59" s="56" t="str">
        <x:v>Теплові мережі</x:v>
      </x:c>
      <x:c r="B59" s="54" t="n">
        <x:v>19</x:v>
      </x:c>
      <x:c r="C59" s="54" t="n">
        <x:v>1</x:v>
      </x:c>
      <x:c r="D59" s="54" t="n">
        <x:v>5</x:v>
      </x:c>
      <x:c r="E59" s="54" t="n">
        <x:v>4</x:v>
      </x:c>
      <x:c r="F59" s="54" t="n">
        <x:v>5</x:v>
      </x:c>
      <x:c r="G59" s="15" t="str">
        <x:v>Expansion discovery</x:v>
      </x:c>
      <x:c r="H59" s="15" t="str">
        <x:v>Фото, акти, протоколи та виконавча документація до закриття або ПНР</x:v>
      </x:c>
      <x:c r="I59" s="15" t="str">
        <x:v>Один анонімізований пакет приймання з поточного проєкту</x:v>
      </x:c>
      <x:c r="J59" s="15" t="str">
        <x:v>Покажіть один пакет: перевіримо fit і запропонуємо вузький безкоштовний пілот</x:v>
      </x:c>
    </x:row>
    <x:row r="60" ht="42" customHeight="1">
      <x:c r="A60" s="56" t="str">
        <x:v>Технологічні трубопроводи</x:v>
      </x:c>
      <x:c r="B60" s="54" t="n">
        <x:v>11</x:v>
      </x:c>
      <x:c r="C60" s="54" t="n">
        <x:v>1</x:v>
      </x:c>
      <x:c r="D60" s="54" t="n">
        <x:v>5</x:v>
      </x:c>
      <x:c r="E60" s="54" t="n">
        <x:v>5</x:v>
      </x:c>
      <x:c r="F60" s="54" t="n">
        <x:v>5</x:v>
      </x:c>
      <x:c r="G60" s="15" t="str">
        <x:v>Expansion discovery</x:v>
      </x:c>
      <x:c r="H60" s="15" t="str">
        <x:v>Стики, НК, опори, гідровипробування</x:v>
      </x:c>
      <x:c r="I60" s="15" t="str">
        <x:v>Журнал стиків + НК + гідротест</x:v>
      </x:c>
      <x:c r="J60" s="15" t="str">
        <x:v>Розберімо один ізометричний пакет</x:v>
      </x:c>
    </x:row>
    <x:row r="61" ht="42" customHeight="1">
      <x:c r="A61" s="56" t="str">
        <x:v>Чисті приміщення та стерильні зони</x:v>
      </x:c>
      <x:c r="B61" s="54" t="n">
        <x:v>3</x:v>
      </x:c>
      <x:c r="C61" s="54" t="n">
        <x:v>3</x:v>
      </x:c>
      <x:c r="D61" s="54" t="n">
        <x:v>5</x:v>
      </x:c>
      <x:c r="E61" s="54" t="n">
        <x:v>5</x:v>
      </x:c>
      <x:c r="F61" s="54" t="n">
        <x:v>5</x:v>
      </x:c>
      <x:c r="G61" s="15" t="str">
        <x:v>Expansion discovery</x:v>
      </x:c>
      <x:c r="H61" s="15" t="str">
        <x:v>Герметичність, HEPA, автоматика</x:v>
      </x:c>
      <x:c r="I61" s="15" t="str">
        <x:v>Кваліфікаційний протокол</x:v>
      </x:c>
      <x:c r="J61" s="15" t="str">
        <x:v>Розберімо один validation-пакет</x:v>
      </x:c>
    </x:row>
    <x:row r="62" ht="42" customHeight="1">
      <x:c r="A62" s="56" t="str">
        <x:v>HVAC / вентиляція</x:v>
      </x:c>
      <x:c r="B62" s="54" t="n">
        <x:v>5</x:v>
      </x:c>
      <x:c r="C62" s="54" t="n">
        <x:v>2</x:v>
      </x:c>
      <x:c r="D62" s="54" t="n">
        <x:v>3</x:v>
      </x:c>
      <x:c r="E62" s="54" t="n">
        <x:v>2</x:v>
      </x:c>
      <x:c r="F62" s="54" t="n">
        <x:v>3</x:v>
      </x:c>
      <x:c r="G62" s="15" t="str">
        <x:v>Pilot now</x:v>
      </x:c>
      <x:c r="H62" s="15" t="str">
        <x:v>Фото, акти, протоколи та виконавча документація до закриття або ПНР</x:v>
      </x:c>
      <x:c r="I62" s="15" t="str">
        <x:v>Один анонімізований пакет приймання з поточного проєкту</x:v>
      </x:c>
      <x:c r="J62" s="15" t="str">
        <x:v>Покажіть один пакет: перевіримо fit і запропонуємо вузький безкоштовний пілот</x:v>
      </x:c>
    </x:row>
    <x:row r="63" ht="42" customHeight="1">
      <x:c r="A63" s="56" t="str">
        <x:v>HVAC / ОВіК</x:v>
      </x:c>
      <x:c r="B63" s="54" t="n">
        <x:v>67</x:v>
      </x:c>
      <x:c r="C63" s="54" t="n">
        <x:v>5</x:v>
      </x:c>
      <x:c r="D63" s="54" t="n">
        <x:v>5</x:v>
      </x:c>
      <x:c r="E63" s="54" t="n">
        <x:v>5</x:v>
      </x:c>
      <x:c r="F63" s="54" t="n">
        <x:v>5</x:v>
      </x:c>
      <x:c r="G63" s="15" t="str">
        <x:v>Pilot now</x:v>
      </x:c>
      <x:c r="H63" s="15" t="str">
        <x:v>Фото, акти, протоколи та виконавча документація до закриття або ПНР</x:v>
      </x:c>
      <x:c r="I63" s="15" t="str">
        <x:v>Один анонімізований пакет приймання з поточного проєкту</x:v>
      </x:c>
      <x:c r="J63" s="15" t="str">
        <x:v>Покажіть один пакет: перевіримо fit і запропонуємо вузький безкоштовний пілот</x:v>
      </x:c>
    </x:row>
    <x:row r="64" ht="42" customHeight="1">
      <x:c r="A64" s="57" t="str">
        <x:v>MEP / інженерні системи</x:v>
      </x:c>
      <x:c r="B64" s="55" t="n">
        <x:v>3</x:v>
      </x:c>
      <x:c r="C64" s="55" t="n">
        <x:v>5</x:v>
      </x:c>
      <x:c r="D64" s="55" t="n">
        <x:v>5</x:v>
      </x:c>
      <x:c r="E64" s="55" t="n">
        <x:v>4</x:v>
      </x:c>
      <x:c r="F64" s="55" t="n">
        <x:v>4</x:v>
      </x:c>
      <x:c r="G64" s="53" t="str">
        <x:v>Pilot now</x:v>
      </x:c>
      <x:c r="H64" s="53" t="str">
        <x:v>Фото, акти, протоколи та виконавча документація до закриття або ПНР</x:v>
      </x:c>
      <x:c r="I64" s="53" t="str">
        <x:v>Один анонімізований пакет приймання з поточного проєкту</x:v>
      </x:c>
      <x:c r="J64" s="53" t="str">
        <x:v>Покажіть один пакет: перевіримо fit і запропонуємо вузький безкоштовний пілот</x:v>
      </x:c>
    </x:row>
  </x:sheetData>
  <x:mergeCells>
    <x:mergeCell ref="A1:J1"/>
    <x:mergeCell ref="A2:J2"/>
  </x:mergeCells>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34" customHeight="1">
      <x:c r="A1" s="3" t="str">
        <x:v>Два безкоштовні офери замість одного</x:v>
      </x:c>
      <x:c r="B1" s="3"/>
      <x:c r="C1" s="3"/>
      <x:c r="D1" s="3"/>
      <x:c r="E1" s="3"/>
      <x:c r="F1" s="3"/>
      <x:c r="G1" s="3"/>
      <x:c r="H1" s="3"/>
      <x:c r="I1" s="3"/>
      <x:c r="J1" s="3"/>
    </x:row>
    <x:row r="2" ht="22" customHeight="1">
      <x:c r="A2" s="5" t="str">
        <x:v>Пілот доводить цінність на поточному покритті; discovery sprint перевіряє нову вертикаль без фальшивої обіцянки готового продукту</x:v>
      </x:c>
      <x:c r="B2" s="5"/>
      <x:c r="C2" s="5"/>
      <x:c r="D2" s="5"/>
      <x:c r="E2" s="5"/>
      <x:c r="F2" s="5"/>
      <x:c r="G2" s="5"/>
      <x:c r="H2" s="5"/>
      <x:c r="I2" s="5"/>
      <x:c r="J2" s="5"/>
    </x:row>
    <x:row r="4">
      <x:c r="A4" s="24" t="str">
        <x:v>A. Design-partner пілот — Pilot now</x:v>
      </x:c>
      <x:c r="B4" s="24"/>
      <x:c r="C4" s="24"/>
      <x:c r="D4" s="24"/>
      <x:c r="E4" s="24"/>
      <x:c r="F4" s="24" t="str">
        <x:v>B. Workflow discovery sprint — Expansion</x:v>
      </x:c>
      <x:c r="G4" s="24"/>
      <x:c r="H4" s="24"/>
      <x:c r="I4" s="24"/>
      <x:c r="J4" s="24"/>
    </x:row>
    <x:row r="5">
      <x:c r="A5" s="61" t="str">
        <x:v>30–45 днів на одному активному проєкті без ліцензійної плати. Підходить для внутрішніх сантехнічних/HVAC та електромонтажних робіт у межах погодженого Н.14/Н.15 subset.</x:v>
      </x:c>
      <x:c r="B5" s="61"/>
      <x:c r="C5" s="61"/>
      <x:c r="D5" s="61"/>
      <x:c r="E5" s="61"/>
      <x:c r="F5" s="65" t="str">
        <x:v>2 тижні без ліцензійної плати: розібрати один реальний пакет приймання, вимоги проєкту та ролі. Результат — карта workflow, verdict fit/no-fit і вузький scope майбутнього пілоту.</x:v>
      </x:c>
      <x:c r="G5" s="65"/>
      <x:c r="H5" s="65"/>
      <x:c r="I5" s="65"/>
      <x:c r="J5" s="65"/>
    </x:row>
    <x:row r="6">
      <x:c r="A6" s="61"/>
      <x:c r="B6" s="61"/>
      <x:c r="C6" s="61"/>
      <x:c r="D6" s="61"/>
      <x:c r="E6" s="61"/>
      <x:c r="F6" s="65"/>
      <x:c r="G6" s="65"/>
      <x:c r="H6" s="65"/>
      <x:c r="I6" s="65"/>
      <x:c r="J6" s="65"/>
    </x:row>
    <x:row r="7">
      <x:c r="A7" s="61"/>
      <x:c r="B7" s="61"/>
      <x:c r="C7" s="61"/>
      <x:c r="D7" s="61"/>
      <x:c r="E7" s="61"/>
      <x:c r="F7" s="65"/>
      <x:c r="G7" s="65"/>
      <x:c r="H7" s="65"/>
      <x:c r="I7" s="65"/>
      <x:c r="J7" s="65"/>
    </x:row>
    <x:row r="9">
      <x:c r="A9" s="24" t="str">
        <x:v>Умови входу</x:v>
      </x:c>
      <x:c r="B9" s="24"/>
      <x:c r="C9" s="24"/>
      <x:c r="D9" s="24"/>
      <x:c r="E9" s="24"/>
      <x:c r="F9" s="24" t="str">
        <x:v>Умови входу</x:v>
      </x:c>
      <x:c r="G9" s="24"/>
      <x:c r="H9" s="24"/>
      <x:c r="I9" s="24"/>
      <x:c r="J9" s="24"/>
    </x:row>
    <x:row r="10" ht="31" customHeight="1">
      <x:c r="A10" s="66" t="str">
        <x:v>• Один активний проєкт і названий спонсор.</x:v>
      </x:c>
      <x:c r="B10" s="66"/>
      <x:c r="C10" s="66"/>
      <x:c r="D10" s="66"/>
      <x:c r="E10" s="66"/>
      <x:c r="F10" s="66" t="str">
        <x:v>• Один реальний пакет приймання з нової вертикалі.</x:v>
      </x:c>
      <x:c r="G10" s="66"/>
      <x:c r="H10" s="66"/>
      <x:c r="I10" s="66"/>
      <x:c r="J10" s="66"/>
    </x:row>
    <x:row r="11" ht="31" customHeight="1">
      <x:c r="A11" s="66" t="str">
        <x:v>• ПТО, майстер і рев’юер.</x:v>
      </x:c>
      <x:c r="B11" s="66"/>
      <x:c r="C11" s="66"/>
      <x:c r="D11" s="66"/>
      <x:c r="E11" s="66"/>
      <x:c r="F11" s="66" t="str">
        <x:v>• Вимоги / специфікація конкретного проєкту.</x:v>
      </x:c>
      <x:c r="G11" s="66"/>
      <x:c r="H11" s="66"/>
      <x:c r="I11" s="66"/>
      <x:c r="J11" s="66"/>
    </x:row>
    <x:row r="12" ht="31" customHeight="1">
      <x:c r="A12" s="66" t="str">
        <x:v>• Один анонімізований акт/АВР або пакет фото.</x:v>
      </x:c>
      <x:c r="B12" s="66"/>
      <x:c r="C12" s="66"/>
      <x:c r="D12" s="66"/>
      <x:c r="E12" s="66"/>
      <x:c r="F12" s="66" t="str">
        <x:v>• 60 хв з виконробом або ПТО.</x:v>
      </x:c>
      <x:c r="G12" s="66"/>
      <x:c r="H12" s="66"/>
      <x:c r="I12" s="66"/>
      <x:c r="J12" s="66"/>
    </x:row>
    <x:row r="13" ht="31" customHeight="1">
      <x:c r="A13" s="66" t="str">
        <x:v>• 30 хв щотижня.</x:v>
      </x:c>
      <x:c r="B13" s="66"/>
      <x:c r="C13" s="66"/>
      <x:c r="D13" s="66"/>
      <x:c r="E13" s="66"/>
      <x:c r="F13" s="66" t="str">
        <x:v>• 30 хв з рев’юером / технаглядом.</x:v>
      </x:c>
      <x:c r="G13" s="66"/>
      <x:c r="H13" s="66"/>
      <x:c r="I13" s="66"/>
      <x:c r="J13" s="66"/>
    </x:row>
    <x:row r="14" ht="31" customHeight="1">
      <x:c r="A14" s="66" t="str">
        <x:v>• Метрики до/після.</x:v>
      </x:c>
      <x:c r="B14" s="66"/>
      <x:c r="C14" s="66"/>
      <x:c r="D14" s="66"/>
      <x:c r="E14" s="66"/>
      <x:c r="F14" s="66" t="str">
        <x:v>• Дозвіл змоделювати 1 вузький workflow.</x:v>
      </x:c>
      <x:c r="G14" s="66"/>
      <x:c r="H14" s="66"/>
      <x:c r="I14" s="66"/>
      <x:c r="J14" s="66"/>
    </x:row>
    <x:row r="15" ht="31" customHeight="1">
      <x:c r="A15" s="67" t="str">
        <x:v>• Go/no-go на 30–45 день.</x:v>
      </x:c>
      <x:c r="B15" s="67"/>
      <x:c r="C15" s="67"/>
      <x:c r="D15" s="67"/>
      <x:c r="E15" s="67"/>
      <x:c r="F15" s="67" t="str">
        <x:v>• Жодної обіцянки інтеграції чи повного покриття.</x:v>
      </x:c>
      <x:c r="G15" s="67"/>
      <x:c r="H15" s="67"/>
      <x:c r="I15" s="67"/>
      <x:c r="J15" s="67"/>
    </x:row>
    <x:row r="17">
      <x:c r="A17" s="24" t="str">
        <x:v>Метрики пілоту</x:v>
      </x:c>
      <x:c r="B17" s="24"/>
      <x:c r="C17" s="24"/>
      <x:c r="D17" s="24"/>
      <x:c r="E17" s="24"/>
      <x:c r="F17" s="24" t="str">
        <x:v>Результат discovery sprint</x:v>
      </x:c>
      <x:c r="G17" s="24"/>
      <x:c r="H17" s="24"/>
      <x:c r="I17" s="24"/>
      <x:c r="J17" s="24"/>
    </x:row>
    <x:row r="18" ht="31" customHeight="1">
      <x:c r="A18" s="66" t="str">
        <x:v>1. Приймання з першого перегляду.</x:v>
      </x:c>
      <x:c r="B18" s="66"/>
      <x:c r="C18" s="66"/>
      <x:c r="D18" s="66"/>
      <x:c r="E18" s="66"/>
      <x:c r="F18" s="66" t="str">
        <x:v>1. Підтверджений або спростований workflow pain.</x:v>
      </x:c>
      <x:c r="G18" s="66"/>
      <x:c r="H18" s="66"/>
      <x:c r="I18" s="66"/>
      <x:c r="J18" s="66"/>
    </x:row>
    <x:row r="19" ht="31" customHeight="1">
      <x:c r="A19" s="66" t="str">
        <x:v>2. Час до рішення рев’юера.</x:v>
      </x:c>
      <x:c r="B19" s="66"/>
      <x:c r="C19" s="66"/>
      <x:c r="D19" s="66"/>
      <x:c r="E19" s="66"/>
      <x:c r="F19" s="66" t="str">
        <x:v>2. Список вимог і джерел істини.</x:v>
      </x:c>
      <x:c r="G19" s="66"/>
      <x:c r="H19" s="66"/>
      <x:c r="I19" s="66"/>
      <x:c r="J19" s="66"/>
    </x:row>
    <x:row r="20" ht="31" customHeight="1">
      <x:c r="A20" s="66" t="str">
        <x:v>3. Докази до закриття робіт.</x:v>
      </x:c>
      <x:c r="B20" s="66"/>
      <x:c r="C20" s="66"/>
      <x:c r="D20" s="66"/>
      <x:c r="E20" s="66"/>
      <x:c r="F20" s="66" t="str">
        <x:v>3. Карта ролей і handoff.</x:v>
      </x:c>
      <x:c r="G20" s="66"/>
      <x:c r="H20" s="66"/>
      <x:c r="I20" s="66"/>
      <x:c r="J20" s="66"/>
    </x:row>
    <x:row r="21" ht="31" customHeight="1">
      <x:c r="A21" s="66" t="str">
        <x:v>4. Повернення через неповний пакет.</x:v>
      </x:c>
      <x:c r="B21" s="66"/>
      <x:c r="C21" s="66"/>
      <x:c r="D21" s="66"/>
      <x:c r="E21" s="66"/>
      <x:c r="F21" s="66" t="str">
        <x:v>4. Один прототип пакета приймання.</x:v>
      </x:c>
      <x:c r="G21" s="66"/>
      <x:c r="H21" s="66"/>
      <x:c r="I21" s="66"/>
      <x:c r="J21" s="66"/>
    </x:row>
    <x:row r="22" ht="31" customHeight="1">
      <x:c r="A22" s="67" t="str">
        <x:v>5. Щотижнева активність ролей.</x:v>
      </x:c>
      <x:c r="B22" s="67"/>
      <x:c r="C22" s="67"/>
      <x:c r="D22" s="67"/>
      <x:c r="E22" s="67"/>
      <x:c r="F22" s="67" t="str">
        <x:v>5. Рішення: build / partner / stop.</x:v>
      </x:c>
      <x:c r="G22" s="67"/>
      <x:c r="H22" s="67"/>
      <x:c r="I22" s="67"/>
      <x:c r="J22" s="67"/>
    </x:row>
    <x:row r="24">
      <x:c r="A24" s="24" t="str">
        <x:v>Незмінні межі</x:v>
      </x:c>
      <x:c r="B24" s="24"/>
      <x:c r="C24" s="24"/>
      <x:c r="D24" s="24"/>
      <x:c r="E24" s="24"/>
      <x:c r="F24" s="24"/>
      <x:c r="G24" s="24"/>
      <x:c r="H24" s="24"/>
      <x:c r="I24" s="24"/>
      <x:c r="J24" s="24"/>
    </x:row>
    <x:row r="25">
      <x:c r="A25" s="71" t="str">
        <x:v>Захищене посилання не є КЕП. Поточна бібліотека містить 12 вимог: 5 для Н.14 і 7 для Н.15. У нових вертикалях GoProceed не має готового нормативного покриття: пілот можливий лише після отримання вимог конкретного проєкту та погодження вузького scope.</x:v>
      </x:c>
      <x:c r="B25" s="71"/>
      <x:c r="C25" s="71"/>
      <x:c r="D25" s="71"/>
      <x:c r="E25" s="71"/>
      <x:c r="F25" s="71"/>
      <x:c r="G25" s="71"/>
      <x:c r="H25" s="71"/>
      <x:c r="I25" s="71"/>
      <x:c r="J25" s="71"/>
    </x:row>
    <x:row r="26">
      <x:c r="A26" s="71"/>
      <x:c r="B26" s="71"/>
      <x:c r="C26" s="71"/>
      <x:c r="D26" s="71"/>
      <x:c r="E26" s="71"/>
      <x:c r="F26" s="71"/>
      <x:c r="G26" s="71"/>
      <x:c r="H26" s="71"/>
      <x:c r="I26" s="71"/>
      <x:c r="J26" s="71"/>
    </x:row>
    <x:row r="27">
      <x:c r="A27" s="71"/>
      <x:c r="B27" s="71"/>
      <x:c r="C27" s="71"/>
      <x:c r="D27" s="71"/>
      <x:c r="E27" s="71"/>
      <x:c r="F27" s="71"/>
      <x:c r="G27" s="71"/>
      <x:c r="H27" s="71"/>
      <x:c r="I27" s="71"/>
      <x:c r="J27" s="71"/>
    </x:row>
  </x:sheetData>
  <x:mergeCells>
    <x:mergeCell ref="A1:J1"/>
    <x:mergeCell ref="A2:J2"/>
    <x:mergeCell ref="A4:E4"/>
    <x:mergeCell ref="F4:J4"/>
    <x:mergeCell ref="A5:E7"/>
    <x:mergeCell ref="F5:J7"/>
    <x:mergeCell ref="A9:E9"/>
    <x:mergeCell ref="F9:J9"/>
    <x:mergeCell ref="A10:E10"/>
    <x:mergeCell ref="A11:E11"/>
    <x:mergeCell ref="A12:E12"/>
    <x:mergeCell ref="A13:E13"/>
    <x:mergeCell ref="A14:E14"/>
    <x:mergeCell ref="A15:E15"/>
    <x:mergeCell ref="F10:J10"/>
    <x:mergeCell ref="F11:J11"/>
    <x:mergeCell ref="F12:J12"/>
    <x:mergeCell ref="F13:J13"/>
    <x:mergeCell ref="F14:J14"/>
    <x:mergeCell ref="F15:J15"/>
    <x:mergeCell ref="A17:E17"/>
    <x:mergeCell ref="F17:J17"/>
    <x:mergeCell ref="A18:E18"/>
    <x:mergeCell ref="A19:E19"/>
    <x:mergeCell ref="A20:E20"/>
    <x:mergeCell ref="A21:E21"/>
    <x:mergeCell ref="A22:E22"/>
    <x:mergeCell ref="F18:J18"/>
    <x:mergeCell ref="F19:J19"/>
    <x:mergeCell ref="F20:J20"/>
    <x:mergeCell ref="F21:J21"/>
    <x:mergeCell ref="F22:J22"/>
    <x:mergeCell ref="A24:J24"/>
    <x:mergeCell ref="A25:J27"/>
  </x:mergeCells>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34" customHeight="1">
      <x:c r="A1" s="3" t="str">
        <x:v>Outreach за сигналом і маршрутом</x:v>
      </x:c>
      <x:c r="B1" s="3"/>
      <x:c r="C1" s="3"/>
      <x:c r="D1" s="3"/>
      <x:c r="E1" s="3"/>
      <x:c r="F1" s="3"/>
      <x:c r="G1" s="3"/>
      <x:c r="H1" s="3"/>
      <x:c r="I1" s="3"/>
      <x:c r="J1" s="3"/>
    </x:row>
    <x:row r="2" ht="22" customHeight="1">
      <x:c r="A2" s="5" t="str">
        <x:v>I1/I2: почати з конкретного тендера. P-ліди: показати готовий review-flow. D-ліди: попросити артефакт до продуктової обіцянки</x:v>
      </x:c>
      <x:c r="B2" s="5"/>
      <x:c r="C2" s="5"/>
      <x:c r="D2" s="5"/>
      <x:c r="E2" s="5"/>
      <x:c r="F2" s="5"/>
      <x:c r="G2" s="5"/>
      <x:c r="H2" s="5"/>
      <x:c r="I2" s="5"/>
      <x:c r="J2" s="5"/>
    </x:row>
    <x:row r="4">
      <x:c r="A4" s="24" t="str">
        <x:v>1. I1/I2 — контакт від конкретного тендера</x:v>
      </x:c>
      <x:c r="B4" s="24"/>
      <x:c r="C4" s="24"/>
      <x:c r="D4" s="24"/>
      <x:c r="E4" s="24"/>
      <x:c r="F4" s="24"/>
      <x:c r="G4" s="24"/>
      <x:c r="H4" s="24"/>
      <x:c r="I4" s="24"/>
      <x:c r="J4" s="24"/>
    </x:row>
    <x:row r="5">
      <x:c r="A5" s="76" t="str">
        <x:v>Доброго дня! Побачив, що [компанія] перемогла у [UA-номер / назва робіт], строк виконання — до [дата]. GoProceed допомагає зібрати фото, акти й протоколи до закриття робіт та віддати ПТО/замовнику одну сторінку на перевірку. Пропоную безкоштовно розібрати один ваш пакет приймання; якщо fit підтвердиться — запустимо вузький пілот на цьому проєкті без ліцензійної плати. Хто у вас відповідає за ПТО або виконавчу документацію?</x:v>
      </x:c>
      <x:c r="B5" s="76"/>
      <x:c r="C5" s="76"/>
      <x:c r="D5" s="76"/>
      <x:c r="E5" s="76"/>
      <x:c r="F5" s="76"/>
      <x:c r="G5" s="76"/>
      <x:c r="H5" s="76"/>
      <x:c r="I5" s="76"/>
      <x:c r="J5" s="76"/>
    </x:row>
    <x:row r="6">
      <x:c r="A6" s="76"/>
      <x:c r="B6" s="76"/>
      <x:c r="C6" s="76"/>
      <x:c r="D6" s="76"/>
      <x:c r="E6" s="76"/>
      <x:c r="F6" s="76"/>
      <x:c r="G6" s="76"/>
      <x:c r="H6" s="76"/>
      <x:c r="I6" s="76"/>
      <x:c r="J6" s="76"/>
    </x:row>
    <x:row r="7">
      <x:c r="A7" s="76"/>
      <x:c r="B7" s="76"/>
      <x:c r="C7" s="76"/>
      <x:c r="D7" s="76"/>
      <x:c r="E7" s="76"/>
      <x:c r="F7" s="76"/>
      <x:c r="G7" s="76"/>
      <x:c r="H7" s="76"/>
      <x:c r="I7" s="76"/>
      <x:c r="J7" s="76"/>
    </x:row>
    <x:row r="8">
      <x:c r="A8" s="77"/>
      <x:c r="B8" s="77"/>
      <x:c r="C8" s="77"/>
      <x:c r="D8" s="77"/>
      <x:c r="E8" s="77"/>
      <x:c r="F8" s="77"/>
      <x:c r="G8" s="77"/>
      <x:c r="H8" s="77"/>
      <x:c r="I8" s="77"/>
      <x:c r="J8" s="77"/>
    </x:row>
    <x:row r="10">
      <x:c r="A10" s="24" t="str">
        <x:v>2. P1/P2 — перший контакт для пілоту зараз</x:v>
      </x:c>
      <x:c r="B10" s="24"/>
      <x:c r="C10" s="24"/>
      <x:c r="D10" s="24"/>
      <x:c r="E10" s="24"/>
      <x:c r="F10" s="24"/>
      <x:c r="G10" s="24"/>
      <x:c r="H10" s="24"/>
      <x:c r="I10" s="24"/>
      <x:c r="J10" s="24"/>
    </x:row>
    <x:row r="11">
      <x:c r="A11" s="76" t="str">
        <x:v>Доброго дня! Побачив, що [компанія] виконує [публічний доказ]. Ми тестуємо GoProceed у момент перед закриттям [електромонтажної / внутрішньої санітарно-технічної роботи]: бригада збирає докази, а ПТО або замовник переглядає одну сторінку без акаунта. Можу надіслати 40-секундний приклад саме для [робота]?</x:v>
      </x:c>
      <x:c r="B11" s="76"/>
      <x:c r="C11" s="76"/>
      <x:c r="D11" s="76"/>
      <x:c r="E11" s="76"/>
      <x:c r="F11" s="76"/>
      <x:c r="G11" s="76"/>
      <x:c r="H11" s="76"/>
      <x:c r="I11" s="76"/>
      <x:c r="J11" s="76"/>
    </x:row>
    <x:row r="12">
      <x:c r="A12" s="76"/>
      <x:c r="B12" s="76"/>
      <x:c r="C12" s="76"/>
      <x:c r="D12" s="76"/>
      <x:c r="E12" s="76"/>
      <x:c r="F12" s="76"/>
      <x:c r="G12" s="76"/>
      <x:c r="H12" s="76"/>
      <x:c r="I12" s="76"/>
      <x:c r="J12" s="76"/>
    </x:row>
    <x:row r="13">
      <x:c r="A13" s="76"/>
      <x:c r="B13" s="76"/>
      <x:c r="C13" s="76"/>
      <x:c r="D13" s="76"/>
      <x:c r="E13" s="76"/>
      <x:c r="F13" s="76"/>
      <x:c r="G13" s="76"/>
      <x:c r="H13" s="76"/>
      <x:c r="I13" s="76"/>
      <x:c r="J13" s="76"/>
    </x:row>
    <x:row r="14">
      <x:c r="A14" s="77"/>
      <x:c r="B14" s="77"/>
      <x:c r="C14" s="77"/>
      <x:c r="D14" s="77"/>
      <x:c r="E14" s="77"/>
      <x:c r="F14" s="77"/>
      <x:c r="G14" s="77"/>
      <x:c r="H14" s="77"/>
      <x:c r="I14" s="77"/>
      <x:c r="J14" s="77"/>
    </x:row>
    <x:row r="16">
      <x:c r="A16" s="24" t="str">
        <x:v>3. D1/D2 — перший контакт для нової вертикалі</x:v>
      </x:c>
      <x:c r="B16" s="24"/>
      <x:c r="C16" s="24"/>
      <x:c r="D16" s="24"/>
      <x:c r="E16" s="24"/>
      <x:c r="F16" s="24"/>
      <x:c r="G16" s="24"/>
      <x:c r="H16" s="24"/>
      <x:c r="I16" s="24"/>
      <x:c r="J16" s="24"/>
    </x:row>
    <x:row r="17">
      <x:c r="A17" s="76" t="str">
        <x:v>Доброго дня! Побачив у [компанія] роботи з [водоочищення / ВОЛЗ / котелень / SCADA / іншого]. Перевіряємо гіпотезу: найбільше повернень виникає там, де доказ треба зібрати до закриття наступним етапом або до ПНР. Не хочу продавати готову систему без вашого процесу. Чи можете показати один анонімізований пакет приймання або перелік фото/протоколів? За 20 хв скажемо чесно, чи є тут fit.</x:v>
      </x:c>
      <x:c r="B17" s="76"/>
      <x:c r="C17" s="76"/>
      <x:c r="D17" s="76"/>
      <x:c r="E17" s="76"/>
      <x:c r="F17" s="76"/>
      <x:c r="G17" s="76"/>
      <x:c r="H17" s="76"/>
      <x:c r="I17" s="76"/>
      <x:c r="J17" s="76"/>
    </x:row>
    <x:row r="18">
      <x:c r="A18" s="76"/>
      <x:c r="B18" s="76"/>
      <x:c r="C18" s="76"/>
      <x:c r="D18" s="76"/>
      <x:c r="E18" s="76"/>
      <x:c r="F18" s="76"/>
      <x:c r="G18" s="76"/>
      <x:c r="H18" s="76"/>
      <x:c r="I18" s="76"/>
      <x:c r="J18" s="76"/>
    </x:row>
    <x:row r="19">
      <x:c r="A19" s="76"/>
      <x:c r="B19" s="76"/>
      <x:c r="C19" s="76"/>
      <x:c r="D19" s="76"/>
      <x:c r="E19" s="76"/>
      <x:c r="F19" s="76"/>
      <x:c r="G19" s="76"/>
      <x:c r="H19" s="76"/>
      <x:c r="I19" s="76"/>
      <x:c r="J19" s="76"/>
    </x:row>
    <x:row r="20">
      <x:c r="A20" s="77"/>
      <x:c r="B20" s="77"/>
      <x:c r="C20" s="77"/>
      <x:c r="D20" s="77"/>
      <x:c r="E20" s="77"/>
      <x:c r="F20" s="77"/>
      <x:c r="G20" s="77"/>
      <x:c r="H20" s="77"/>
      <x:c r="I20" s="77"/>
      <x:c r="J20" s="77"/>
    </x:row>
    <x:row r="22">
      <x:c r="A22" s="24" t="str">
        <x:v>4. Follow-up для 21 попередньої відправки</x:v>
      </x:c>
      <x:c r="B22" s="24"/>
      <x:c r="C22" s="24"/>
      <x:c r="D22" s="24"/>
      <x:c r="E22" s="24"/>
      <x:c r="F22" s="24"/>
      <x:c r="G22" s="24"/>
      <x:c r="H22" s="24"/>
      <x:c r="I22" s="24"/>
      <x:c r="J22" s="24"/>
    </x:row>
    <x:row r="23">
      <x:c r="A23" s="76" t="str">
        <x:v>Доброго дня! Ми спростили перевірку до однієї сторінки без реєстрації: фото, джерело вимоги та «прийняти / повернути». Ось персональне посилання: [посилання]. Чи схоже це на ваш реальний handoff між бригадою, ПТО і замовником? Достатньо відповісти одним реченням.</x:v>
      </x:c>
      <x:c r="B23" s="76"/>
      <x:c r="C23" s="76"/>
      <x:c r="D23" s="76"/>
      <x:c r="E23" s="76"/>
      <x:c r="F23" s="76"/>
      <x:c r="G23" s="76"/>
      <x:c r="H23" s="76"/>
      <x:c r="I23" s="76"/>
      <x:c r="J23" s="76"/>
    </x:row>
    <x:row r="24">
      <x:c r="A24" s="76"/>
      <x:c r="B24" s="76"/>
      <x:c r="C24" s="76"/>
      <x:c r="D24" s="76"/>
      <x:c r="E24" s="76"/>
      <x:c r="F24" s="76"/>
      <x:c r="G24" s="76"/>
      <x:c r="H24" s="76"/>
      <x:c r="I24" s="76"/>
      <x:c r="J24" s="76"/>
    </x:row>
    <x:row r="25">
      <x:c r="A25" s="76"/>
      <x:c r="B25" s="76"/>
      <x:c r="C25" s="76"/>
      <x:c r="D25" s="76"/>
      <x:c r="E25" s="76"/>
      <x:c r="F25" s="76"/>
      <x:c r="G25" s="76"/>
      <x:c r="H25" s="76"/>
      <x:c r="I25" s="76"/>
      <x:c r="J25" s="76"/>
    </x:row>
    <x:row r="26">
      <x:c r="A26" s="77"/>
      <x:c r="B26" s="77"/>
      <x:c r="C26" s="77"/>
      <x:c r="D26" s="77"/>
      <x:c r="E26" s="77"/>
      <x:c r="F26" s="77"/>
      <x:c r="G26" s="77"/>
      <x:c r="H26" s="77"/>
      <x:c r="I26" s="77"/>
      <x:c r="J26" s="77"/>
    </x:row>
    <x:row r="28">
      <x:c r="A28" s="24" t="str">
        <x:v>5. Безкоштовний пілот після кваліфікації</x:v>
      </x:c>
      <x:c r="B28" s="24"/>
      <x:c r="C28" s="24"/>
      <x:c r="D28" s="24"/>
      <x:c r="E28" s="24"/>
      <x:c r="F28" s="24"/>
      <x:c r="G28" s="24"/>
      <x:c r="H28" s="24"/>
      <x:c r="I28" s="24"/>
      <x:c r="J28" s="24"/>
    </x:row>
    <x:row r="29">
      <x:c r="A29" s="76" t="str">
        <x:v>Пропоную design-partner пілот на одному активному проєкті на 30–45 днів без ліцензійної плати. Потрібні спонсор, ПТО, майстер, рев’юер, один реальний пакет і 30 хв щотижня. Разом виміряємо приймання з першого разу, час до рішення та повернення через неповні докази.</x:v>
      </x:c>
      <x:c r="B29" s="76"/>
      <x:c r="C29" s="76"/>
      <x:c r="D29" s="76"/>
      <x:c r="E29" s="76"/>
      <x:c r="F29" s="76"/>
      <x:c r="G29" s="76"/>
      <x:c r="H29" s="76"/>
      <x:c r="I29" s="76"/>
      <x:c r="J29" s="76"/>
    </x:row>
    <x:row r="30">
      <x:c r="A30" s="76"/>
      <x:c r="B30" s="76"/>
      <x:c r="C30" s="76"/>
      <x:c r="D30" s="76"/>
      <x:c r="E30" s="76"/>
      <x:c r="F30" s="76"/>
      <x:c r="G30" s="76"/>
      <x:c r="H30" s="76"/>
      <x:c r="I30" s="76"/>
      <x:c r="J30" s="76"/>
    </x:row>
    <x:row r="31">
      <x:c r="A31" s="76"/>
      <x:c r="B31" s="76"/>
      <x:c r="C31" s="76"/>
      <x:c r="D31" s="76"/>
      <x:c r="E31" s="76"/>
      <x:c r="F31" s="76"/>
      <x:c r="G31" s="76"/>
      <x:c r="H31" s="76"/>
      <x:c r="I31" s="76"/>
      <x:c r="J31" s="76"/>
    </x:row>
    <x:row r="32">
      <x:c r="A32" s="77"/>
      <x:c r="B32" s="77"/>
      <x:c r="C32" s="77"/>
      <x:c r="D32" s="77"/>
      <x:c r="E32" s="77"/>
      <x:c r="F32" s="77"/>
      <x:c r="G32" s="77"/>
      <x:c r="H32" s="77"/>
      <x:c r="I32" s="77"/>
      <x:c r="J32" s="77"/>
    </x:row>
    <x:row r="34">
      <x:c r="A34" s="24" t="str">
        <x:v>Правило, яке захищає довіру</x:v>
      </x:c>
      <x:c r="B34" s="24"/>
      <x:c r="C34" s="24"/>
      <x:c r="D34" s="24"/>
      <x:c r="E34" s="24"/>
      <x:c r="F34" s="24"/>
      <x:c r="G34" s="24"/>
      <x:c r="H34" s="24"/>
      <x:c r="I34" s="24"/>
      <x:c r="J34" s="24"/>
    </x:row>
    <x:row r="35">
      <x:c r="A35" s="80" t="str">
        <x:v>Для Lane = Expansion discovery не використовувати формулювання «у нас уже є рішення для вашої галузі». Чесне формулювання: «ми бачимо схожий workflow і хочемо перевірити його на одному реальному артефакті». Пілот пропонується лише після отримання вимог проєкту.</x:v>
      </x:c>
      <x:c r="B35" s="80"/>
      <x:c r="C35" s="80"/>
      <x:c r="D35" s="80"/>
      <x:c r="E35" s="80"/>
      <x:c r="F35" s="80"/>
      <x:c r="G35" s="80"/>
      <x:c r="H35" s="80"/>
      <x:c r="I35" s="80"/>
      <x:c r="J35" s="80"/>
    </x:row>
    <x:row r="36">
      <x:c r="A36" s="80"/>
      <x:c r="B36" s="80"/>
      <x:c r="C36" s="80"/>
      <x:c r="D36" s="80"/>
      <x:c r="E36" s="80"/>
      <x:c r="F36" s="80"/>
      <x:c r="G36" s="80"/>
      <x:c r="H36" s="80"/>
      <x:c r="I36" s="80"/>
      <x:c r="J36" s="80"/>
    </x:row>
    <x:row r="37">
      <x:c r="A37" s="80"/>
      <x:c r="B37" s="80"/>
      <x:c r="C37" s="80"/>
      <x:c r="D37" s="80"/>
      <x:c r="E37" s="80"/>
      <x:c r="F37" s="80"/>
      <x:c r="G37" s="80"/>
      <x:c r="H37" s="80"/>
      <x:c r="I37" s="80"/>
      <x:c r="J37" s="80"/>
    </x:row>
  </x:sheetData>
  <x:mergeCells>
    <x:mergeCell ref="A1:J1"/>
    <x:mergeCell ref="A2:J2"/>
    <x:mergeCell ref="A4:J4"/>
    <x:mergeCell ref="A5:J8"/>
    <x:mergeCell ref="A10:J10"/>
    <x:mergeCell ref="A11:J14"/>
    <x:mergeCell ref="A16:J16"/>
    <x:mergeCell ref="A17:J20"/>
    <x:mergeCell ref="A22:J22"/>
    <x:mergeCell ref="A23:J26"/>
    <x:mergeCell ref="A28:J28"/>
    <x:mergeCell ref="A29:J32"/>
    <x:mergeCell ref="A34:J34"/>
    <x:mergeCell ref="A35:J37"/>
  </x:mergeCells>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11" hidden="0" customWidth="1"/>
    <x:col min="3" max="3" width="11" hidden="0" customWidth="1"/>
    <x:col min="4" max="4" width="30" hidden="0" customWidth="1"/>
    <x:col min="5" max="5" width="30" hidden="0" customWidth="1"/>
    <x:col min="6" max="6" width="24" hidden="0" customWidth="1"/>
    <x:col min="7" max="7" width="11" hidden="0" customWidth="1"/>
    <x:col min="8" max="8" width="11" hidden="0" customWidth="1"/>
    <x:col min="9" max="9" width="30" hidden="0" customWidth="1"/>
    <x:col min="10" max="10" width="30" hidden="0" customWidth="1"/>
  </x:cols>
  <x:sheetData>
    <x:row r="1" ht="34" customHeight="1">
      <x:c r="A1" s="3" t="str">
        <x:v>Методологія v4</x:v>
      </x:c>
      <x:c r="B1" s="3"/>
      <x:c r="C1" s="3"/>
      <x:c r="D1" s="3"/>
      <x:c r="E1" s="3"/>
      <x:c r="F1" s="3"/>
      <x:c r="G1" s="3"/>
      <x:c r="H1" s="3"/>
      <x:c r="I1" s="3"/>
      <x:c r="J1" s="3"/>
    </x:row>
    <x:row r="2" ht="22" customHeight="1">
      <x:c r="A2" s="5" t="str">
        <x:v>815 унікальних компаній; product-fit і tender-intent оцінюються окремо, щоб проєктна активність не маскувала слабке покриття продукту</x:v>
      </x:c>
      <x:c r="B2" s="5"/>
      <x:c r="C2" s="5"/>
      <x:c r="D2" s="5"/>
      <x:c r="E2" s="5"/>
      <x:c r="F2" s="5"/>
      <x:c r="G2" s="5"/>
      <x:c r="H2" s="5"/>
      <x:c r="I2" s="5"/>
      <x:c r="J2" s="5"/>
    </x:row>
    <x:row r="4">
      <x:c r="A4" s="24" t="str">
        <x:v>Pilot-now score — 0–100</x:v>
      </x:c>
      <x:c r="B4" s="24"/>
      <x:c r="C4" s="24"/>
      <x:c r="D4" s="24"/>
      <x:c r="E4" s="24"/>
      <x:c r="F4" s="24" t="str">
        <x:v>Expansion score — 0–100</x:v>
      </x:c>
      <x:c r="G4" s="24"/>
      <x:c r="H4" s="24"/>
      <x:c r="I4" s="24"/>
      <x:c r="J4" s="24"/>
    </x:row>
    <x:row r="5">
      <x:c r="A5" s="10" t="str">
        <x:v>Фактор</x:v>
      </x:c>
      <x:c r="B5" s="10" t="str">
        <x:v>Шкала</x:v>
      </x:c>
      <x:c r="C5" s="10" t="str">
        <x:v>Вага</x:v>
      </x:c>
      <x:c r="D5" s="10" t="str">
        <x:v>Навіщо</x:v>
      </x:c>
      <x:c r="E5" s="10" t="str">
        <x:v>Обмеження</x:v>
      </x:c>
      <x:c r="F5" s="10" t="str">
        <x:v>Фактор</x:v>
      </x:c>
      <x:c r="G5" s="10" t="str">
        <x:v>Шкала</x:v>
      </x:c>
      <x:c r="H5" s="10" t="str">
        <x:v>Вага</x:v>
      </x:c>
      <x:c r="I5" s="10" t="str">
        <x:v>Навіщо</x:v>
      </x:c>
      <x:c r="J5" s="10" t="str">
        <x:v>Обмеження</x:v>
      </x:c>
    </x:row>
    <x:row r="6">
      <x:c r="A6" s="15" t="str">
        <x:v>Покриття вимог</x:v>
      </x:c>
      <x:c r="B6" s="15" t="str">
        <x:v>0–5</x:v>
      </x:c>
      <x:c r="C6" s="15" t="str">
        <x:v>×8</x:v>
      </x:c>
      <x:c r="D6" s="15" t="str">
        <x:v>Головний guardrail готового пілоту</x:v>
      </x:c>
      <x:c r="E6" s="15" t="str">
        <x:v>Поза Н.14/Н.15 майже завжди 0–3</x:v>
      </x:c>
      <x:c r="F6" s="15" t="str">
        <x:v>Workflow fit</x:v>
      </x:c>
      <x:c r="G6" s="15" t="str">
        <x:v>0–5</x:v>
      </x:c>
      <x:c r="H6" s="15" t="str">
        <x:v>×5</x:v>
      </x:c>
      <x:c r="I6" s="15" t="str">
        <x:v>Наскільки процес схожий на core job</x:v>
      </x:c>
      <x:c r="J6" s="15" t="str">
        <x:v>Потрібне інтерв’ю</x:v>
      </x:c>
    </x:row>
    <x:row r="7">
      <x:c r="A7" s="15" t="str">
        <x:v>Workflow fit</x:v>
      </x:c>
      <x:c r="B7" s="15" t="str">
        <x:v>0–5</x:v>
      </x:c>
      <x:c r="C7" s="15" t="str">
        <x:v>×3</x:v>
      </x:c>
      <x:c r="D7" s="15" t="str">
        <x:v>Повторюваний handoff доказів</x:v>
      </x:c>
      <x:c r="E7" s="15" t="str">
        <x:v>Не доводить біль</x:v>
      </x:c>
      <x:c r="F7" s="15" t="str">
        <x:v>Приховані роботи</x:v>
      </x:c>
      <x:c r="G7" s="15" t="str">
        <x:v>0–5</x:v>
      </x:c>
      <x:c r="H7" s="15" t="str">
        <x:v>×4</x:v>
      </x:c>
      <x:c r="I7" s="15" t="str">
        <x:v>Ціна пізнього доказу</x:v>
      </x:c>
      <x:c r="J7" s="15" t="str">
        <x:v>Потрібен кейс повернення</x:v>
      </x:c>
    </x:row>
    <x:row r="8">
      <x:c r="A8" s="15" t="str">
        <x:v>Приховані роботи</x:v>
      </x:c>
      <x:c r="B8" s="15" t="str">
        <x:v>0–5</x:v>
      </x:c>
      <x:c r="C8" s="15" t="str">
        <x:v>×2</x:v>
      </x:c>
      <x:c r="D8" s="15" t="str">
        <x:v>Доказ зникає після наступного етапу</x:v>
      </x:c>
      <x:c r="E8" s="15" t="str">
        <x:v>Гіпотеза з публічних даних</x:v>
      </x:c>
      <x:c r="F8" s="15" t="str">
        <x:v>Документація</x:v>
      </x:c>
      <x:c r="G8" s="15" t="str">
        <x:v>0–5</x:v>
      </x:c>
      <x:c r="H8" s="15" t="str">
        <x:v>×4</x:v>
      </x:c>
      <x:c r="I8" s="15" t="str">
        <x:v>Щільність приймального пакета</x:v>
      </x:c>
      <x:c r="J8" s="15" t="str">
        <x:v>Потрібен зразок</x:v>
      </x:c>
    </x:row>
    <x:row r="9">
      <x:c r="A9" s="15" t="str">
        <x:v>Масштаб</x:v>
      </x:c>
      <x:c r="B9" s="15" t="str">
        <x:v>0–5</x:v>
      </x:c>
      <x:c r="C9" s="15" t="str">
        <x:v>×2</x:v>
      </x:c>
      <x:c r="D9" s="15" t="str">
        <x:v>Бригади, об’єкти, географія</x:v>
      </x:c>
      <x:c r="E9" s="15" t="str">
        <x:v>Може бути маркетингом</x:v>
      </x:c>
      <x:c r="F9" s="15" t="str">
        <x:v>Масштаб</x:v>
      </x:c>
      <x:c r="G9" s="15" t="str">
        <x:v>0–5</x:v>
      </x:c>
      <x:c r="H9" s="15" t="str">
        <x:v>×3</x:v>
      </x:c>
      <x:c r="I9" s="15" t="str">
        <x:v>Повторюваність між об’єктами</x:v>
      </x:c>
      <x:c r="J9" s="15" t="str">
        <x:v>Не дорівнює WTP</x:v>
      </x:c>
    </x:row>
    <x:row r="10">
      <x:c r="A10" s="15" t="str">
        <x:v>Документація</x:v>
      </x:c>
      <x:c r="B10" s="15" t="str">
        <x:v>0–5</x:v>
      </x:c>
      <x:c r="C10" s="15" t="str">
        <x:v>×2</x:v>
      </x:c>
      <x:c r="D10" s="15" t="str">
        <x:v>Акти, тести, ПТО, введення</x:v>
      </x:c>
      <x:c r="E10" s="15" t="str">
        <x:v>Потрібен реальний артефакт</x:v>
      </x:c>
      <x:c r="F10" s="15" t="str">
        <x:v>Buyer fit</x:v>
      </x:c>
      <x:c r="G10" s="15" t="str">
        <x:v>0–5</x:v>
      </x:c>
      <x:c r="H10" s="15" t="str">
        <x:v>×2</x:v>
      </x:c>
      <x:c r="I10" s="15" t="str">
        <x:v>Доступ до decision-maker</x:v>
      </x:c>
      <x:c r="J10" s="15" t="str">
        <x:v>Не перевірено</x:v>
      </x:c>
    </x:row>
    <x:row r="11">
      <x:c r="A11" s="15" t="str">
        <x:v>Buyer fit</x:v>
      </x:c>
      <x:c r="B11" s="15" t="str">
        <x:v>0–5</x:v>
      </x:c>
      <x:c r="C11" s="15" t="str">
        <x:v>×2</x:v>
      </x:c>
      <x:c r="D11" s="15" t="str">
        <x:v>Близькість до власника / ПТО</x:v>
      </x:c>
      <x:c r="E11" s="15" t="str">
        <x:v>Генпідрядник часто канал</x:v>
      </x:c>
      <x:c r="F11" s="15" t="str">
        <x:v>Досяжність</x:v>
      </x:c>
      <x:c r="G11" s="15" t="str">
        <x:v>0–5</x:v>
      </x:c>
      <x:c r="H11" s="15" t="str">
        <x:v>×2</x:v>
      </x:c>
      <x:c r="I11" s="15" t="str">
        <x:v>Можливість почати discovery</x:v>
      </x:c>
      <x:c r="J11" s="15" t="str">
        <x:v>Сайт може бути недоступний</x:v>
      </x:c>
    </x:row>
    <x:row r="12">
      <x:c r="A12" s="53" t="str">
        <x:v>Досяжність</x:v>
      </x:c>
      <x:c r="B12" s="53" t="str">
        <x:v>0–5</x:v>
      </x:c>
      <x:c r="C12" s="53" t="str">
        <x:v>×1</x:v>
      </x:c>
      <x:c r="D12" s="53" t="str">
        <x:v>Чи є робочий маршрут до компанії</x:v>
      </x:c>
      <x:c r="E12" s="53" t="str">
        <x:v>Не містить персональних контактів</x:v>
      </x:c>
      <x:c r="F12" s="53" t="str">
        <x:v>Покриття вимог</x:v>
      </x:c>
      <x:c r="G12" s="53" t="str">
        <x:v>—</x:v>
      </x:c>
      <x:c r="H12" s="53" t="str">
        <x:v>не входить</x:v>
      </x:c>
      <x:c r="I12" s="53" t="str">
        <x:v>Окремо, щоб не вбити нові ніші</x:v>
      </x:c>
      <x:c r="J12" s="53" t="str">
        <x:v>Все одно gate перед пілотом</x:v>
      </x:c>
    </x:row>
    <x:row r="14">
      <x:c r="A14" s="24" t="str">
        <x:v>Перевірка джерел і трактування статусів</x:v>
      </x:c>
      <x:c r="B14" s="24"/>
      <x:c r="C14" s="24"/>
      <x:c r="D14" s="24"/>
      <x:c r="E14" s="24"/>
      <x:c r="F14" s="24"/>
      <x:c r="G14" s="24"/>
      <x:c r="H14" s="24"/>
      <x:c r="I14" s="24"/>
      <x:c r="J14" s="24"/>
    </x:row>
    <x:row r="15" ht="34" customHeight="1">
      <x:c r="A15" s="66" t="str">
        <x:v>• 51 попередній лід переперевірено: 46 офіційних сторінок підтвердились прямим запитом; 5 розібрані вручну через браузер і пошуковий індекс.</x:v>
      </x:c>
      <x:c r="B15" s="66"/>
      <x:c r="C15" s="66"/>
      <x:c r="D15" s="66"/>
      <x:c r="E15" s="66"/>
      <x:c r="F15" s="66"/>
      <x:c r="G15" s="66"/>
      <x:c r="H15" s="66"/>
      <x:c r="I15" s="66"/>
      <x:c r="J15" s="66"/>
    </x:row>
    <x:row r="16" ht="34" customHeight="1">
      <x:c r="A16" s="66" t="str">
        <x:v>• 64 компанії в нових вертикалях: 60 підтвердились прямим запитом, 1 — medium, 3 неоднозначні джерела перевірені вручну.</x:v>
      </x:c>
      <x:c r="B16" s="66"/>
      <x:c r="C16" s="66"/>
      <x:c r="D16" s="66"/>
      <x:c r="E16" s="66"/>
      <x:c r="F16" s="66"/>
      <x:c r="G16" s="66"/>
      <x:c r="H16" s="66"/>
      <x:c r="I16" s="66"/>
      <x:c r="J16" s="66"/>
    </x:row>
    <x:row r="17" ht="34" customHeight="1">
      <x:c r="A17" s="66" t="str">
        <x:v>• Tender wave: 24 пошукові конфігурації × 3 сторінки; 926 збігів, 919 унікальних тендерів, 919 успішних detail-запитів, 818 записів з активними awards.</x:v>
      </x:c>
      <x:c r="B17" s="66"/>
      <x:c r="C17" s="66"/>
      <x:c r="D17" s="66"/>
      <x:c r="E17" s="66"/>
      <x:c r="F17" s="66"/>
      <x:c r="G17" s="66"/>
      <x:c r="H17" s="66"/>
      <x:c r="I17" s="66"/>
      <x:c r="J17" s="66"/>
    </x:row>
    <x:row r="18" ht="34" customHeight="1">
      <x:c r="A18" s="66" t="str">
        <x:v>• Після видалення 4 службових/редагованих постачальників і дедуплікації за ЄДРПОУ та назвою отримано 549 валідних постачальників: 2 вже були у базі, 547 додано.</x:v>
      </x:c>
      <x:c r="B18" s="66"/>
      <x:c r="C18" s="66"/>
      <x:c r="D18" s="66"/>
      <x:c r="E18" s="66"/>
      <x:c r="F18" s="66"/>
      <x:c r="G18" s="66"/>
      <x:c r="H18" s="66"/>
      <x:c r="I18" s="66"/>
      <x:c r="J18" s="66"/>
    </x:row>
    <x:row r="19" ht="34" customHeight="1">
      <x:c r="A19" s="66" t="str">
        <x:v>• Intent score враховує кількість перемог, опублікований строк виконання та свіжість award. I1/I2 — черговість контакту, а не прогноз купівлі.</x:v>
      </x:c>
      <x:c r="B19" s="66"/>
      <x:c r="C19" s="66"/>
      <x:c r="D19" s="66"/>
      <x:c r="E19" s="66"/>
      <x:c r="F19" s="66"/>
      <x:c r="G19" s="66"/>
      <x:c r="H19" s="66"/>
      <x:c r="I19" s="66"/>
      <x:c r="J19" s="66"/>
    </x:row>
    <x:row r="20" ht="34" customHeight="1">
      <x:c r="A20" s="66" t="str">
        <x:v>• Сума перемог — атрибутований сигнал, не TAM: у консорціумах або спільних awards одна опублікована сума може повторюватись у кількох постачальників.</x:v>
      </x:c>
      <x:c r="B20" s="66"/>
      <x:c r="C20" s="66"/>
      <x:c r="D20" s="66"/>
      <x:c r="E20" s="66"/>
      <x:c r="F20" s="66"/>
      <x:c r="G20" s="66"/>
      <x:c r="H20" s="66"/>
      <x:c r="I20" s="66"/>
      <x:c r="J20" s="66"/>
    </x:row>
    <x:row r="21" ht="34" customHeight="1">
      <x:c r="A21" s="67" t="str">
        <x:v>• У базі немає персональних email/телефонів. Публічна перемога підтверджує проєктну активність та юридичну особу, але не відповідь, біль або інтерес до GoProceed.</x:v>
      </x:c>
      <x:c r="B21" s="67"/>
      <x:c r="C21" s="67"/>
      <x:c r="D21" s="67"/>
      <x:c r="E21" s="67"/>
      <x:c r="F21" s="67"/>
      <x:c r="G21" s="67"/>
      <x:c r="H21" s="67"/>
      <x:c r="I21" s="67"/>
      <x:c r="J21" s="67"/>
    </x:row>
  </x:sheetData>
  <x:mergeCells>
    <x:mergeCell ref="A1:J1"/>
    <x:mergeCell ref="A2:J2"/>
    <x:mergeCell ref="A4:E4"/>
    <x:mergeCell ref="F4:J4"/>
    <x:mergeCell ref="A14:J14"/>
    <x:mergeCell ref="A15:J15"/>
    <x:mergeCell ref="A16:J16"/>
    <x:mergeCell ref="A17:J17"/>
    <x:mergeCell ref="A18:J18"/>
    <x:mergeCell ref="A19:J19"/>
    <x:mergeCell ref="A20:J20"/>
    <x:mergeCell ref="A21:J21"/>
  </x:mergeCells>
  <x:pageMargins left="0.7" right="0.7" top="0.75" bottom="0.75" header="0.3" footer="0.3"/>
</x:worksheet>
</file>